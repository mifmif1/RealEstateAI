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D65F008E-92F8-4733-8D1B-03C1185395D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O66" i="1" l="1"/>
  <c r="Y66" i="1" s="1"/>
  <c r="Y7" i="1"/>
  <c r="Y90" i="1"/>
  <c r="Y13" i="1"/>
  <c r="Y70" i="1"/>
  <c r="Y39" i="1"/>
  <c r="Y33" i="1"/>
  <c r="Y29" i="1"/>
  <c r="Y22" i="1"/>
  <c r="Y124" i="1"/>
  <c r="Y89" i="1"/>
  <c r="Y88" i="1"/>
  <c r="Y5" i="1"/>
  <c r="Y53" i="1"/>
  <c r="Y67" i="1"/>
  <c r="Y96" i="1"/>
  <c r="Y32" i="1"/>
  <c r="Y16" i="1"/>
  <c r="Y9" i="1"/>
  <c r="Y35" i="1"/>
  <c r="Y63" i="1"/>
  <c r="Y114" i="1"/>
  <c r="Y125" i="1"/>
  <c r="Y60" i="1"/>
  <c r="Y120" i="1"/>
  <c r="Y87" i="1"/>
  <c r="Y69" i="1"/>
  <c r="Y93" i="1"/>
  <c r="Y4" i="1"/>
  <c r="Y55" i="1"/>
  <c r="Y109" i="1"/>
  <c r="Y43" i="1"/>
  <c r="Y94" i="1"/>
  <c r="Y92" i="1"/>
  <c r="Y112" i="1"/>
  <c r="Y99" i="1"/>
  <c r="Y83" i="1"/>
  <c r="Y107" i="1"/>
  <c r="Y102" i="1"/>
  <c r="Y19" i="1"/>
  <c r="Y105" i="1"/>
  <c r="Y8" i="1"/>
  <c r="Y82" i="1"/>
  <c r="Y123" i="1"/>
  <c r="Y49" i="1"/>
  <c r="Y76" i="1"/>
  <c r="Y111" i="1"/>
  <c r="Y104" i="1"/>
  <c r="Y73" i="1"/>
  <c r="Y101" i="1"/>
  <c r="Y85" i="1"/>
  <c r="Y74" i="1"/>
  <c r="Y37" i="1"/>
  <c r="Y110" i="1"/>
  <c r="Y91" i="1"/>
  <c r="Y51" i="1"/>
  <c r="Y62" i="1"/>
  <c r="Y97" i="1"/>
  <c r="Y52" i="1"/>
  <c r="Y12" i="1"/>
  <c r="Y80" i="1"/>
  <c r="Y108" i="1"/>
  <c r="Y59" i="1"/>
  <c r="Y10" i="1"/>
  <c r="Y58" i="1"/>
  <c r="Y18" i="1"/>
  <c r="Y61" i="1"/>
  <c r="Y103" i="1"/>
  <c r="Y24" i="1"/>
  <c r="Y100" i="1"/>
  <c r="Y6" i="1"/>
  <c r="Y30" i="1"/>
  <c r="Y47" i="1"/>
  <c r="Y113" i="1"/>
  <c r="Y45" i="1"/>
  <c r="Y28" i="1"/>
  <c r="Y116" i="1"/>
  <c r="Y119" i="1"/>
  <c r="Y118" i="1"/>
  <c r="Y121" i="1"/>
  <c r="Y20" i="1"/>
  <c r="Y77" i="1"/>
  <c r="Y65" i="1"/>
  <c r="Y48" i="1"/>
  <c r="Y81" i="1"/>
  <c r="Y41" i="1"/>
  <c r="Y117" i="1"/>
  <c r="Y23" i="1"/>
  <c r="Y26" i="1"/>
  <c r="Y95" i="1"/>
  <c r="Y57" i="1"/>
  <c r="Y38" i="1"/>
  <c r="Y106" i="1"/>
  <c r="Y31" i="1"/>
  <c r="Y27" i="1"/>
  <c r="Y98" i="1"/>
  <c r="Y42" i="1"/>
  <c r="Y84" i="1"/>
  <c r="Y122" i="1"/>
  <c r="Y79" i="1"/>
  <c r="Y86" i="1"/>
  <c r="Y56" i="1"/>
  <c r="Y54" i="1"/>
  <c r="Y50" i="1"/>
  <c r="Y71" i="1"/>
  <c r="Y64" i="1"/>
  <c r="Y21" i="1"/>
  <c r="Y44" i="1"/>
  <c r="Y15" i="1"/>
  <c r="Y68" i="1"/>
  <c r="Y75" i="1"/>
  <c r="Y78" i="1"/>
  <c r="Y34" i="1"/>
  <c r="Y14" i="1"/>
  <c r="Y2" i="1"/>
  <c r="Y72" i="1"/>
  <c r="Y25" i="1"/>
  <c r="Y36" i="1"/>
  <c r="Y17" i="1"/>
  <c r="Y11" i="1"/>
  <c r="Y3" i="1"/>
  <c r="Y46" i="1"/>
  <c r="Y40" i="1"/>
  <c r="Y115" i="1"/>
  <c r="X7" i="1"/>
  <c r="X90" i="1"/>
  <c r="X13" i="1"/>
  <c r="X70" i="1"/>
  <c r="X39" i="1"/>
  <c r="X33" i="1"/>
  <c r="X29" i="1"/>
  <c r="X22" i="1"/>
  <c r="X124" i="1"/>
  <c r="X89" i="1"/>
  <c r="X88" i="1"/>
  <c r="X5" i="1"/>
  <c r="X53" i="1"/>
  <c r="X67" i="1"/>
  <c r="X96" i="1"/>
  <c r="X32" i="1"/>
  <c r="X16" i="1"/>
  <c r="X9" i="1"/>
  <c r="X35" i="1"/>
  <c r="X63" i="1"/>
  <c r="X114" i="1"/>
  <c r="X125" i="1"/>
  <c r="X60" i="1"/>
  <c r="X120" i="1"/>
  <c r="X87" i="1"/>
  <c r="X69" i="1"/>
  <c r="X93" i="1"/>
  <c r="X4" i="1"/>
  <c r="X55" i="1"/>
  <c r="X109" i="1"/>
  <c r="X43" i="1"/>
  <c r="X94" i="1"/>
  <c r="X92" i="1"/>
  <c r="X112" i="1"/>
  <c r="X99" i="1"/>
  <c r="X83" i="1"/>
  <c r="X107" i="1"/>
  <c r="X102" i="1"/>
  <c r="X19" i="1"/>
  <c r="X105" i="1"/>
  <c r="X8" i="1"/>
  <c r="X82" i="1"/>
  <c r="X123" i="1"/>
  <c r="X49" i="1"/>
  <c r="X76" i="1"/>
  <c r="X111" i="1"/>
  <c r="X104" i="1"/>
  <c r="X73" i="1"/>
  <c r="X101" i="1"/>
  <c r="X85" i="1"/>
  <c r="X74" i="1"/>
  <c r="X37" i="1"/>
  <c r="X110" i="1"/>
  <c r="X91" i="1"/>
  <c r="X51" i="1"/>
  <c r="X62" i="1"/>
  <c r="X97" i="1"/>
  <c r="X52" i="1"/>
  <c r="X12" i="1"/>
  <c r="X80" i="1"/>
  <c r="X108" i="1"/>
  <c r="X59" i="1"/>
  <c r="X10" i="1"/>
  <c r="X58" i="1"/>
  <c r="X18" i="1"/>
  <c r="X61" i="1"/>
  <c r="X103" i="1"/>
  <c r="X24" i="1"/>
  <c r="X100" i="1"/>
  <c r="X6" i="1"/>
  <c r="X30" i="1"/>
  <c r="X47" i="1"/>
  <c r="X113" i="1"/>
  <c r="X45" i="1"/>
  <c r="X28" i="1"/>
  <c r="X116" i="1"/>
  <c r="X119" i="1"/>
  <c r="X118" i="1"/>
  <c r="X121" i="1"/>
  <c r="X20" i="1"/>
  <c r="X77" i="1"/>
  <c r="X65" i="1"/>
  <c r="X48" i="1"/>
  <c r="X81" i="1"/>
  <c r="X41" i="1"/>
  <c r="X117" i="1"/>
  <c r="X23" i="1"/>
  <c r="X26" i="1"/>
  <c r="X95" i="1"/>
  <c r="X57" i="1"/>
  <c r="X38" i="1"/>
  <c r="X106" i="1"/>
  <c r="X31" i="1"/>
  <c r="X27" i="1"/>
  <c r="X98" i="1"/>
  <c r="X42" i="1"/>
  <c r="X84" i="1"/>
  <c r="X122" i="1"/>
  <c r="X79" i="1"/>
  <c r="X86" i="1"/>
  <c r="X56" i="1"/>
  <c r="X54" i="1"/>
  <c r="X50" i="1"/>
  <c r="X71" i="1"/>
  <c r="X64" i="1"/>
  <c r="X21" i="1"/>
  <c r="X44" i="1"/>
  <c r="X15" i="1"/>
  <c r="X68" i="1"/>
  <c r="X75" i="1"/>
  <c r="X78" i="1"/>
  <c r="X34" i="1"/>
  <c r="X14" i="1"/>
  <c r="X2" i="1"/>
  <c r="X72" i="1"/>
  <c r="X25" i="1"/>
  <c r="X36" i="1"/>
  <c r="X17" i="1"/>
  <c r="X11" i="1"/>
  <c r="X3" i="1"/>
  <c r="X46" i="1"/>
  <c r="X40" i="1"/>
  <c r="X115" i="1"/>
  <c r="X66" i="1" l="1"/>
</calcChain>
</file>

<file path=xl/sharedStrings.xml><?xml version="1.0" encoding="utf-8"?>
<sst xmlns="http://schemas.openxmlformats.org/spreadsheetml/2006/main" count="1387" uniqueCount="907">
  <si>
    <t>UniqueCode</t>
  </si>
  <si>
    <t>Property Category</t>
  </si>
  <si>
    <t>Property Title</t>
  </si>
  <si>
    <t>Description</t>
  </si>
  <si>
    <t>Address</t>
  </si>
  <si>
    <t>zip code</t>
  </si>
  <si>
    <t>Region</t>
  </si>
  <si>
    <t>Regional Unit</t>
  </si>
  <si>
    <t>Municipality</t>
  </si>
  <si>
    <t>coords</t>
  </si>
  <si>
    <t>Year of Building Permit</t>
  </si>
  <si>
    <t>price</t>
  </si>
  <si>
    <t xml:space="preserve">Link </t>
  </si>
  <si>
    <t>sqm</t>
  </si>
  <si>
    <t>price/sqm</t>
  </si>
  <si>
    <t>comparison_average</t>
  </si>
  <si>
    <t>comparison_min</t>
  </si>
  <si>
    <t>comparison_max</t>
  </si>
  <si>
    <t>comparison_median</t>
  </si>
  <si>
    <t>#assets</t>
  </si>
  <si>
    <t>spitogatos_url</t>
  </si>
  <si>
    <t>searched_radius</t>
  </si>
  <si>
    <t>comparison_std</t>
  </si>
  <si>
    <t>33970_0</t>
  </si>
  <si>
    <t>Residence</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</si>
  <si>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</si>
  <si>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</si>
  <si>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</si>
  <si>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Attica</t>
  </si>
  <si>
    <t>Central Sector of Athens</t>
  </si>
  <si>
    <t>Athens</t>
  </si>
  <si>
    <t xml:space="preserve"> 38°  0'  0.00" N  23° 43' 48.00" E</t>
  </si>
  <si>
    <t>https://www.realestateonline.gr/en/akinito/33970_0-RES_15688</t>
  </si>
  <si>
    <t>https://www.spitogatos.gr/en/for_sale-homes/map-search/minliving_area-30/maxliving_area-200?latitudeLow=37.999099&amp;latitudeHigh=38.000900&amp;longitudeLow=23.728861&amp;longitudeHigh=23.731138&amp;zoom=18</t>
  </si>
  <si>
    <t>Apartment</t>
  </si>
  <si>
    <t>Apartment in Kypseli, Athens</t>
  </si>
  <si>
    <t>32554_0</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</si>
  <si>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</si>
  <si>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</si>
  <si>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</si>
  <si>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West Sector of Athens</t>
  </si>
  <si>
    <t>Chaidari</t>
  </si>
  <si>
    <t xml:space="preserve"> 38°  0'  1.95" N  23° 40'  4.17" E</t>
  </si>
  <si>
    <t>https://www.realestateonline.gr/en/akinito/32554_0-APP_17377</t>
  </si>
  <si>
    <t>https://www.spitogatos.gr/en/for_sale-homes/map-search/minliving_area-30/maxliving_area-200?latitudeLow=37.999190&amp;latitudeHigh=38.001893&amp;longitudeLow=23.666117&amp;longitudeHigh=23.669532&amp;zoom=18</t>
  </si>
  <si>
    <t>32682_1</t>
  </si>
  <si>
    <t>Residence in Megara, Attica</t>
  </si>
  <si>
    <t xml:space="preserve">Old ground floor residence of 75,70 sq.m. on a land plot of a total area of 172,56 sq.m. </t>
  </si>
  <si>
    <t>32 Grevenon Str.</t>
  </si>
  <si>
    <t>West Attica</t>
  </si>
  <si>
    <t>Megara</t>
  </si>
  <si>
    <t xml:space="preserve"> 37° 59' 53.90" N  23° 20' 22.10" E</t>
  </si>
  <si>
    <t>https://www.realestateonline.gr/en/akinito/32682_1-RES_6757</t>
  </si>
  <si>
    <t>https://www.spitogatos.gr/en/for_sale-homes/map-search/minliving_area-30/maxliving_area-200?latitudeLow=37.996278&amp;latitudeHigh=38.000332&amp;longitudeLow=23.336910&amp;longitudeHigh=23.342033&amp;zoom=18</t>
  </si>
  <si>
    <t>34412_0</t>
  </si>
  <si>
    <t>Apartment in Amerikis Square, Athens</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</si>
  <si>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</si>
  <si>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</si>
  <si>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</si>
  <si>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35209_0</t>
  </si>
  <si>
    <t>Apartment in Kipseli, Athens</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</si>
  <si>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</si>
  <si>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</si>
  <si>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</si>
  <si>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</si>
  <si>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https://www.spitogatos.gr/en/for_sale-homes/map-search/minliving_area-30/maxliving_area-200?latitudeLow=38.002199&amp;latitudeHigh=38.004000&amp;longitudeLow=23.735161&amp;longitudeHigh=23.737438&amp;zoom=18</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</si>
  <si>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</si>
  <si>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</si>
  <si>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</si>
  <si>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</si>
  <si>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</si>
  <si>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</si>
  <si>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https://www.spitogatos.gr/en/for_sale-homes/map-search/minliving_area-30/maxliving_area-200?latitudeLow=38.000499&amp;latitudeHigh=38.002300&amp;longitudeLow=23.724361&amp;longitudeHigh=23.726638&amp;zoom=18</t>
  </si>
  <si>
    <t>34408_0</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</si>
  <si>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</si>
  <si>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</si>
  <si>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</si>
  <si>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 xml:space="preserve"> 37° 58' 48.00" N  23° 42' 36.00" E</t>
  </si>
  <si>
    <t>https://www.realestateonline.gr/en/akinito/34408_0-RES_17700</t>
  </si>
  <si>
    <t>https://www.spitogatos.gr/en/for_sale-homes/map-search/minliving_area-30/maxliving_area-200?latitudeLow=37.979099&amp;latitudeHigh=37.980900&amp;longitudeLow=23.708861&amp;longitudeHigh=23.711138&amp;zoom=18</t>
  </si>
  <si>
    <t>34130_0</t>
  </si>
  <si>
    <t>Residence in Piraeus</t>
  </si>
  <si>
    <t>Ground floor residence of 82,25 sq.m. with auxiliary boiler room on the roof of an area of 19,04 sq.m., within a land plot of a total area of 102,82 sq.m.</t>
  </si>
  <si>
    <t>68, Kapetan Germa Str.</t>
  </si>
  <si>
    <t>Piraeus</t>
  </si>
  <si>
    <t xml:space="preserve"> 37° 57' 39.19" N  23° 38' 20.60" E</t>
  </si>
  <si>
    <t>https://www.realestateonline.gr/en/akinito/34130_0-RES_15655</t>
  </si>
  <si>
    <t>https://www.spitogatos.gr/en/for_sale-homes/map-search/minliving_area-30/maxliving_area-200?latitudeLow=37.959985&amp;latitudeHigh=37.961787&amp;longitudeLow=23.637917&amp;longitudeHigh=23.640193&amp;zoom=18</t>
  </si>
  <si>
    <t>34595_0</t>
  </si>
  <si>
    <t>Apartment in Keratsini, Attica</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</si>
  <si>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</si>
  <si>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</si>
  <si>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Keratsini-Drapetsona</t>
  </si>
  <si>
    <t xml:space="preserve"> 37° 57' 49.68" N  23° 37' 33.60" E</t>
  </si>
  <si>
    <t>https://www.realestateonline.gr/en/akinito/34595_0-APP_17897</t>
  </si>
  <si>
    <t>https://www.spitogatos.gr/en/for_sale-homes/map-search/minliving_area-30/maxliving_area-200?latitudeLow=37.962899&amp;latitudeHigh=37.964700&amp;longitudeLow=23.624862&amp;longitudeHigh=23.627137&amp;zoom=18</t>
  </si>
  <si>
    <t>35162_0</t>
  </si>
  <si>
    <t>Apartment in Koliatsou Square, Athens</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</si>
  <si>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</si>
  <si>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</si>
  <si>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</si>
  <si>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</si>
  <si>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https://www.spitogatos.gr/en/for_sale-homes/map-search/minliving_area-30/maxliving_area-200?latitudeLow=38.009299&amp;latitudeHigh=38.011100&amp;longitudeLow=23.733561&amp;longitudeHigh=23.735838&amp;zoom=18</t>
  </si>
  <si>
    <t>33700_0</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</si>
  <si>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</si>
  <si>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</si>
  <si>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</si>
  <si>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South Sector of Athens</t>
  </si>
  <si>
    <t>Alimos</t>
  </si>
  <si>
    <t xml:space="preserve"> 37° 55' 12.00" N  23° 44' 24.00" E</t>
  </si>
  <si>
    <t>https://www.realestateonline.gr/en/akinito/33700_0-APP_18023</t>
  </si>
  <si>
    <t>https://www.spitogatos.gr/en/for_sale-homes/map-search/minliving_area-30/maxliving_area-200?latitudeLow=37.919099&amp;latitudeHigh=37.920900&amp;longitudeLow=23.738862&amp;longitudeHigh=23.741137&amp;zoom=18</t>
  </si>
  <si>
    <t>35139_2</t>
  </si>
  <si>
    <t>Apartment in Peiraiki, Piraeus</t>
  </si>
  <si>
    <t>Ground floor-semi basement apartment of an area of 110,30 sq.m. that comprises of a living room, kitchen, storage space, bathroom and 3 bedrooms. There isn't an elevator in the building.</t>
  </si>
  <si>
    <t>101 Omiridou &amp; Moutsopoulou str.</t>
  </si>
  <si>
    <t xml:space="preserve"> 37° 55' 44.29" N  23° 38' 28.12" E</t>
  </si>
  <si>
    <t>https://www.realestateonline.gr/en/akinito/35139_2-APP_18224</t>
  </si>
  <si>
    <t>https://www.spitogatos.gr/en/for_sale-homes/map-search/minliving_area-30/maxliving_area-200?latitudeLow=37.928068&amp;latitudeHigh=37.929870&amp;longitudeLow=23.640007&amp;longitudeHigh=23.642281&amp;zoom=18</t>
  </si>
  <si>
    <t>35005_0</t>
  </si>
  <si>
    <t>Apartment in Vathis Square, Athens</t>
  </si>
  <si>
    <t xml:space="preserve">Seventh floor apartment (33) of an area of 74,80 sq.m. that comprises of a hall, living room, kitchen, bathroom and two bedrooms. There is an elevator in the building. </t>
  </si>
  <si>
    <t>52, Chalkokondyli str.</t>
  </si>
  <si>
    <t xml:space="preserve"> 37° 59' 24.00" N  23° 43' 48.00" E</t>
  </si>
  <si>
    <t>https://www.realestateonline.gr/en/akinito/35005_0-APP_18116</t>
  </si>
  <si>
    <t>https://www.spitogatos.gr/en/for_sale-homes/map-search/minliving_area-30/maxliving_area-200?latitudeLow=37.989099&amp;latitudeHigh=37.990900&amp;longitudeLow=23.728861&amp;longitudeHigh=23.731138&amp;zoom=18</t>
  </si>
  <si>
    <t>34664_0</t>
  </si>
  <si>
    <t>Apartment in Kato Patisia, Athens</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</si>
  <si>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</si>
  <si>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</si>
  <si>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</si>
  <si>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</si>
  <si>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https://www.spitogatos.gr/en/for_sale-homes/map-search/minliving_area-30/maxliving_area-200?latitudeLow=38.009999&amp;latitudeHigh=38.011800&amp;longitudeLow=23.727461&amp;longitudeHigh=23.729738&amp;zoom=18</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</si>
  <si>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</si>
  <si>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</si>
  <si>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</si>
  <si>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</si>
  <si>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</si>
  <si>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</si>
  <si>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https://www.spitogatos.gr/en/for_sale-homes/map-search/minliving_area-30/maxliving_area-200?latitudeLow=37.988899&amp;latitudeHigh=37.990700&amp;longitudeLow=23.763361&amp;longitudeHigh=23.765638&amp;zoom=18</t>
  </si>
  <si>
    <t>34949_0</t>
  </si>
  <si>
    <t>Apartment in Vyronas, Attica</t>
  </si>
  <si>
    <t>Third floor apartment (Γ-1) of an area of 69,22 sq.m. that comprises of a living room, kitchen, bathroom and two bedrooms. There isn't an elevator in the building.</t>
  </si>
  <si>
    <t>31, Odemisiou str.</t>
  </si>
  <si>
    <t>Vyronas</t>
  </si>
  <si>
    <t xml:space="preserve"> 37° 57' 50.76" N  23° 45' 24.48" E</t>
  </si>
  <si>
    <t>https://www.realestateonline.gr/en/akinito/34949_0-APP_18298</t>
  </si>
  <si>
    <t>https://www.spitogatos.gr/en/for_sale-homes/map-search/minliving_area-30/maxliving_area-200?latitudeLow=37.963199&amp;latitudeHigh=37.965000&amp;longitudeLow=23.755662&amp;longitudeHigh=23.757937&amp;zoom=18</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</si>
  <si>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</si>
  <si>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</si>
  <si>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</si>
  <si>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</si>
  <si>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</si>
  <si>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</si>
  <si>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https://www.spitogatos.gr/en/for_sale-homes/map-search/minliving_area-30/maxliving_area-200?latitudeLow=37.985599&amp;latitudeHigh=37.987400&amp;longitudeLow=23.725461&amp;longitudeHigh=23.727738&amp;zoom=18</t>
  </si>
  <si>
    <t>34880_0</t>
  </si>
  <si>
    <t>Apartment in Plateia Viktorias</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</si>
  <si>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</si>
  <si>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</si>
  <si>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</si>
  <si>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</si>
  <si>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https://www.spitogatos.gr/en/for_sale-homes/map-search/minliving_area-30/maxliving_area-200?latitudeLow=37.990099&amp;latitudeHigh=37.991900&amp;longitudeLow=23.725861&amp;longitudeHigh=23.728138&amp;zoom=18</t>
  </si>
  <si>
    <t>34709_0</t>
  </si>
  <si>
    <t>Ground floor apartment (6) of an area of 52,45 sq.m. that comprises of a living room, kitchen, bathroom and a bedroom.</t>
  </si>
  <si>
    <t>3, Karpathou str.</t>
  </si>
  <si>
    <t>https://www.realestateonline.gr/en/akinito/34709_0-APP_18296</t>
  </si>
  <si>
    <t>34391_0</t>
  </si>
  <si>
    <t>Apartment in Ampelokipoi, Athens</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</si>
  <si>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</si>
  <si>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</si>
  <si>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</si>
  <si>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</si>
  <si>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https://www.spitogatos.gr/en/for_sale-homes/map-search/minliving_area-30/maxliving_area-200?latitudeLow=37.980499&amp;latitudeHigh=37.982300&amp;longitudeLow=23.760061&amp;longitudeHigh=23.762338&amp;zoom=18</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</si>
  <si>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</si>
  <si>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</si>
  <si>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</si>
  <si>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</si>
  <si>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</si>
  <si>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https://www.spitogatos.gr/en/for_sale-homes/map-search/minliving_area-30/maxliving_area-200?latitudeLow=37.998299&amp;latitudeHigh=38.000100&amp;longitudeLow=23.737661&amp;longitudeHigh=23.739938&amp;zoom=18</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</si>
  <si>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</si>
  <si>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</si>
  <si>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</si>
  <si>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</si>
  <si>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</si>
  <si>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</si>
  <si>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https://www.spitogatos.gr/en/for_sale-homes/map-search/minliving_area-30/maxliving_area-200?latitudeLow=38.014299&amp;latitudeHigh=38.016100&amp;longitudeLow=23.733061&amp;longitudeHigh=23.735338&amp;zoom=18</t>
  </si>
  <si>
    <t>34512_0</t>
  </si>
  <si>
    <t>Apartment in Agios Panteleimonas, Athens</t>
  </si>
  <si>
    <t>Third floor apartment (no 36) of an area of 61,00 sq.m. that comprises of a living room-kitchen, bathroom and two bedrooms. There is an elevator in the building.</t>
  </si>
  <si>
    <t>107-109, Alkamenous str.</t>
  </si>
  <si>
    <t xml:space="preserve"> 38°  0'  0.00" N  23° 43' 12.00" E</t>
  </si>
  <si>
    <t>https://www.realestateonline.gr/en/akinito/34512_0-APP_18918</t>
  </si>
  <si>
    <t>https://www.spitogatos.gr/en/for_sale-homes/map-search/minliving_area-30/maxliving_area-200?latitudeLow=37.999099&amp;latitudeHigh=38.000900&amp;longitudeLow=23.718861&amp;longitudeHigh=23.721138&amp;zoom=18</t>
  </si>
  <si>
    <t>34991_0</t>
  </si>
  <si>
    <t>Apartment in Attikis Square, Athens</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</si>
  <si>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</si>
  <si>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</si>
  <si>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</si>
  <si>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</si>
  <si>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https://www.spitogatos.gr/en/for_sale-homes/map-search/minliving_area-30/maxliving_area-200?latitudeLow=38.001299&amp;latitudeHigh=38.003100&amp;longitudeLow=23.725561&amp;longitudeHigh=23.727838&amp;zoom=18</t>
  </si>
  <si>
    <t>34760_0</t>
  </si>
  <si>
    <t>Ground floor apartment (I3) of an area of 52,08 sq.m. consisting of a living room, kitchen, bathroom and a bedroom.</t>
  </si>
  <si>
    <t>135, Alkamenous str.</t>
  </si>
  <si>
    <t>https://www.realestateonline.gr/en/akinito/34760_0-APP_18304</t>
  </si>
  <si>
    <t>35068_0</t>
  </si>
  <si>
    <t>Apartment in Agios Nikolaos, Athens</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</si>
  <si>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</si>
  <si>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</si>
  <si>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</si>
  <si>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</si>
  <si>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https://www.spitogatos.gr/en/for_sale-homes/map-search/minliving_area-30/maxliving_area-200?latitudeLow=38.006299&amp;latitudeHigh=38.008100&amp;longitudeLow=23.726361&amp;longitudeHigh=23.728638&amp;zoom=18</t>
  </si>
  <si>
    <t>34748_0</t>
  </si>
  <si>
    <t>Apartment in Agios Ioannis-Rentis, Attica</t>
  </si>
  <si>
    <t>First floor corner apartment o an area of 71.22 sq.m. consisting of a living room, kitchen, 2 bedrooms, 1 bathroom. Visiting the property is not possible.</t>
  </si>
  <si>
    <t>87 Kallipoleos Str.</t>
  </si>
  <si>
    <t>Nikaia-Agios Ioannis Rentis</t>
  </si>
  <si>
    <t xml:space="preserve"> 37° 58' 12.00" N  23° 39'  0.00" E</t>
  </si>
  <si>
    <t>https://www.realestateonline.gr/en/akinito/34748_0-APP_17678</t>
  </si>
  <si>
    <t>https://www.spitogatos.gr/en/for_sale-homes/map-search/minliving_area-30/maxliving_area-200?latitudeLow=37.969099&amp;latitudeHigh=37.970900&amp;longitudeLow=23.648861&amp;longitudeHigh=23.651138&amp;zoom=18</t>
  </si>
  <si>
    <t>34445_0</t>
  </si>
  <si>
    <t>Apartment in Piraeus</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</si>
  <si>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</si>
  <si>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</si>
  <si>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</si>
  <si>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</si>
  <si>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https://www.spitogatos.gr/en/for_sale-homes/map-search/minliving_area-30/maxliving_area-200?latitudeLow=37.954399&amp;latitudeHigh=37.956200&amp;longitudeLow=23.656162&amp;longitudeHigh=23.658437&amp;zoom=18</t>
  </si>
  <si>
    <t>34834_0</t>
  </si>
  <si>
    <t>Second floor apartment (B2) of a total area of ​​158,10 sq.m. consisting of living room, kitchen, bathroom &amp; 2 bedrooms. Needs renovation. There's elevator in the building.</t>
  </si>
  <si>
    <t>Koraka &amp; 65 Strat.Dagkli str.</t>
  </si>
  <si>
    <t xml:space="preserve"> 38°  0' 36.00" N  23° 43' 12.00" E</t>
  </si>
  <si>
    <t>https://www.realestateonline.gr/en/akinito/34834_0-APP_18307</t>
  </si>
  <si>
    <t>https://www.spitogatos.gr/en/for_sale-homes/map-search/minliving_area-30/maxliving_area-200?latitudeLow=38.008648&amp;latitudeHigh=38.011351&amp;longitudeLow=23.718292&amp;longitudeHigh=23.721708&amp;zoom=18</t>
  </si>
  <si>
    <t>Central Macedonia</t>
  </si>
  <si>
    <t>Thessaloniki</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</si>
  <si>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</si>
  <si>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</si>
  <si>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</si>
  <si>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</si>
  <si>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</si>
  <si>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https://www.spitogatos.gr/en/for_sale-homes/map-search/minliving_area-30/maxliving_area-200?latitudeLow=37.960999&amp;latitudeHigh=37.962800&amp;longitudeLow=23.627862&amp;longitudeHigh=23.630137&amp;zoom=18</t>
  </si>
  <si>
    <t>35298_0</t>
  </si>
  <si>
    <t>Apartment in Peristeri, Attica</t>
  </si>
  <si>
    <t>A floor apartment (A1) 87.10 sq.m. consists of living room, dining room, kitchen, bathroom and 2 bedrooms. The property does not have an elevator and is rented until 31/10/2027 for €370/month.</t>
  </si>
  <si>
    <t>43 Kalavriton str.</t>
  </si>
  <si>
    <t>Peristeri</t>
  </si>
  <si>
    <t xml:space="preserve"> 38°  0' 21.16" N  23° 40' 54.40" E</t>
  </si>
  <si>
    <t>https://www.realestateonline.gr/en/akinito/35298_0-APP_19998</t>
  </si>
  <si>
    <t>https://www.spitogatos.gr/en/for_sale-homes/map-search/minliving_area-30/maxliving_area-200?latitudeLow=38.004976&amp;latitudeHigh=38.006778&amp;longitudeLow=23.680639&amp;longitudeHigh=23.682916&amp;zoom=18</t>
  </si>
  <si>
    <t>34705_0</t>
  </si>
  <si>
    <t>Apartment in Korydallos, Attica</t>
  </si>
  <si>
    <t>Ground floor apartment (I1) of 73.94 sq.m. consisting of 2 bedrooms, living room, kitchen and external bathroom.</t>
  </si>
  <si>
    <t>60 Agios Nikolaos str. &amp; 41 Erechtheiou str.</t>
  </si>
  <si>
    <t>Korydallos</t>
  </si>
  <si>
    <t xml:space="preserve"> 37° 58' 57.72" N  23° 39' 33.84" E</t>
  </si>
  <si>
    <t>https://www.realestateonline.gr/en/akinito/34705_0-APP_19149</t>
  </si>
  <si>
    <t>https://www.spitogatos.gr/en/for_sale-homes/map-search/minliving_area-30/maxliving_area-200?latitudeLow=37.981799&amp;latitudeHigh=37.983600&amp;longitudeLow=23.658261&amp;longitudeHigh=23.660538&amp;zoom=18</t>
  </si>
  <si>
    <t>33418_0</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</si>
  <si>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</si>
  <si>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</si>
  <si>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</si>
  <si>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North Sector of Athens</t>
  </si>
  <si>
    <t>Nea Ionia</t>
  </si>
  <si>
    <t xml:space="preserve"> 38°  2' 47.90" N  23° 45' 19.90" E</t>
  </si>
  <si>
    <t>https://www.realestateonline.gr/en/akinito/33418_0-RES_17780</t>
  </si>
  <si>
    <t>https://www.spitogatos.gr/en/for_sale-homes/map-search/minliving_area-30/maxliving_area-200?latitudeLow=38.045737&amp;latitudeHigh=38.047539&amp;longitudeLow=23.754388&amp;longitudeHigh=23.756667&amp;zoom=18</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</si>
  <si>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</si>
  <si>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</si>
  <si>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</si>
  <si>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</si>
  <si>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</si>
  <si>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</si>
  <si>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</si>
  <si>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https://www.spitogatos.gr/en/for_sale-homes/map-search/minliving_area-30/maxliving_area-200?latitudeLow=37.925499&amp;latitudeHigh=37.927300&amp;longitudeLow=23.700943&amp;longitudeHigh=23.703217&amp;zoom=18</t>
  </si>
  <si>
    <t>34191_1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</si>
  <si>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</si>
  <si>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</si>
  <si>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</si>
  <si>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 xml:space="preserve"> 37° 57' 36.00" N  23° 43' 12.00" E</t>
  </si>
  <si>
    <t>https://www.realestateonline.gr/en/akinito/34191_1-APP_20119</t>
  </si>
  <si>
    <t>https://www.spitogatos.gr/en/for_sale-homes/map-search/minliving_area-30/maxliving_area-200?latitudeLow=37.959099&amp;latitudeHigh=37.960900&amp;longitudeLow=23.718862&amp;longitudeHigh=23.721137&amp;zoom=18</t>
  </si>
  <si>
    <t>34410_0</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</si>
  <si>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</si>
  <si>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</si>
  <si>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</si>
  <si>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</si>
  <si>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https://www.spitogatos.gr/en/for_sale-homes/map-search/minliving_area-30/maxliving_area-200?latitudeLow=37.998699&amp;latitudeHigh=38.000500&amp;longitudeLow=23.729961&amp;longitudeHigh=23.732238&amp;zoom=18</t>
  </si>
  <si>
    <t>34821_0</t>
  </si>
  <si>
    <t>Apartment in Kato Toumba, Thessaloniki</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</si>
  <si>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</si>
  <si>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</si>
  <si>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</si>
  <si>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</si>
  <si>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https://www.spitogatos.gr/en/for_sale-homes/map-search/minliving_area-30/maxliving_area-200?latitudeLow=40.607899&amp;latitudeHigh=40.609700&amp;longitudeLow=22.970518&amp;longitudeHigh=22.972881&amp;zoom=18</t>
  </si>
  <si>
    <t>33333_0</t>
  </si>
  <si>
    <t>Apartment in Kaisariani, Athens</t>
  </si>
  <si>
    <t>Second floor apartment of a total area of 106.50 sq.m. on a land plot of a total area of 135.20 sq.m. The apartment is leased up until 30/6/2025 with a monthly lease of €400</t>
  </si>
  <si>
    <t>86, Ethnikis Antistaseos Str.</t>
  </si>
  <si>
    <t>Kaisariani</t>
  </si>
  <si>
    <t xml:space="preserve"> 37° 58'  4.91" N  23° 45' 35.64" E</t>
  </si>
  <si>
    <t>https://www.realestateonline.gr/en/akinito/33333_0-APP_17533</t>
  </si>
  <si>
    <t>https://www.spitogatos.gr/en/for_sale-homes/map-search/minliving_area-30/maxliving_area-200?latitudeLow=37.967129&amp;latitudeHigh=37.968931&amp;longitudeLow=23.758761&amp;longitudeHigh=23.761038&amp;zoom=18</t>
  </si>
  <si>
    <t>34437_0</t>
  </si>
  <si>
    <t>Apartment in Ano Patisia, Athens</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</si>
  <si>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</si>
  <si>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</si>
  <si>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</si>
  <si>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</si>
  <si>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https://www.spitogatos.gr/en/for_sale-homes/map-search/minliving_area-30/maxliving_area-200?latitudeLow=38.024899&amp;latitudeHigh=38.026700&amp;longitudeLow=23.732761&amp;longitudeHigh=23.735038&amp;zoom=18</t>
  </si>
  <si>
    <t>34879_0</t>
  </si>
  <si>
    <t>Apartment in Larissa Station, Athens</t>
  </si>
  <si>
    <t>First floor apartment (A-2) of an area of 67 sq.m. on a land plot of a total area of 262,32 sq.m. Visiting the property is not possible.</t>
  </si>
  <si>
    <t>107, Samou str.</t>
  </si>
  <si>
    <t>Saronic Islands</t>
  </si>
  <si>
    <t>Salamis Island</t>
  </si>
  <si>
    <t xml:space="preserve"> 37° 59' 39.48" N  23° 43' 20.28" E</t>
  </si>
  <si>
    <t>https://www.realestateonline.gr/en/akinito/34879_0-APP_16436</t>
  </si>
  <si>
    <t>https://www.spitogatos.gr/en/for_sale-homes/map-search/minliving_area-30/maxliving_area-200?latitudeLow=37.993399&amp;latitudeHigh=37.995200&amp;longitudeLow=23.721161&amp;longitudeHigh=23.723438&amp;zoom=18</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</si>
  <si>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</si>
  <si>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</si>
  <si>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</si>
  <si>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</si>
  <si>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</si>
  <si>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</si>
  <si>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https://www.spitogatos.gr/en/for_sale-homes/map-search/minliving_area-30/maxliving_area-200?latitudeLow=37.997899&amp;latitudeHigh=37.999700&amp;longitudeLow=23.762161&amp;longitudeHigh=23.764438&amp;zoom=18</t>
  </si>
  <si>
    <t>35225_0</t>
  </si>
  <si>
    <t xml:space="preserve">Ground floor apartment (Ι-2) of an area of 80,50 sq.m. that comprises of a living room, dining room, kitchen, bathroom and a bedroom. </t>
  </si>
  <si>
    <t>27, Prousis, 4-8 Adanon &amp; 96-96A Liosion str.</t>
  </si>
  <si>
    <t xml:space="preserve"> 37° 59' 24.00" N  23° 43' 12.00" E</t>
  </si>
  <si>
    <t>https://www.realestateonline.gr/en/akinito/35225_0-APP_18130</t>
  </si>
  <si>
    <t>https://www.spitogatos.gr/en/for_sale-homes/map-search/minliving_area-30/maxliving_area-200?latitudeLow=37.989099&amp;latitudeHigh=37.990900&amp;longitudeLow=23.718861&amp;longitudeHigh=23.721138&amp;zoom=18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</si>
  <si>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</si>
  <si>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</si>
  <si>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</si>
  <si>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</si>
  <si>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</si>
  <si>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</si>
  <si>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https://www.spitogatos.gr/en/for_sale-homes/map-search/minliving_area-30/maxliving_area-200?latitudeLow=37.997799&amp;latitudeHigh=37.999600&amp;longitudeLow=23.724161&amp;longitudeHigh=23.726438&amp;zoom=18</t>
  </si>
  <si>
    <t>35028_0</t>
  </si>
  <si>
    <t>Apartment in Acharnai, Attica</t>
  </si>
  <si>
    <t>Dual aspect second floor apartment (B-1) of a total area of 109,83 sq.m. Comprises of a hall, a living room, a dining room, 2 bedrooms, a kitchen and a WC.</t>
  </si>
  <si>
    <t>95 Kyprou Str. Charavgi or Goulioumes location</t>
  </si>
  <si>
    <t>East Attica</t>
  </si>
  <si>
    <t>Acharnes</t>
  </si>
  <si>
    <t xml:space="preserve"> 38°  4' 28.56" N  23° 44' 36.60" E</t>
  </si>
  <si>
    <t>https://www.realestateonline.gr/en/akinito/35028_0-APP_17875</t>
  </si>
  <si>
    <t>https://www.spitogatos.gr/en/for_sale-homes/map-search/minliving_area-30/maxliving_area-200?latitudeLow=38.073699&amp;latitudeHigh=38.075500&amp;longitudeLow=23.742360&amp;longitudeHigh=23.744639&amp;zoom=18</t>
  </si>
  <si>
    <t>33520_0</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</si>
  <si>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</si>
  <si>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</si>
  <si>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</si>
  <si>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Kifisia</t>
  </si>
  <si>
    <t xml:space="preserve"> 38°  4' 12.00" N  23° 48' 36.00" E</t>
  </si>
  <si>
    <t>https://www.realestateonline.gr/en/akinito/33520_0-APP_18281</t>
  </si>
  <si>
    <t>https://www.spitogatos.gr/en/for_sale-homes/map-search/minliving_area-30/maxliving_area-200?latitudeLow=38.069099&amp;latitudeHigh=38.070900&amp;longitudeLow=23.808860&amp;longitudeHigh=23.811139&amp;zoom=18</t>
  </si>
  <si>
    <t>70155_0</t>
  </si>
  <si>
    <t>Apartment in Megara</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</si>
  <si>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</si>
  <si>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</si>
  <si>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</si>
  <si>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</si>
  <si>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https://www.spitogatos.gr/en/for_sale-homes/map-search/minliving_area-30/maxliving_area-200?latitudeLow=37.994071&amp;latitudeHigh=37.995873&amp;longitudeLow=23.342722&amp;longitudeHigh=23.344999&amp;zoom=18</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</si>
  <si>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</si>
  <si>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</si>
  <si>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</si>
  <si>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</si>
  <si>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</si>
  <si>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https://www.spitogatos.gr/en/for_sale-homes/map-search/minliving_area-30/maxliving_area-200?latitudeLow=37.997099&amp;latitudeHigh=37.998900&amp;longitudeLow=23.721161&amp;longitudeHigh=23.723438&amp;zoom=18</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</si>
  <si>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</si>
  <si>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</si>
  <si>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</si>
  <si>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</si>
  <si>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Elefsina</t>
  </si>
  <si>
    <t xml:space="preserve"> 38°  3' 51.48" N  23° 31' 50.88" E</t>
  </si>
  <si>
    <t>https://www.realestateonline.gr/en/akinito/34601_0-APP_18096</t>
  </si>
  <si>
    <t>https://www.spitogatos.gr/en/for_sale-homes/map-search/minliving_area-30/maxliving_area-200?latitudeLow=38.063399&amp;latitudeHigh=38.065200&amp;longitudeLow=23.529660&amp;longitudeHigh=23.531939&amp;zoom=18</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</si>
  <si>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</si>
  <si>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</si>
  <si>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</si>
  <si>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</si>
  <si>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</si>
  <si>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</si>
  <si>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https://www.spitogatos.gr/en/for_sale-homes/map-search/minliving_area-30/maxliving_area-200?latitudeLow=37.953221&amp;latitudeHigh=37.955023&amp;longitudeLow=23.751739&amp;longitudeHigh=23.754015&amp;zoom=18</t>
  </si>
  <si>
    <t>35234_1</t>
  </si>
  <si>
    <t>Apartment in Ilioupoli, Attica</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</si>
  <si>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</si>
  <si>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</si>
  <si>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Ilioupoli</t>
  </si>
  <si>
    <t>37°56'28.3"N 23°45'39.1"E</t>
  </si>
  <si>
    <t>https://www.realestateonline.gr/en/akinito/35234_1-APP_17778</t>
  </si>
  <si>
    <t>https://www.spitogatos.gr/en/for_sale-homes/map-search/minliving_area-30/maxliving_area-200?latitudeLow=37.940293&amp;latitudeHigh=37.942095&amp;longitudeLow=23.759723&amp;longitudeHigh=23.761998&amp;zoom=18</t>
  </si>
  <si>
    <t>32520_0</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</si>
  <si>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</si>
  <si>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</si>
  <si>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</si>
  <si>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</si>
  <si>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</si>
  <si>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</si>
  <si>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https://www.spitogatos.gr/en/for_sale-homes/map-search/minliving_area-30/maxliving_area-200?latitudeLow=37.964818&amp;latitudeHigh=37.966620&amp;longitudeLow=23.563837&amp;longitudeHigh=23.566113&amp;zoom=18</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</si>
  <si>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</si>
  <si>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</si>
  <si>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</si>
  <si>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</si>
  <si>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</si>
  <si>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</si>
  <si>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https://www.spitogatos.gr/en/for_sale-homes/map-search/minliving_area-30/maxliving_area-200?latitudeLow=37.953299&amp;latitudeHigh=37.955100&amp;longitudeLow=23.723362&amp;longitudeHigh=23.725637&amp;zoom=18</t>
  </si>
  <si>
    <t>34328_0</t>
  </si>
  <si>
    <t>Apartment in Stavroupolis, Thessaloniki</t>
  </si>
  <si>
    <t>First floor apartment of an area of 123,51 sq.m. that comprises of a living room, kitchen, bathroom, wc and three bedrooms. The property is rented until 31/12/2025 with monthly rental €288.40.</t>
  </si>
  <si>
    <t>8, G. Davaki str.</t>
  </si>
  <si>
    <t>Pavlos Melas</t>
  </si>
  <si>
    <t xml:space="preserve"> 40° 40' 12.36" N  22° 55' 45.48" E</t>
  </si>
  <si>
    <t>https://www.realestateonline.gr/en/akinito/34328_0-APP_18557</t>
  </si>
  <si>
    <t>https://www.spitogatos.gr/en/for_sale-homes/map-search/minliving_area-30/maxliving_area-200?latitudeLow=40.669199&amp;latitudeHigh=40.671000&amp;longitudeLow=22.928117&amp;longitudeHigh=22.930482&amp;zoom=18</t>
  </si>
  <si>
    <t>34530_0</t>
  </si>
  <si>
    <t>Apartment in Ano Liosia</t>
  </si>
  <si>
    <t xml:space="preserve"> First floor apartment (Γ) of an area of 86,10 sq.m. on a land plot of an area of 250,01 sq.m.</t>
  </si>
  <si>
    <t xml:space="preserve">20, Ioanni Mavrou Str. </t>
  </si>
  <si>
    <t>Fyli</t>
  </si>
  <si>
    <t xml:space="preserve"> 38°  4' 40.80" N  23° 42' 23.04" E</t>
  </si>
  <si>
    <t>https://www.realestateonline.gr/en/akinito/34530_0-APP_16092</t>
  </si>
  <si>
    <t>https://www.spitogatos.gr/en/for_sale-homes/map-search/minliving_area-30/maxliving_area-200?latitudeLow=38.077099&amp;latitudeHigh=38.078900&amp;longitudeLow=23.705260&amp;longitudeHigh=23.707539&amp;zoom=18</t>
  </si>
  <si>
    <t>33749_1</t>
  </si>
  <si>
    <t>Apartment in Glyfada</t>
  </si>
  <si>
    <t>2nd floor apartment (B-1) of a total area of 87,50 sq.m. Comprises of 3 bedrooms, living room, kitchen, 1 bathroom and 1 WC. There’s elevator in the building.</t>
  </si>
  <si>
    <t>7, Navarchou Votsi Str.</t>
  </si>
  <si>
    <t>Glyfada</t>
  </si>
  <si>
    <t xml:space="preserve"> 37° 52' 35.90" N  23° 45'  3.50" E</t>
  </si>
  <si>
    <t>https://www.realestateonline.gr/en/akinito/33749_1-APP_20005</t>
  </si>
  <si>
    <t>https://www.spitogatos.gr/en/for_sale-homes/map-search/minliving_area-30/maxliving_area-200?latitudeLow=37.875737&amp;latitudeHigh=37.877539&amp;longitudeLow=23.749835&amp;longitudeHigh=23.752108&amp;zoom=18</t>
  </si>
  <si>
    <t>33984_0</t>
  </si>
  <si>
    <t>Apartment in Agia Paraskevi, Attica</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</si>
  <si>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</si>
  <si>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</si>
  <si>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Agia Paraskevi</t>
  </si>
  <si>
    <t xml:space="preserve"> 38°  1' 12.00" N  23° 49' 48.00" E</t>
  </si>
  <si>
    <t>https://www.realestateonline.gr/en/akinito/33984_0-APP_15894</t>
  </si>
  <si>
    <t>https://www.spitogatos.gr/en/for_sale-homes/map-search/minliving_area-30/maxliving_area-200?latitudeLow=38.019099&amp;latitudeHigh=38.020900&amp;longitudeLow=23.828861&amp;longitudeHigh=23.831138&amp;zoom=18</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</si>
  <si>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</si>
  <si>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</si>
  <si>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</si>
  <si>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</si>
  <si>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</si>
  <si>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</si>
  <si>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https://www.spitogatos.gr/en/for_sale-homes/map-search/minliving_area-30/maxliving_area-200?latitudeLow=37.993699&amp;latitudeHigh=37.995500&amp;longitudeLow=23.725061&amp;longitudeHigh=23.727338&amp;zoom=18</t>
  </si>
  <si>
    <t>35258_1</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</si>
  <si>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</si>
  <si>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</si>
  <si>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</si>
  <si>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Oraiokastro</t>
  </si>
  <si>
    <t xml:space="preserve"> 40° 46'  1.92" N  22° 55' 31.80" E</t>
  </si>
  <si>
    <t>https://www.realestateonline.gr/en/akinito/35258_1-RES_19470</t>
  </si>
  <si>
    <t>https://www.spitogatos.gr/en/for_sale-homes/map-search/minliving_area-30/maxliving_area-200?latitudeLow=40.765849&amp;latitudeHigh=40.768550&amp;longitudeLow=22.923723&amp;longitudeHigh=22.927276&amp;zoom=18</t>
  </si>
  <si>
    <t>35044_0</t>
  </si>
  <si>
    <t>Apartment in Pagrati</t>
  </si>
  <si>
    <t>Third floor apartment of an area of 101.97 sq.m. on a landplot of 138.50 sq.m. The property is rented until 31/8/2027 and monthly rental 750,00 euros.</t>
  </si>
  <si>
    <t>Laertou 42 &amp; Artotini 50</t>
  </si>
  <si>
    <t>37°57'58.4"N 23°45'17.4"E</t>
  </si>
  <si>
    <t>https://www.realestateonline.gr/en/akinito/35044_0-APP_16117</t>
  </si>
  <si>
    <t>https://www.spitogatos.gr/en/for_sale-homes/map-search/minliving_area-30/maxliving_area-200?latitudeLow=37.965321&amp;latitudeHigh=37.967123&amp;longitudeLow=23.753695&amp;longitudeHigh=23.755971&amp;zoom=18</t>
  </si>
  <si>
    <t>34087_1</t>
  </si>
  <si>
    <t>Apartment in Aigaleo</t>
  </si>
  <si>
    <t>Ground floor apartment (1) with a total area of ​​105.36 sq.m. with loft. Ground floor 73.51 sq.m. with living room, bathroom, kitchen &amp; 1 bedroom. Attic 31.85 sq.m. with bathroom &amp; 1 bedroom.</t>
  </si>
  <si>
    <t xml:space="preserve">48, Nestoros Str. </t>
  </si>
  <si>
    <t>Aigaleo</t>
  </si>
  <si>
    <t xml:space="preserve"> 37° 59'  9.27" N  23° 40' 17.31" E</t>
  </si>
  <si>
    <t>https://www.realestateonline.gr/en/akinito/34087_1-APP_18074</t>
  </si>
  <si>
    <t>https://www.spitogatos.gr/en/for_sale-homes/map-search/minliving_area-30/maxliving_area-200?latitudeLow=37.985007&amp;latitudeHigh=37.986809&amp;longitudeLow=23.670336&amp;longitudeHigh=23.672613&amp;zoom=18</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</si>
  <si>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</si>
  <si>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</si>
  <si>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</si>
  <si>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</si>
  <si>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</si>
  <si>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https://www.realestateonline.gr/en/akinito/34913_0-RES_16935</t>
  </si>
  <si>
    <t>https://www.spitogatos.gr/en/for_sale-homes/map-search/minliving_area-30/maxliving_area-200?latitudeLow=38.107972&amp;latitudeHigh=38.112027&amp;longitudeLow=23.847434&amp;longitudeHigh=23.852565&amp;zoom=18</t>
  </si>
  <si>
    <t>34837_0</t>
  </si>
  <si>
    <t>Αpartment in Likovrisi</t>
  </si>
  <si>
    <t>Ground floor apartment (D-2) of an area of 64,83 sq.m on a landplot of a total area of 411,50 sq.m.</t>
  </si>
  <si>
    <t>5, Paulou Mela str.</t>
  </si>
  <si>
    <t>Lykovrysi-Pefki</t>
  </si>
  <si>
    <t xml:space="preserve"> 38°  3' 59.76" N  23° 46' 49.08" E</t>
  </si>
  <si>
    <t>https://www.realestateonline.gr/en/akinito/34837_0-APP_16724</t>
  </si>
  <si>
    <t>https://www.spitogatos.gr/en/for_sale-homes/map-search/minliving_area-30/maxliving_area-200?latitudeLow=38.065699&amp;latitudeHigh=38.067500&amp;longitudeLow=23.779160&amp;longitudeHigh=23.781439&amp;zoom=18</t>
  </si>
  <si>
    <t>34497_0</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</si>
  <si>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</si>
  <si>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</si>
  <si>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</si>
  <si>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</si>
  <si>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</si>
  <si>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https://www.spitogatos.gr/en/for_sale-homes/map-search/minliving_area-30/maxliving_area-200?latitudeLow=37.993440&amp;latitudeHigh=37.995242&amp;longitudeLow=23.727439&amp;longitudeHigh=23.729716&amp;zoom=18</t>
  </si>
  <si>
    <t>Dionysos</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</si>
  <si>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</si>
  <si>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</si>
  <si>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</si>
  <si>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</si>
  <si>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Kordelio-Evosmos</t>
  </si>
  <si>
    <t xml:space="preserve"> 40° 40'  7.68" N  22° 53' 53.52" E</t>
  </si>
  <si>
    <t>https://www.realestateonline.gr/en/akinito/35090_0-APP_19068</t>
  </si>
  <si>
    <t>https://www.spitogatos.gr/en/for_sale-homes/map-search/minliving_area-30/maxliving_area-200?latitudeLow=40.667899&amp;latitudeHigh=40.669700&amp;longitudeLow=22.897017&amp;longitudeHigh=22.899382&amp;zoom=18</t>
  </si>
  <si>
    <t>Vari-Voula-Vouliagmeni</t>
  </si>
  <si>
    <t>33357_0</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</si>
  <si>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</si>
  <si>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</si>
  <si>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</si>
  <si>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 xml:space="preserve"> 38°  7' 24.19" N  23° 50' 28.08" E</t>
  </si>
  <si>
    <t>https://www.realestateonline.gr/en/akinito/33357_0-RES_18648</t>
  </si>
  <si>
    <t>https://www.spitogatos.gr/en/for_sale-homes/map-search/minliving_area-30/maxliving_area-200?latitudeLow=38.121359&amp;latitudeHigh=38.125413&amp;longitudeLow=23.838567&amp;longitudeHigh=23.843699&amp;zoom=18</t>
  </si>
  <si>
    <t>Markopoulo Mesogaias</t>
  </si>
  <si>
    <t>34848_0</t>
  </si>
  <si>
    <t>Apartment in Ano Kypseli</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</si>
  <si>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</si>
  <si>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</si>
  <si>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 xml:space="preserve"> 38°  0'  0.00" N  23° 45'  0.00" E</t>
  </si>
  <si>
    <t>https://www.realestateonline.gr/en/akinito/34848_0-APP_16826</t>
  </si>
  <si>
    <t>https://www.spitogatos.gr/en/for_sale-homes/map-search/minliving_area-30/maxliving_area-200?latitudeLow=37.999099&amp;latitudeHigh=38.000900&amp;longitudeLow=23.748861&amp;longitudeHigh=23.751138&amp;zoom=18</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</si>
  <si>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</si>
  <si>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</si>
  <si>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</si>
  <si>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</si>
  <si>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Marousi</t>
  </si>
  <si>
    <t xml:space="preserve"> 38°  3' 36.00" N  23° 49' 48.00" E</t>
  </si>
  <si>
    <t>https://www.realestateonline.gr/en/akinito/33747_0-APP_18672</t>
  </si>
  <si>
    <t>https://www.spitogatos.gr/en/for_sale-homes/map-search/minliving_area-30/maxliving_area-200?latitudeLow=38.058648&amp;latitudeHigh=38.061351&amp;longitudeLow=23.828290&amp;longitudeHigh=23.831709&amp;zoom=18</t>
  </si>
  <si>
    <t>34541_0</t>
  </si>
  <si>
    <t>Apartment in Kordelio, Thessaloniki</t>
  </si>
  <si>
    <t>Second floor apartment of an area of 103,00 sq.m. that comprises of a living room - kitchen, hall, bathroom, wc, storage space and three bedrooms. There is an elevator in the building.</t>
  </si>
  <si>
    <t>8, Ntortoglou str.</t>
  </si>
  <si>
    <t xml:space="preserve"> 40° 40' 12.00" N  22° 53' 24.00" E</t>
  </si>
  <si>
    <t>https://www.realestateonline.gr/en/akinito/34541_0-APP_18090</t>
  </si>
  <si>
    <t>https://www.spitogatos.gr/en/for_sale-homes/map-search/minliving_area-30/maxliving_area-200?latitudeLow=40.668649&amp;latitudeHigh=40.671350&amp;longitudeLow=22.888226&amp;longitudeHigh=22.891774&amp;zoom=18</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</si>
  <si>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</si>
  <si>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</si>
  <si>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</si>
  <si>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</si>
  <si>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https://www.realestateonline.gr/en/akinito/33877_1-APP_19933</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</si>
  <si>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</si>
  <si>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</si>
  <si>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</si>
  <si>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</si>
  <si>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</si>
  <si>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https://www.realestateonline.gr/en/akinito/34282_0-APP_17910</t>
  </si>
  <si>
    <t>https://www.spitogatos.gr/en/for_sale-homes/map-search/minliving_area-30/maxliving_area-200?latitudeLow=38.087972&amp;latitudeHigh=38.092027&amp;longitudeLow=23.697435&amp;longitudeHigh=23.702564&amp;zoom=18</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</si>
  <si>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</si>
  <si>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</si>
  <si>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</si>
  <si>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</si>
  <si>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 xml:space="preserve"> 38°  5' 24.00" N  23° 42' 36.00" E</t>
  </si>
  <si>
    <t>https://www.realestateonline.gr/en/akinito/34811_0-RES_19024</t>
  </si>
  <si>
    <t>https://www.spitogatos.gr/en/for_sale-homes/map-search/minliving_area-30/maxliving_area-200?latitudeLow=38.088648&amp;latitudeHigh=38.091351&amp;longitudeLow=23.708290&amp;longitudeHigh=23.711709&amp;zoom=18</t>
  </si>
  <si>
    <t>Chalkidona</t>
  </si>
  <si>
    <t>33687_0</t>
  </si>
  <si>
    <t>Apartment in Evriali,  Glyfada</t>
  </si>
  <si>
    <t xml:space="preserve">Dual-aspect ground floor apartment (1) of an area of 106,86 sq.m. that comprises of a living room, kitchen, office, bathroom &amp; 2 bedrooms. </t>
  </si>
  <si>
    <t>75, Achilleos &amp; Sofias str.</t>
  </si>
  <si>
    <t xml:space="preserve"> 37° 52' 48.00" N  23° 45' 36.00" E</t>
  </si>
  <si>
    <t>https://www.realestateonline.gr/en/akinito/33687_0-APP_18294</t>
  </si>
  <si>
    <t>https://www.spitogatos.gr/en/for_sale-homes/map-search/minliving_area-30/maxliving_area-200?latitudeLow=37.879099&amp;latitudeHigh=37.880900&amp;longitudeLow=23.758863&amp;longitudeHigh=23.761136&amp;zoom=18</t>
  </si>
  <si>
    <t>33097_0</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</si>
  <si>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</si>
  <si>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</si>
  <si>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</si>
  <si>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</si>
  <si>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</si>
  <si>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https://www.spitogatos.gr/en/for_sale-homes/map-search/minliving_area-30/maxliving_area-200?latitudeLow=37.924399&amp;latitudeHigh=37.926200&amp;longitudeLow=23.709962&amp;longitudeHigh=23.712237&amp;zoom=18</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</si>
  <si>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</si>
  <si>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</si>
  <si>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</si>
  <si>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</si>
  <si>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</si>
  <si>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</si>
  <si>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</si>
  <si>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https://www.spitogatos.gr/en/for_sale-homes/map-search/minliving_area-30/maxliving_area-200?latitudeLow=38.039099&amp;latitudeHigh=38.040900&amp;longitudeLow=23.688860&amp;longitudeHigh=23.691139&amp;zoom=18</t>
  </si>
  <si>
    <t>33779_0</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</si>
  <si>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</si>
  <si>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</si>
  <si>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</si>
  <si>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Agia Varvara</t>
  </si>
  <si>
    <t xml:space="preserve"> 37° 59' 29.00" N  23° 39'  9.80" E</t>
  </si>
  <si>
    <t>https://www.realestateonline.gr/en/akinito/33779_0-RES_17532</t>
  </si>
  <si>
    <t>https://www.spitogatos.gr/en/for_sale-homes/map-search/minliving_area-30/maxliving_area-200?latitudeLow=37.990487&amp;latitudeHigh=37.992289&amp;longitudeLow=23.651583&amp;longitudeHigh=23.653860&amp;zoom=18</t>
  </si>
  <si>
    <t>33788_0</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</si>
  <si>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</si>
  <si>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</si>
  <si>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</si>
  <si>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</si>
  <si>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</si>
  <si>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https://www.spitogatos.gr/en/for_sale-homes/map-search/minliving_area-30/maxliving_area-200?latitudeLow=37.909043&amp;latitudeHigh=37.910845&amp;longitudeLow=23.720640&amp;longitudeHigh=23.722914&amp;zoom=18</t>
  </si>
  <si>
    <t>33692_0</t>
  </si>
  <si>
    <t>Apartment in Eleusina</t>
  </si>
  <si>
    <t>First floor apartment (A) of an area of 104,90 sq.m. consisting of a living room-kitchen, bathroom, wc &amp; 2 bedrooms. Visiting the property is not possible.</t>
  </si>
  <si>
    <t>13, Adelfon Plelli str.</t>
  </si>
  <si>
    <t xml:space="preserve"> 38°  3' 33.29" N  23° 31' 53.09" E</t>
  </si>
  <si>
    <t>https://www.realestateonline.gr/en/akinito/33692_0-APP_18300</t>
  </si>
  <si>
    <t>https://www.spitogatos.gr/en/for_sale-homes/map-search/minliving_area-30/maxliving_area-200?latitudeLow=38.057220&amp;latitudeHigh=38.061274&amp;longitudeLow=23.528850&amp;longitudeHigh=23.533977&amp;zoom=18</t>
  </si>
  <si>
    <t>33112_0</t>
  </si>
  <si>
    <t>Apartment in Ekali</t>
  </si>
  <si>
    <t>First floor apartment (Α2) of an area of 163,04 sq.m. on a land plot of a total area of 1.662,75 sq.m. There is a shared parking and storage space in the basement.</t>
  </si>
  <si>
    <t>96, Thiseos Ave.</t>
  </si>
  <si>
    <t xml:space="preserve"> 38°  6' 54.23" N  23° 51'  7.70" E</t>
  </si>
  <si>
    <t>https://www.realestateonline.gr/en/akinito/33112_0-APP_15757</t>
  </si>
  <si>
    <t>https://www.spitogatos.gr/en/for_sale-homes/map-search/minliving_area-30/maxliving_area-200?latitudeLow=38.114162&amp;latitudeHigh=38.115964&amp;longitudeLow=23.850998&amp;longitudeHigh=23.853279&amp;zoom=18</t>
  </si>
  <si>
    <t>33465_0</t>
  </si>
  <si>
    <t>Apartment in Analipsi, Thessaloniki</t>
  </si>
  <si>
    <t>Sixth Floor Apartment of an area of 126,77 sq.m. on a landplot of a total area of 723,20 sq.m.</t>
  </si>
  <si>
    <t>24, Markou Mpotsari &amp; 1, Patron str.</t>
  </si>
  <si>
    <t xml:space="preserve"> 40° 36' 24.60" N  22° 57' 19.10" E</t>
  </si>
  <si>
    <t>https://www.realestateonline.gr/en/akinito/33465_0-APP_16417</t>
  </si>
  <si>
    <t>https://www.spitogatos.gr/en/for_sale-homes/map-search/minliving_area-30/maxliving_area-200?latitudeLow=40.605932&amp;latitudeHigh=40.607733&amp;longitudeLow=22.954124&amp;longitudeHigh=22.956487&amp;zoom=18</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</si>
  <si>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</si>
  <si>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</si>
  <si>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</si>
  <si>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</si>
  <si>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Pallini</t>
  </si>
  <si>
    <t xml:space="preserve"> 37° 59'  2.60" N  23° 51' 11.10" E</t>
  </si>
  <si>
    <t>https://www.realestateonline.gr/en/akinito/34786_0-APP_17039</t>
  </si>
  <si>
    <t>https://www.spitogatos.gr/en/for_sale-homes/map-search/minliving_area-30/maxliving_area-200?latitudeLow=37.983154&amp;latitudeHigh=37.984956&amp;longitudeLow=23.851945&amp;longitudeHigh=23.854221&amp;zoom=18</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</si>
  <si>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</si>
  <si>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</si>
  <si>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</si>
  <si>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</si>
  <si>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 xml:space="preserve"> 40° 44' 21.20" N  22° 58' 54.99" E</t>
  </si>
  <si>
    <t>https://www.realestateonline.gr/en/akinito/33810_0-RES_18909</t>
  </si>
  <si>
    <t>https://www.spitogatos.gr/en/for_sale-homes/map-search/minliving_area-30/maxliving_area-200?latitudeLow=40.737196&amp;latitudeHigh=40.741248&amp;longitudeLow=22.979277&amp;longitudeHigh=22.984605&amp;zoom=18</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</si>
  <si>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</si>
  <si>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</si>
  <si>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</si>
  <si>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</si>
  <si>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</si>
  <si>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</si>
  <si>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https://www.spitogatos.gr/en/for_sale-homes/map-search/minliving_area-30/maxliving_area-200?latitudeLow=37.879343&amp;latitudeHigh=37.881145&amp;longitudeLow=23.746263&amp;longitudeHigh=23.748536&amp;zoom=18</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</si>
  <si>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</si>
  <si>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</si>
  <si>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</si>
  <si>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</si>
  <si>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Thermi</t>
  </si>
  <si>
    <t xml:space="preserve"> 40° 27' 54.68" N  22° 59' 44.30" E</t>
  </si>
  <si>
    <t>https://www.realestateonline.gr/en/akinito/33414_0-RES_15775</t>
  </si>
  <si>
    <t>https://www.spitogatos.gr/en/for_sale-homes/map-search/minliving_area-30/maxliving_area-200?latitudeLow=40.463838&amp;latitudeHigh=40.466539&amp;longitudeLow=22.993870&amp;longitudeHigh=22.997407&amp;zoom=18</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</si>
  <si>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</si>
  <si>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</si>
  <si>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</si>
  <si>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</si>
  <si>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</si>
  <si>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</si>
  <si>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https://www.spitogatos.gr/en/for_sale-homes/map-search/minliving_area-30/maxliving_area-200?latitudeLow=37.929099&amp;latitudeHigh=37.930900&amp;longitudeLow=23.638862&amp;longitudeHigh=23.641137&amp;zoom=18</t>
  </si>
  <si>
    <t>33724_0</t>
  </si>
  <si>
    <t>Residence in Artemida, Attica</t>
  </si>
  <si>
    <t>Residence of a total area of 254.85 sq.m. consisting of a basement of 108.67 sq.m., a ground floor of 70.04 sq.m., a first floor of 42.31 sq.m. and an attic of 33.83 sq.m. on a land plot of a total area of 166.78 sq.m.</t>
  </si>
  <si>
    <t>10, Paralias Str.</t>
  </si>
  <si>
    <t>Spata-Artemida</t>
  </si>
  <si>
    <t>37°57'26.0"N 24°00'29.9"E</t>
  </si>
  <si>
    <t>https://www.realestateonline.gr/en/akinito/33724_0-RES_17613</t>
  </si>
  <si>
    <t>https://www.spitogatos.gr/en/for_sale-homes/map-search/minliving_area-30/maxliving_area-200?latitudeLow=37.955195&amp;latitudeHigh=37.959249&amp;longitudeLow=24.005745&amp;longitudeHigh=24.010865&amp;zoom=18</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</si>
  <si>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</si>
  <si>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</si>
  <si>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</si>
  <si>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</si>
  <si>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https://www.realestateonline.gr/en/akinito/33762_0-APP_15680</t>
  </si>
  <si>
    <t>33738_1</t>
  </si>
  <si>
    <t>Apartment in Acharne, Attiki</t>
  </si>
  <si>
    <t>Basement apartment of 78,51 sq.m. consisting of 3 bedrooms, kitchen, bathroom, wc, living room, underground parking space 18.91 sq.m. &amp; apartment 21,40 sq.m. It does not have an elevator.</t>
  </si>
  <si>
    <t>31 Thivon str.</t>
  </si>
  <si>
    <t xml:space="preserve"> 38°  5' 40.05" N  23° 43' 46.37" E</t>
  </si>
  <si>
    <t>https://www.realestateonline.gr/en/akinito/33738_1-APP_18024</t>
  </si>
  <si>
    <t>https://www.spitogatos.gr/en/for_sale-homes/map-search/minliving_area-30/maxliving_area-200?latitudeLow=38.093557&amp;latitudeHigh=38.095359&amp;longitudeLow=23.728407&amp;longitudeHigh=23.730687&amp;zoom=18</t>
  </si>
  <si>
    <t>33738_3</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</si>
  <si>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</si>
  <si>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</si>
  <si>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</si>
  <si>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</si>
  <si>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https://www.spitogatos.gr/en/for_sale-homes/map-search/minliving_area-30/maxliving_area-200?latitudeLow=38.093551&amp;latitudeHigh=38.095353&amp;longitudeLow=23.728426&amp;longitudeHigh=23.730706&amp;zoom=18</t>
  </si>
  <si>
    <t>33921_0</t>
  </si>
  <si>
    <t>Apartment in Kalamaria, Thessaloniki</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</si>
  <si>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</si>
  <si>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</si>
  <si>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Kalamaria</t>
  </si>
  <si>
    <t xml:space="preserve"> 40° 34' 57.44" N  22° 57' 30.93" E</t>
  </si>
  <si>
    <t>https://www.realestateonline.gr/en/akinito/33921_0-APP_18354</t>
  </si>
  <si>
    <t>https://www.spitogatos.gr/en/for_sale-homes/map-search/minliving_area-30/maxliving_area-200?latitudeLow=40.581721&amp;latitudeHigh=40.583522&amp;longitudeLow=22.957410&amp;longitudeHigh=22.959772&amp;zoom=18</t>
  </si>
  <si>
    <t>34740_0</t>
  </si>
  <si>
    <t>Apartment in Evosmos, Thessaloniki</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</si>
  <si>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</si>
  <si>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</si>
  <si>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</si>
  <si>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</si>
  <si>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https://www.spitogatos.gr/en/for_sale-homes/map-search/minliving_area-30/maxliving_area-200?latitudeLow=40.664399&amp;latitudeHigh=40.666200&amp;longitudeLow=22.917317&amp;longitudeHigh=22.919682&amp;zoom=18</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</si>
  <si>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</si>
  <si>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</si>
  <si>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</si>
  <si>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</si>
  <si>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</si>
  <si>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https://www.spitogatos.gr/en/for_sale-homes/map-search/minliving_area-30/maxliving_area-200?latitudeLow=37.999299&amp;latitudeHigh=38.001100&amp;longitudeLow=23.727561&amp;longitudeHigh=23.729838&amp;zoom=18</t>
  </si>
  <si>
    <t>33960_0</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</si>
  <si>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</si>
  <si>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</si>
  <si>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</si>
  <si>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Heraklion</t>
  </si>
  <si>
    <t xml:space="preserve"> 38°  3'  0.00" N  23° 46' 12.00" E</t>
  </si>
  <si>
    <t>https://www.realestateonline.gr/en/akinito/33960_0-RES_12114</t>
  </si>
  <si>
    <t>https://www.spitogatos.gr/en/for_sale-homes/map-search/minliving_area-30/maxliving_area-200?latitudeLow=38.049099&amp;latitudeHigh=38.050900&amp;longitudeLow=23.768860&amp;longitudeHigh=23.771139&amp;zoom=18</t>
  </si>
  <si>
    <t>33119_1</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</si>
  <si>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</si>
  <si>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</si>
  <si>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</si>
  <si>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</si>
  <si>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https://www.realestateonline.gr/en/akinito/33119_1-RES_17094</t>
  </si>
  <si>
    <t>https://www.spitogatos.gr/en/for_sale-homes/map-search/minliving_area-30/maxliving_area-200?latitudeLow=38.087972&amp;latitudeHigh=38.092027&amp;longitudeLow=23.787435&amp;longitudeHigh=23.792564&amp;zoom=18</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</si>
  <si>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</si>
  <si>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</si>
  <si>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</si>
  <si>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33938_0</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</si>
  <si>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</si>
  <si>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</si>
  <si>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</si>
  <si>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</si>
  <si>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https://www.spitogatos.gr/en/for_sale-homes/map-search/minliving_area-30/maxliving_area-200?latitudeLow=37.949099&amp;latitudeHigh=37.950900&amp;longitudeLow=23.628862&amp;longitudeHigh=23.631137&amp;zoom=18</t>
  </si>
  <si>
    <t>33634_0</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</si>
  <si>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</si>
  <si>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</si>
  <si>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</si>
  <si>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 xml:space="preserve"> 38°  0' 38.00" N  23° 43' 46.10" E</t>
  </si>
  <si>
    <t>https://www.realestateonline.gr/en/akinito/33634_0-APP_15648</t>
  </si>
  <si>
    <t>https://www.spitogatos.gr/en/for_sale-homes/map-search/minliving_area-30/maxliving_area-200?latitudeLow=38.009654&amp;latitudeHigh=38.011456&amp;longitudeLow=23.728333&amp;longitudeHigh=23.730610&amp;zoom=18</t>
  </si>
  <si>
    <t>34768_0</t>
  </si>
  <si>
    <t>Apartment in Kolonos, Athens</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</si>
  <si>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</si>
  <si>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</si>
  <si>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</si>
  <si>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</si>
  <si>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https://www.spitogatos.gr/en/for_sale-homes/map-search/minliving_area-30/maxliving_area-200?latitudeLow=37.989999&amp;latitudeHigh=37.991800&amp;longitudeLow=23.712061&amp;longitudeHigh=23.714338&amp;zoom=18</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</si>
  <si>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</si>
  <si>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</si>
  <si>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</si>
  <si>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</si>
  <si>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</si>
  <si>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https://www.spitogatos.gr/en/for_sale-homes/map-search/minliving_area-30/maxliving_area-200?latitudeLow=38.092176&amp;latitudeHigh=38.093978&amp;longitudeLow=23.725479&amp;longitudeHigh=23.727759&amp;zoom=18</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</si>
  <si>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</si>
  <si>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</si>
  <si>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</si>
  <si>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</si>
  <si>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Delta</t>
  </si>
  <si>
    <t xml:space="preserve"> 40° 41' 14.10" N  22° 50' 50.76" E</t>
  </si>
  <si>
    <t>https://www.realestateonline.gr/en/akinito/34867_0-APP_18922</t>
  </si>
  <si>
    <t>https://www.spitogatos.gr/en/for_sale-homes/map-search/minliving_area-30/maxliving_area-200?latitudeLow=40.686349&amp;latitudeHigh=40.688150&amp;longitudeLow=22.846250&amp;longitudeHigh=22.848616&amp;zoom=18</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</si>
  <si>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</si>
  <si>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</si>
  <si>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</si>
  <si>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</si>
  <si>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Thermaikos</t>
  </si>
  <si>
    <t xml:space="preserve"> 40° 30' 27.29" N  22° 55' 39.47" E</t>
  </si>
  <si>
    <t>https://www.realestateonline.gr/en/akinito/33506_3-APP_20348</t>
  </si>
  <si>
    <t>https://www.spitogatos.gr/en/for_sale-homes/map-search/minliving_area-30/maxliving_area-200?latitudeLow=40.506680&amp;latitudeHigh=40.508481&amp;longitudeLow=22.926450&amp;longitudeHigh=22.928810&amp;zoom=18</t>
  </si>
  <si>
    <t>32684_0</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</si>
  <si>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</si>
  <si>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</si>
  <si>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</si>
  <si>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 xml:space="preserve"> 40° 28' 18.20" N  23°  6' 12.30" E</t>
  </si>
  <si>
    <t>https://www.realestateonline.gr/en/akinito/32684_0-RES_6758</t>
  </si>
  <si>
    <t>https://www.spitogatos.gr/en/for_sale-homes/map-search/minliving_area-30/maxliving_area-200?latitudeLow=40.469695&amp;latitudeHigh=40.473748&amp;longitudeLow=23.100763&amp;longitudeHigh=23.106069&amp;zoom=18</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</si>
  <si>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</si>
  <si>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</si>
  <si>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</si>
  <si>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</si>
  <si>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</si>
  <si>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https://www.realestateonline.gr/en/akinito/34537_0-APP_17529</t>
  </si>
  <si>
    <t>https://www.spitogatos.gr/en/for_sale-homes/map-search/minliving_area-30/maxliving_area-200?latitudeLow=37.876182&amp;latitudeHigh=37.877984&amp;longitudeLow=23.929502&amp;longitudeHigh=23.931775&amp;zoom=18</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</si>
  <si>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</si>
  <si>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</si>
  <si>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</si>
  <si>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</si>
  <si>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Neapoli-Sykies</t>
  </si>
  <si>
    <t xml:space="preserve"> 40° 39'  8.64" N  22° 57' 10.80" E</t>
  </si>
  <si>
    <t>https://www.realestateonline.gr/en/akinito/34367_0-APP_17166</t>
  </si>
  <si>
    <t>https://www.spitogatos.gr/en/for_sale-homes/map-search/minliving_area-30/maxliving_area-200?latitudeLow=40.651499&amp;latitudeHigh=40.653300&amp;longitudeLow=22.951817&amp;longitudeHigh=22.954182&amp;zoom=18</t>
  </si>
  <si>
    <t>33996_1</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</si>
  <si>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</si>
  <si>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</si>
  <si>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</si>
  <si>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</si>
  <si>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</si>
  <si>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https://www.spitogatos.gr/en/for_sale-homes/map-search/minliving_area-30/maxliving_area-200?latitudeLow=37.925524&amp;latitudeHigh=37.927325&amp;longitudeLow=23.698212&amp;longitudeHigh=23.700487&amp;zoom=18</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</si>
  <si>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</si>
  <si>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</si>
  <si>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</si>
  <si>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</si>
  <si>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</si>
  <si>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</si>
  <si>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https://www.spitogatos.gr/en/for_sale-homes/map-search/minliving_area-30/maxliving_area-200?latitudeLow=37.957332&amp;latitudeHigh=37.959134&amp;longitudeLow=23.653731&amp;longitudeHigh=23.656007&amp;zoom=18</t>
  </si>
  <si>
    <t>35334_0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</si>
  <si>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</si>
  <si>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</si>
  <si>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</si>
  <si>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 xml:space="preserve"> 40° 46' 26.76" N  22° 35'  5.28" E</t>
  </si>
  <si>
    <t>https://www.realestateonline.gr/en/akinito/35334_0-RES_19999</t>
  </si>
  <si>
    <t>https://www.spitogatos.gr/en/for_sale-homes/map-search/minliving_area-30/maxliving_area-200?latitudeLow=40.773199&amp;latitudeHigh=40.775000&amp;longitudeLow=22.583615&amp;longitudeHigh=22.585984&amp;zoom=18</t>
  </si>
  <si>
    <t>34487_0</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</si>
  <si>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</si>
  <si>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</si>
  <si>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 xml:space="preserve"> 40° 39' 50.82" N  22° 54' 59.57" E</t>
  </si>
  <si>
    <t>https://www.realestateonline.gr/en/akinito/34487_0-APP_18653</t>
  </si>
  <si>
    <t>https://www.spitogatos.gr/en/for_sale-homes/map-search/minliving_area-30/maxliving_area-200?latitudeLow=40.663216&amp;latitudeHigh=40.665017&amp;longitudeLow=22.915364&amp;longitudeHigh=22.917729&amp;zoom=18</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</si>
  <si>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</si>
  <si>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</si>
  <si>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</si>
  <si>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</si>
  <si>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Langadas</t>
  </si>
  <si>
    <t xml:space="preserve"> 40° 49'  2.70" N  23°  1' 45.30" E</t>
  </si>
  <si>
    <t>https://www.realestateonline.gr/en/akinito/32993_0-RES_5623</t>
  </si>
  <si>
    <t>https://www.spitogatos.gr/en/for_sale-homes/map-search/minliving_area-30/maxliving_area-200?latitudeLow=40.816516&amp;latitudeHigh=40.818317&amp;longitudeLow=23.028064&amp;longitudeHigh=23.030435&amp;zoom=18</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</si>
  <si>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</si>
  <si>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</si>
  <si>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</si>
  <si>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</si>
  <si>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</si>
  <si>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</si>
  <si>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https://www.spitogatos.gr/en/for_sale-homes/map-search/minliving_area-30/maxliving_area-200?latitudeLow=37.990718&amp;latitudeHigh=37.992520&amp;longitudeLow=23.727914&amp;longitudeHigh=23.730191&amp;zoom=18</t>
  </si>
  <si>
    <t>34017_0</t>
  </si>
  <si>
    <t>Apartment-Maisonette in Kolonos, Athens</t>
  </si>
  <si>
    <t>3, Epidaurou</t>
  </si>
  <si>
    <t xml:space="preserve"> 37° 59' 33.75" N  23° 43'  3.16" E</t>
  </si>
  <si>
    <t>https://www.realestateonline.gr/en/akinito/34017_0-APP_18063</t>
  </si>
  <si>
    <t>https://www.spitogatos.gr/en/for_sale-homes/map-search/minliving_area-30/maxliving_area-200?latitudeLow=37.991807&amp;latitudeHigh=37.993609&amp;longitudeLow=23.716406&amp;longitudeHigh=23.718682&amp;zoom=18</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</si>
  <si>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</si>
  <si>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</si>
  <si>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</si>
  <si>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</si>
  <si>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</si>
  <si>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</si>
  <si>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https://www.spitogatos.gr/en/for_sale-homes/map-search/minliving_area-30/maxliving_area-200?latitudeLow=38.139921&amp;latitudeHigh=38.141723&amp;longitudeLow=23.827737&amp;longitudeHigh=23.830018&amp;zoom=18</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</si>
  <si>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</si>
  <si>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</si>
  <si>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</si>
  <si>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</si>
  <si>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https://www.spitogatos.gr/en/for_sale-homes/map-search/minliving_area-30/maxliving_area-200?latitudeLow=38.139301&amp;latitudeHigh=38.141103&amp;longitudeLow=23.827848&amp;longitudeHigh=23.830129&amp;zoom=18</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</si>
  <si>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</si>
  <si>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</si>
  <si>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</si>
  <si>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</si>
  <si>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</si>
  <si>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https://www.realestateonline.gr/en/akinito/33665_1-APP_19432</t>
  </si>
  <si>
    <t>https://www.spitogatos.gr/en/for_sale-homes/map-search/minliving_area-30/maxliving_area-200?latitudeLow=38.048648&amp;latitudeHigh=38.051351&amp;longitudeLow=23.748291&amp;longitudeHigh=23.751708&amp;zoom=18</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</si>
  <si>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</si>
  <si>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</si>
  <si>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</si>
  <si>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</si>
  <si>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</si>
  <si>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</si>
  <si>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https://www.spitogatos.gr/en/for_sale-homes/map-search/minliving_area-30/maxliving_area-200?latitudeLow=40.723177&amp;latitudeHigh=40.724978&amp;longitudeLow=23.003194&amp;longitudeHigh=23.005561&amp;zoom=18</t>
  </si>
  <si>
    <t>33541_0</t>
  </si>
  <si>
    <t>Residential Building in Glyka Nera, Attica</t>
  </si>
  <si>
    <t xml:space="preserve">61, Olympionikon Str. </t>
  </si>
  <si>
    <t>Paiania</t>
  </si>
  <si>
    <t xml:space="preserve"> 37° 59' 57.00" N  23° 51'  8.00" E</t>
  </si>
  <si>
    <t>https://www.realestateonline.gr/en/akinito/33541_0-RES_17886</t>
  </si>
  <si>
    <t>https://www.spitogatos.gr/en/for_sale-homes/map-search/minliving_area-30/maxliving_area-200?latitudeLow=37.998265&amp;latitudeHigh=38.000067&amp;longitudeLow=23.851083&amp;longitudeHigh=23.853360&amp;zoom=18</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</si>
  <si>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</si>
  <si>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</si>
  <si>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</si>
  <si>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</si>
  <si>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 xml:space="preserve"> 40° 39' 45.80" N  22° 57'  9.80" E</t>
  </si>
  <si>
    <t>https://www.realestateonline.gr/en/akinito/33136_0-RES_17696</t>
  </si>
  <si>
    <t>https://www.spitogatos.gr/en/for_sale-homes/map-search/minliving_area-30/maxliving_area-200?latitudeLow=40.661821&amp;latitudeHigh=40.663622&amp;longitudeLow=22.951539&amp;longitudeHigh=22.953904&amp;zoom=18</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</si>
  <si>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</si>
  <si>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</si>
  <si>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</si>
  <si>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</si>
  <si>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</si>
  <si>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</si>
  <si>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https://www.spitogatos.gr/en/for_sale-homes/map-search/minliving_area-30/maxliving_area-200?latitudeLow=40.469432&amp;latitudeHigh=40.471233&amp;longitudeLow=22.991848&amp;longitudeHigh=22.994206&amp;zoom=18</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</si>
  <si>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</si>
  <si>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</si>
  <si>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</si>
  <si>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</si>
  <si>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</si>
  <si>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</si>
  <si>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https://www.spitogatos.gr/en/for_sale-homes/map-search/minliving_area-30/maxliving_area-200?latitudeLow=37.998210&amp;latitudeHigh=38.000012&amp;longitudeLow=23.758972&amp;longitudeHigh=23.761249&amp;zoom=18</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</si>
  <si>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</si>
  <si>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</si>
  <si>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</si>
  <si>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</si>
  <si>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</si>
  <si>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</si>
  <si>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</si>
  <si>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</si>
  <si>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</si>
  <si>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</si>
  <si>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 xml:space="preserve"> 37° 51' 36.00" N  23° 46' 48.00" E</t>
  </si>
  <si>
    <t>https://www.realestateonline.gr/en/akinito/33547_1-RES_15411</t>
  </si>
  <si>
    <t>https://www.spitogatos.gr/en/for_sale-homes/map-search/minliving_area-30/maxliving_area-200?latitudeLow=37.859099&amp;latitudeHigh=37.860900&amp;longitudeLow=23.778863&amp;longitudeHigh=23.781136&amp;zoom=18</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</si>
  <si>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</si>
  <si>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</si>
  <si>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</si>
  <si>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</si>
  <si>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</si>
  <si>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</si>
  <si>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</si>
  <si>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</si>
  <si>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</si>
  <si>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https://www.spitogatos.gr/en/for_sale-homes/map-search/minliving_area-30/maxliving_area-200?latitudeLow=37.957207&amp;latitudeHigh=37.959009&amp;longitudeLow=23.760401&amp;longitudeHigh=23.762676&amp;zoom=18</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</si>
  <si>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</si>
  <si>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</si>
  <si>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</si>
  <si>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</si>
  <si>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40.61139288687572, 22.95393551169008</t>
  </si>
  <si>
    <t>https://www.realestateonline.gr/en/akinito/90016_0-RES_15712</t>
  </si>
  <si>
    <t>https://www.spitogatos.gr/en/for_sale-homes/map-search/minliving_area-30/maxliving_area-200?latitudeLow=40.610492&amp;latitudeHigh=40.612293&amp;longitudeLow=22.952753&amp;longitudeHigh=22.955117&amp;zoom=18</t>
  </si>
  <si>
    <t>market_delta</t>
  </si>
  <si>
    <t>is_lowest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</si>
</sst>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164" fontId="0" fillId="0" borderId="0" xfId="0" applyNumberFormat="1"/>
    <xf numFmtId="0" fontId="0" fillId="2" borderId="0" xfId="0" applyFill="1"/>
    <xf numFmtId="0" fontId="1" fillId="0" borderId="1" xfId="0" applyFont="1" applyFill="1" applyBorder="1" applyAlignment="1">
      <alignment horizontal="center" vertical="top"/>
    </xf>
    <xf numFmtId="164" fontId="1" fillId="0" borderId="2" xfId="0" applyNumberFormat="1" applyFont="1" applyFill="1" applyBorder="1" applyAlignment="1">
      <alignment horizontal="center" vertical="top"/>
    </xf>
    <xf numFmtId="0" fontId="1" fillId="0" borderId="2" xfId="0" applyFont="1" applyFill="1" applyBorder="1" applyAlignment="1">
      <alignment horizontal="center" vertical="top"/>
    </xf>
    <xf numFmtId="0" fontId="0" fillId="0" borderId="0" xfId="0" applyFill="1"/>
    <xf numFmtId="164" fontId="0" fillId="0"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5"/>
  <sheetViews>
    <sheetView tabSelected="1" topLeftCell="I1" workbookViewId="0">
      <pane ySplit="1" topLeftCell="A102" activePane="bottomLeft" state="frozen"/>
      <selection activeCell="D1" sqref="D1"/>
      <selection pane="bottomLeft" activeCell="O109" sqref="O109"/>
    </sheetView>
  </sheetViews>
  <sheetFormatPr defaultRowHeight="14.4" x14ac:dyDescent="0.3"/>
  <cols>
    <col min="1" max="3" width="8.88671875" style="2"/>
    <col min="5" max="9" width="8.88671875" style="2"/>
    <col min="15" max="15" width="12" bestFit="1" customWidth="1"/>
    <col min="17" max="17" width="15.21875" bestFit="1" customWidth="1"/>
    <col min="18" max="18" width="15.5546875" bestFit="1" customWidth="1"/>
    <col min="24" max="24" width="12.21875" style="1" bestFit="1" customWidth="1"/>
  </cols>
  <sheetData>
    <row r="1" spans="1:2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905</v>
      </c>
      <c r="Y1" s="5" t="s">
        <v>906</v>
      </c>
    </row>
    <row r="2" spans="1:25" x14ac:dyDescent="0.3">
      <c r="A2" s="6" t="s">
        <v>112</v>
      </c>
      <c r="B2" s="6" t="s">
        <v>34</v>
      </c>
      <c r="C2" s="6" t="s">
        <v>113</v>
      </c>
      <c r="D2" s="6" t="s">
        <v>114</v>
      </c>
      <c r="E2" s="6" t="s">
        <v>115</v>
      </c>
      <c r="F2" s="6">
        <v>18537</v>
      </c>
      <c r="G2" s="6" t="s">
        <v>28</v>
      </c>
      <c r="H2" s="6" t="s">
        <v>84</v>
      </c>
      <c r="I2" s="6" t="s">
        <v>84</v>
      </c>
      <c r="J2" s="6" t="s">
        <v>116</v>
      </c>
      <c r="K2" s="6">
        <v>1958</v>
      </c>
      <c r="L2" s="6">
        <v>88000</v>
      </c>
      <c r="M2" s="6" t="s">
        <v>117</v>
      </c>
      <c r="N2" s="6">
        <v>110</v>
      </c>
      <c r="O2" s="6">
        <v>800</v>
      </c>
      <c r="P2" s="6">
        <v>3414.025248409464</v>
      </c>
      <c r="Q2" s="6">
        <v>800</v>
      </c>
      <c r="R2" s="6">
        <v>6500</v>
      </c>
      <c r="S2" s="6">
        <v>3109.959700633276</v>
      </c>
      <c r="T2" s="6">
        <v>30</v>
      </c>
      <c r="U2" s="6" t="s">
        <v>118</v>
      </c>
      <c r="V2" s="6">
        <v>100</v>
      </c>
      <c r="W2" s="6">
        <v>1344.3770736539991</v>
      </c>
      <c r="X2" s="7">
        <f t="shared" ref="X2:X32" si="0">(1-O2/P2)</f>
        <v>0.7656725004090974</v>
      </c>
      <c r="Y2" s="6" t="b">
        <f t="shared" ref="Y2:Y32" si="1">IF(O2&lt;P2,TRUE,FALSE)</f>
        <v>1</v>
      </c>
    </row>
    <row r="3" spans="1:25" x14ac:dyDescent="0.3">
      <c r="A3" s="6" t="s">
        <v>579</v>
      </c>
      <c r="B3" s="6" t="s">
        <v>24</v>
      </c>
      <c r="C3" s="6" t="s">
        <v>580</v>
      </c>
      <c r="D3" s="6" t="s">
        <v>581</v>
      </c>
      <c r="E3" s="6" t="s">
        <v>582</v>
      </c>
      <c r="F3" s="6">
        <v>17455</v>
      </c>
      <c r="G3" s="6" t="s">
        <v>28</v>
      </c>
      <c r="H3" s="6" t="s">
        <v>107</v>
      </c>
      <c r="I3" s="6" t="s">
        <v>108</v>
      </c>
      <c r="J3" s="6" t="s">
        <v>583</v>
      </c>
      <c r="K3" s="6">
        <v>1997</v>
      </c>
      <c r="L3" s="6">
        <v>480000</v>
      </c>
      <c r="M3" s="6" t="s">
        <v>584</v>
      </c>
      <c r="N3" s="6">
        <v>337</v>
      </c>
      <c r="O3" s="6">
        <v>1424.33234421365</v>
      </c>
      <c r="P3" s="6">
        <v>5954.622027943602</v>
      </c>
      <c r="Q3" s="6">
        <v>2522.5225225225231</v>
      </c>
      <c r="R3" s="6">
        <v>11450.381679389309</v>
      </c>
      <c r="S3" s="6">
        <v>6617.47009148487</v>
      </c>
      <c r="T3" s="6">
        <v>30</v>
      </c>
      <c r="U3" s="6" t="s">
        <v>585</v>
      </c>
      <c r="V3" s="6">
        <v>100</v>
      </c>
      <c r="W3" s="6">
        <v>2267.87834250071</v>
      </c>
      <c r="X3" s="7">
        <f t="shared" si="0"/>
        <v>0.76080222430078637</v>
      </c>
      <c r="Y3" s="6" t="b">
        <f t="shared" si="1"/>
        <v>1</v>
      </c>
    </row>
    <row r="4" spans="1:25" x14ac:dyDescent="0.3">
      <c r="A4" s="6" t="s">
        <v>226</v>
      </c>
      <c r="B4" s="6" t="s">
        <v>34</v>
      </c>
      <c r="C4" s="6" t="s">
        <v>67</v>
      </c>
      <c r="D4" s="6" t="s">
        <v>227</v>
      </c>
      <c r="E4" s="6" t="s">
        <v>228</v>
      </c>
      <c r="F4" s="6">
        <v>10445</v>
      </c>
      <c r="G4" s="6" t="s">
        <v>28</v>
      </c>
      <c r="H4" s="6" t="s">
        <v>29</v>
      </c>
      <c r="I4" s="6" t="s">
        <v>30</v>
      </c>
      <c r="J4" s="6" t="s">
        <v>229</v>
      </c>
      <c r="K4" s="6">
        <v>1966</v>
      </c>
      <c r="L4" s="6">
        <v>100000</v>
      </c>
      <c r="M4" s="6" t="s">
        <v>230</v>
      </c>
      <c r="N4" s="6">
        <v>158</v>
      </c>
      <c r="O4" s="6">
        <v>632.91139240506334</v>
      </c>
      <c r="P4" s="6">
        <v>2290.332149163818</v>
      </c>
      <c r="Q4" s="6">
        <v>1428.2352941176471</v>
      </c>
      <c r="R4" s="6">
        <v>2777.7777777777778</v>
      </c>
      <c r="S4" s="6">
        <v>2236.8421052631579</v>
      </c>
      <c r="T4" s="6">
        <v>9</v>
      </c>
      <c r="U4" s="6" t="s">
        <v>231</v>
      </c>
      <c r="V4" s="6">
        <v>150</v>
      </c>
      <c r="W4" s="6">
        <v>405.47720874777292</v>
      </c>
      <c r="X4" s="7">
        <f t="shared" si="0"/>
        <v>0.72365956062917158</v>
      </c>
      <c r="Y4" s="6" t="b">
        <f t="shared" si="1"/>
        <v>1</v>
      </c>
    </row>
    <row r="5" spans="1:25" x14ac:dyDescent="0.3">
      <c r="A5" s="6" t="s">
        <v>644</v>
      </c>
      <c r="B5" s="6" t="s">
        <v>24</v>
      </c>
      <c r="C5" s="6" t="s">
        <v>645</v>
      </c>
      <c r="D5" s="6" t="s">
        <v>646</v>
      </c>
      <c r="E5" s="6" t="s">
        <v>647</v>
      </c>
      <c r="F5" s="6">
        <v>19016</v>
      </c>
      <c r="G5" s="6" t="s">
        <v>28</v>
      </c>
      <c r="H5" s="6" t="s">
        <v>341</v>
      </c>
      <c r="I5" s="6" t="s">
        <v>648</v>
      </c>
      <c r="J5" s="6" t="s">
        <v>649</v>
      </c>
      <c r="K5" s="6">
        <v>2002</v>
      </c>
      <c r="L5" s="6">
        <v>286000</v>
      </c>
      <c r="M5" s="6" t="s">
        <v>650</v>
      </c>
      <c r="N5" s="6">
        <v>254</v>
      </c>
      <c r="O5" s="6">
        <v>1125.9842519685039</v>
      </c>
      <c r="P5" s="6">
        <v>3539.6825396825402</v>
      </c>
      <c r="Q5" s="6">
        <v>1500</v>
      </c>
      <c r="R5" s="6">
        <v>5000</v>
      </c>
      <c r="S5" s="6">
        <v>3785.7142857142858</v>
      </c>
      <c r="T5" s="6">
        <v>6</v>
      </c>
      <c r="U5" s="6" t="s">
        <v>651</v>
      </c>
      <c r="V5" s="6">
        <v>225</v>
      </c>
      <c r="W5" s="6">
        <v>1635.8835198144779</v>
      </c>
      <c r="X5" s="7">
        <f t="shared" si="0"/>
        <v>0.68189682567705945</v>
      </c>
      <c r="Y5" s="6" t="b">
        <f t="shared" si="1"/>
        <v>1</v>
      </c>
    </row>
    <row r="6" spans="1:25" x14ac:dyDescent="0.3">
      <c r="A6" s="6" t="s">
        <v>23</v>
      </c>
      <c r="B6" s="6" t="s">
        <v>24</v>
      </c>
      <c r="C6" s="6" t="s">
        <v>25</v>
      </c>
      <c r="D6" s="6" t="s">
        <v>26</v>
      </c>
      <c r="E6" s="6" t="s">
        <v>27</v>
      </c>
      <c r="F6" s="6">
        <v>10446</v>
      </c>
      <c r="G6" s="6" t="s">
        <v>28</v>
      </c>
      <c r="H6" s="6" t="s">
        <v>29</v>
      </c>
      <c r="I6" s="6" t="s">
        <v>30</v>
      </c>
      <c r="J6" s="6" t="s">
        <v>31</v>
      </c>
      <c r="K6" s="6">
        <v>1933</v>
      </c>
      <c r="L6" s="6">
        <v>190000</v>
      </c>
      <c r="M6" s="6" t="s">
        <v>32</v>
      </c>
      <c r="N6" s="6">
        <v>310</v>
      </c>
      <c r="O6" s="6">
        <v>612.90322580645159</v>
      </c>
      <c r="P6" s="6">
        <v>1882.0706002356351</v>
      </c>
      <c r="Q6" s="6">
        <v>1079.545454545455</v>
      </c>
      <c r="R6" s="6">
        <v>2604.166666666667</v>
      </c>
      <c r="S6" s="6">
        <v>1862.588652482269</v>
      </c>
      <c r="T6" s="6">
        <v>30</v>
      </c>
      <c r="U6" s="6" t="s">
        <v>33</v>
      </c>
      <c r="V6" s="6">
        <v>100</v>
      </c>
      <c r="W6" s="6">
        <v>415.75782097307763</v>
      </c>
      <c r="X6" s="7">
        <f t="shared" si="0"/>
        <v>0.6743463153137208</v>
      </c>
      <c r="Y6" s="6" t="b">
        <f t="shared" si="1"/>
        <v>1</v>
      </c>
    </row>
    <row r="7" spans="1:25" x14ac:dyDescent="0.3">
      <c r="A7" s="6" t="s">
        <v>854</v>
      </c>
      <c r="B7" s="6" t="s">
        <v>24</v>
      </c>
      <c r="C7" s="6" t="s">
        <v>855</v>
      </c>
      <c r="D7" s="6" t="s">
        <v>856</v>
      </c>
      <c r="E7" s="6" t="s">
        <v>857</v>
      </c>
      <c r="F7" s="6">
        <v>56533</v>
      </c>
      <c r="G7" s="6" t="s">
        <v>232</v>
      </c>
      <c r="H7" s="6" t="s">
        <v>233</v>
      </c>
      <c r="I7" s="6" t="s">
        <v>409</v>
      </c>
      <c r="J7" s="6" t="s">
        <v>858</v>
      </c>
      <c r="K7" s="6">
        <v>2007</v>
      </c>
      <c r="L7" s="6">
        <v>430000</v>
      </c>
      <c r="M7" s="6" t="s">
        <v>859</v>
      </c>
      <c r="N7" s="6">
        <v>561</v>
      </c>
      <c r="O7" s="6">
        <v>766.48841354723709</v>
      </c>
      <c r="P7" s="6">
        <v>2276.1145025573342</v>
      </c>
      <c r="Q7" s="6">
        <v>2198.275862068966</v>
      </c>
      <c r="R7" s="6">
        <v>2400</v>
      </c>
      <c r="S7" s="6">
        <v>2272.727272727273</v>
      </c>
      <c r="T7" s="6">
        <v>5</v>
      </c>
      <c r="U7" s="6" t="s">
        <v>860</v>
      </c>
      <c r="V7" s="6">
        <v>100</v>
      </c>
      <c r="W7" s="6">
        <v>75.782152039199175</v>
      </c>
      <c r="X7" s="7">
        <f t="shared" si="0"/>
        <v>0.66324698837161</v>
      </c>
      <c r="Y7" s="6" t="b">
        <f t="shared" si="1"/>
        <v>1</v>
      </c>
    </row>
    <row r="8" spans="1:25" x14ac:dyDescent="0.3">
      <c r="A8" s="6" t="s">
        <v>514</v>
      </c>
      <c r="B8" s="6" t="s">
        <v>34</v>
      </c>
      <c r="C8" s="6" t="s">
        <v>515</v>
      </c>
      <c r="D8" s="6" t="s">
        <v>516</v>
      </c>
      <c r="E8" s="6" t="s">
        <v>517</v>
      </c>
      <c r="F8" s="6">
        <v>15126</v>
      </c>
      <c r="G8" s="6" t="s">
        <v>28</v>
      </c>
      <c r="H8" s="6" t="s">
        <v>260</v>
      </c>
      <c r="I8" s="6" t="s">
        <v>518</v>
      </c>
      <c r="J8" s="6" t="s">
        <v>519</v>
      </c>
      <c r="K8" s="6">
        <v>1987</v>
      </c>
      <c r="L8" s="6">
        <v>395000</v>
      </c>
      <c r="M8" s="6" t="s">
        <v>520</v>
      </c>
      <c r="N8" s="6">
        <v>282</v>
      </c>
      <c r="O8" s="6">
        <v>1400.7092198581561</v>
      </c>
      <c r="P8" s="6">
        <v>3923.888007459901</v>
      </c>
      <c r="Q8" s="6">
        <v>2500</v>
      </c>
      <c r="R8" s="6">
        <v>5000</v>
      </c>
      <c r="S8" s="6">
        <v>4000</v>
      </c>
      <c r="T8" s="6">
        <v>11</v>
      </c>
      <c r="U8" s="6" t="s">
        <v>521</v>
      </c>
      <c r="V8" s="6">
        <v>150</v>
      </c>
      <c r="W8" s="6">
        <v>686.65894419585459</v>
      </c>
      <c r="X8" s="7">
        <f t="shared" si="0"/>
        <v>0.64303027578891214</v>
      </c>
      <c r="Y8" s="6" t="b">
        <f t="shared" si="1"/>
        <v>1</v>
      </c>
    </row>
    <row r="9" spans="1:25" x14ac:dyDescent="0.3">
      <c r="A9" s="6" t="s">
        <v>881</v>
      </c>
      <c r="B9" s="6" t="s">
        <v>24</v>
      </c>
      <c r="C9" s="6" t="s">
        <v>882</v>
      </c>
      <c r="D9" s="6" t="s">
        <v>883</v>
      </c>
      <c r="E9" s="6" t="s">
        <v>884</v>
      </c>
      <c r="F9" s="6">
        <v>16673</v>
      </c>
      <c r="G9" s="6" t="s">
        <v>28</v>
      </c>
      <c r="H9" s="6" t="s">
        <v>341</v>
      </c>
      <c r="I9" s="6" t="s">
        <v>498</v>
      </c>
      <c r="J9" s="6" t="s">
        <v>885</v>
      </c>
      <c r="K9" s="6">
        <v>2010</v>
      </c>
      <c r="L9" s="6">
        <v>503000</v>
      </c>
      <c r="M9" s="6" t="s">
        <v>886</v>
      </c>
      <c r="N9" s="6">
        <v>217</v>
      </c>
      <c r="O9" s="6">
        <v>2317.972350230415</v>
      </c>
      <c r="P9" s="6">
        <v>6401.0433855908186</v>
      </c>
      <c r="Q9" s="6">
        <v>5000</v>
      </c>
      <c r="R9" s="6">
        <v>7647.0588235294117</v>
      </c>
      <c r="S9" s="6">
        <v>6375</v>
      </c>
      <c r="T9" s="6">
        <v>7</v>
      </c>
      <c r="U9" s="6" t="s">
        <v>887</v>
      </c>
      <c r="V9" s="6">
        <v>100</v>
      </c>
      <c r="W9" s="6">
        <v>938.29464444222333</v>
      </c>
      <c r="X9" s="7">
        <f t="shared" si="0"/>
        <v>0.63787585701288518</v>
      </c>
      <c r="Y9" s="6" t="b">
        <f t="shared" si="1"/>
        <v>1</v>
      </c>
    </row>
    <row r="10" spans="1:25" x14ac:dyDescent="0.3">
      <c r="A10" s="6" t="s">
        <v>890</v>
      </c>
      <c r="B10" s="6" t="s">
        <v>34</v>
      </c>
      <c r="C10" s="6" t="s">
        <v>891</v>
      </c>
      <c r="D10" s="6" t="s">
        <v>892</v>
      </c>
      <c r="E10" s="6" t="s">
        <v>893</v>
      </c>
      <c r="F10" s="6">
        <v>16231</v>
      </c>
      <c r="G10" s="6" t="s">
        <v>28</v>
      </c>
      <c r="H10" s="6" t="s">
        <v>29</v>
      </c>
      <c r="I10" s="6" t="s">
        <v>144</v>
      </c>
      <c r="J10" s="6" t="s">
        <v>894</v>
      </c>
      <c r="K10" s="6" t="s">
        <v>895</v>
      </c>
      <c r="L10" s="6">
        <v>52000</v>
      </c>
      <c r="M10" s="6" t="s">
        <v>896</v>
      </c>
      <c r="N10" s="6">
        <v>58</v>
      </c>
      <c r="O10" s="6">
        <v>896.55172413793105</v>
      </c>
      <c r="P10" s="6">
        <v>2353.6622455462189</v>
      </c>
      <c r="Q10" s="6">
        <v>793.65079365079362</v>
      </c>
      <c r="R10" s="6">
        <v>3950</v>
      </c>
      <c r="S10" s="6">
        <v>2071.428571428572</v>
      </c>
      <c r="T10" s="6">
        <v>25</v>
      </c>
      <c r="U10" s="6" t="s">
        <v>897</v>
      </c>
      <c r="V10" s="6">
        <v>100</v>
      </c>
      <c r="W10" s="6">
        <v>905.74078000932991</v>
      </c>
      <c r="X10" s="7">
        <f t="shared" si="0"/>
        <v>0.61908225114522897</v>
      </c>
      <c r="Y10" s="6" t="b">
        <f t="shared" si="1"/>
        <v>1</v>
      </c>
    </row>
    <row r="11" spans="1:25" x14ac:dyDescent="0.3">
      <c r="A11" s="6" t="s">
        <v>549</v>
      </c>
      <c r="B11" s="6" t="s">
        <v>34</v>
      </c>
      <c r="C11" s="6" t="s">
        <v>550</v>
      </c>
      <c r="D11" s="6" t="s">
        <v>551</v>
      </c>
      <c r="E11" s="6" t="s">
        <v>552</v>
      </c>
      <c r="F11" s="6">
        <v>16674</v>
      </c>
      <c r="G11" s="6" t="s">
        <v>28</v>
      </c>
      <c r="H11" s="6" t="s">
        <v>107</v>
      </c>
      <c r="I11" s="6" t="s">
        <v>425</v>
      </c>
      <c r="J11" s="6" t="s">
        <v>553</v>
      </c>
      <c r="K11" s="6">
        <v>1992</v>
      </c>
      <c r="L11" s="6">
        <v>242000</v>
      </c>
      <c r="M11" s="6" t="s">
        <v>554</v>
      </c>
      <c r="N11" s="6">
        <v>107</v>
      </c>
      <c r="O11" s="6">
        <v>2261.6822429906538</v>
      </c>
      <c r="P11" s="6">
        <v>5845.8905507940099</v>
      </c>
      <c r="Q11" s="6">
        <v>2450.331125827815</v>
      </c>
      <c r="R11" s="6">
        <v>11250</v>
      </c>
      <c r="S11" s="6">
        <v>5546.5933014354068</v>
      </c>
      <c r="T11" s="6">
        <v>30</v>
      </c>
      <c r="U11" s="6" t="s">
        <v>555</v>
      </c>
      <c r="V11" s="6">
        <v>100</v>
      </c>
      <c r="W11" s="6">
        <v>1842.955108586521</v>
      </c>
      <c r="X11" s="7">
        <f t="shared" si="0"/>
        <v>0.61311587629989694</v>
      </c>
      <c r="Y11" s="6" t="b">
        <f t="shared" si="1"/>
        <v>1</v>
      </c>
    </row>
    <row r="12" spans="1:25" x14ac:dyDescent="0.3">
      <c r="A12" s="6" t="s">
        <v>234</v>
      </c>
      <c r="B12" s="6" t="s">
        <v>34</v>
      </c>
      <c r="C12" s="6" t="s">
        <v>220</v>
      </c>
      <c r="D12" s="6" t="s">
        <v>235</v>
      </c>
      <c r="E12" s="6" t="s">
        <v>236</v>
      </c>
      <c r="F12" s="6">
        <v>18546</v>
      </c>
      <c r="G12" s="6" t="s">
        <v>28</v>
      </c>
      <c r="H12" s="6" t="s">
        <v>84</v>
      </c>
      <c r="I12" s="6" t="s">
        <v>84</v>
      </c>
      <c r="J12" s="6" t="s">
        <v>237</v>
      </c>
      <c r="K12" s="6">
        <v>1966</v>
      </c>
      <c r="L12" s="6">
        <v>80000</v>
      </c>
      <c r="M12" s="6" t="s">
        <v>238</v>
      </c>
      <c r="N12" s="6">
        <v>91</v>
      </c>
      <c r="O12" s="6">
        <v>879.12087912087907</v>
      </c>
      <c r="P12" s="6">
        <v>2126.0560413774342</v>
      </c>
      <c r="Q12" s="6">
        <v>879.12087912087907</v>
      </c>
      <c r="R12" s="6">
        <v>3397.849462365592</v>
      </c>
      <c r="S12" s="6">
        <v>2150</v>
      </c>
      <c r="T12" s="6">
        <v>21</v>
      </c>
      <c r="U12" s="6" t="s">
        <v>239</v>
      </c>
      <c r="V12" s="6">
        <v>100</v>
      </c>
      <c r="W12" s="6">
        <v>863.38625084904493</v>
      </c>
      <c r="X12" s="7">
        <f t="shared" si="0"/>
        <v>0.58650154934236254</v>
      </c>
      <c r="Y12" s="6" t="b">
        <f t="shared" si="1"/>
        <v>1</v>
      </c>
    </row>
    <row r="13" spans="1:25" x14ac:dyDescent="0.3">
      <c r="A13" s="6" t="s">
        <v>615</v>
      </c>
      <c r="B13" s="6" t="s">
        <v>24</v>
      </c>
      <c r="C13" s="6" t="s">
        <v>616</v>
      </c>
      <c r="D13" s="6" t="s">
        <v>617</v>
      </c>
      <c r="E13" s="6" t="s">
        <v>618</v>
      </c>
      <c r="F13" s="6">
        <v>54500</v>
      </c>
      <c r="G13" s="6" t="s">
        <v>232</v>
      </c>
      <c r="H13" s="6" t="s">
        <v>233</v>
      </c>
      <c r="I13" s="6" t="s">
        <v>448</v>
      </c>
      <c r="J13" s="6" t="s">
        <v>619</v>
      </c>
      <c r="K13" s="6">
        <v>1999</v>
      </c>
      <c r="L13" s="6">
        <v>290000</v>
      </c>
      <c r="M13" s="6" t="s">
        <v>620</v>
      </c>
      <c r="N13" s="6">
        <v>525</v>
      </c>
      <c r="O13" s="6">
        <v>552.38095238095241</v>
      </c>
      <c r="P13" s="6">
        <v>1328.4996004671459</v>
      </c>
      <c r="Q13" s="6">
        <v>957.57575757575762</v>
      </c>
      <c r="R13" s="6">
        <v>1724.137931034483</v>
      </c>
      <c r="S13" s="6">
        <v>1397.0588235294119</v>
      </c>
      <c r="T13" s="6">
        <v>5</v>
      </c>
      <c r="U13" s="6" t="s">
        <v>621</v>
      </c>
      <c r="V13" s="6">
        <v>225</v>
      </c>
      <c r="W13" s="6">
        <v>287.0996423002378</v>
      </c>
      <c r="X13" s="7">
        <f t="shared" si="0"/>
        <v>0.58420691117504564</v>
      </c>
      <c r="Y13" s="6" t="b">
        <f t="shared" si="1"/>
        <v>1</v>
      </c>
    </row>
    <row r="14" spans="1:25" x14ac:dyDescent="0.3">
      <c r="A14" s="6" t="s">
        <v>103</v>
      </c>
      <c r="B14" s="6" t="s">
        <v>34</v>
      </c>
      <c r="C14" s="6" t="s">
        <v>104</v>
      </c>
      <c r="D14" s="6" t="s">
        <v>105</v>
      </c>
      <c r="E14" s="6" t="s">
        <v>106</v>
      </c>
      <c r="F14" s="6">
        <v>17456</v>
      </c>
      <c r="G14" s="6" t="s">
        <v>28</v>
      </c>
      <c r="H14" s="6" t="s">
        <v>107</v>
      </c>
      <c r="I14" s="6" t="s">
        <v>108</v>
      </c>
      <c r="J14" s="6" t="s">
        <v>109</v>
      </c>
      <c r="K14" s="6">
        <v>1958</v>
      </c>
      <c r="L14" s="6">
        <v>208000</v>
      </c>
      <c r="M14" s="6" t="s">
        <v>110</v>
      </c>
      <c r="N14" s="6">
        <v>108</v>
      </c>
      <c r="O14" s="6">
        <v>1925.9259259259261</v>
      </c>
      <c r="P14" s="6">
        <v>4568.6718475955413</v>
      </c>
      <c r="Q14" s="6">
        <v>1869.1588785046731</v>
      </c>
      <c r="R14" s="6">
        <v>8181.818181818182</v>
      </c>
      <c r="S14" s="6">
        <v>4649.7975708502017</v>
      </c>
      <c r="T14" s="6">
        <v>30</v>
      </c>
      <c r="U14" s="6" t="s">
        <v>111</v>
      </c>
      <c r="V14" s="6">
        <v>100</v>
      </c>
      <c r="W14" s="6">
        <v>1271.6655594073241</v>
      </c>
      <c r="X14" s="7">
        <f t="shared" si="0"/>
        <v>0.57844949469515372</v>
      </c>
      <c r="Y14" s="6" t="b">
        <f t="shared" si="1"/>
        <v>1</v>
      </c>
    </row>
    <row r="15" spans="1:25" x14ac:dyDescent="0.3">
      <c r="A15" s="6" t="s">
        <v>155</v>
      </c>
      <c r="B15" s="6" t="s">
        <v>34</v>
      </c>
      <c r="C15" s="6" t="s">
        <v>156</v>
      </c>
      <c r="D15" s="6" t="s">
        <v>157</v>
      </c>
      <c r="E15" s="6" t="s">
        <v>158</v>
      </c>
      <c r="F15" s="6">
        <v>10433</v>
      </c>
      <c r="G15" s="6" t="s">
        <v>28</v>
      </c>
      <c r="H15" s="6" t="s">
        <v>29</v>
      </c>
      <c r="I15" s="6" t="s">
        <v>30</v>
      </c>
      <c r="J15" s="6" t="s">
        <v>159</v>
      </c>
      <c r="K15" s="6">
        <v>1961</v>
      </c>
      <c r="L15" s="6">
        <v>75000</v>
      </c>
      <c r="M15" s="6" t="s">
        <v>160</v>
      </c>
      <c r="N15" s="6">
        <v>91</v>
      </c>
      <c r="O15" s="6">
        <v>824.17582417582423</v>
      </c>
      <c r="P15" s="6">
        <v>1942.8037354887649</v>
      </c>
      <c r="Q15" s="6">
        <v>1081.818181818182</v>
      </c>
      <c r="R15" s="6">
        <v>7692.3076923076924</v>
      </c>
      <c r="S15" s="6">
        <v>1671.675191815857</v>
      </c>
      <c r="T15" s="6">
        <v>30</v>
      </c>
      <c r="U15" s="6" t="s">
        <v>161</v>
      </c>
      <c r="V15" s="6">
        <v>100</v>
      </c>
      <c r="W15" s="6">
        <v>1150.942871503175</v>
      </c>
      <c r="X15" s="7">
        <f t="shared" si="0"/>
        <v>0.5757801937886019</v>
      </c>
      <c r="Y15" s="6" t="b">
        <f t="shared" si="1"/>
        <v>1</v>
      </c>
    </row>
    <row r="16" spans="1:25" x14ac:dyDescent="0.3">
      <c r="A16" s="6" t="s">
        <v>36</v>
      </c>
      <c r="B16" s="6" t="s">
        <v>34</v>
      </c>
      <c r="C16" s="6" t="s">
        <v>37</v>
      </c>
      <c r="D16" s="6" t="s">
        <v>38</v>
      </c>
      <c r="E16" s="6" t="s">
        <v>39</v>
      </c>
      <c r="F16" s="6">
        <v>12461</v>
      </c>
      <c r="G16" s="6" t="s">
        <v>28</v>
      </c>
      <c r="H16" s="6" t="s">
        <v>40</v>
      </c>
      <c r="I16" s="6" t="s">
        <v>41</v>
      </c>
      <c r="J16" s="6" t="s">
        <v>42</v>
      </c>
      <c r="K16" s="6">
        <v>1946</v>
      </c>
      <c r="L16" s="6">
        <v>55000</v>
      </c>
      <c r="M16" s="6" t="s">
        <v>43</v>
      </c>
      <c r="N16" s="6">
        <v>62</v>
      </c>
      <c r="O16" s="6">
        <v>887.09677419354841</v>
      </c>
      <c r="P16" s="6">
        <v>2078.2964084293048</v>
      </c>
      <c r="Q16" s="6">
        <v>887.09677419354841</v>
      </c>
      <c r="R16" s="6">
        <v>3723.0769230769229</v>
      </c>
      <c r="S16" s="6">
        <v>1866.666666666667</v>
      </c>
      <c r="T16" s="6">
        <v>7</v>
      </c>
      <c r="U16" s="6" t="s">
        <v>44</v>
      </c>
      <c r="V16" s="6">
        <v>150</v>
      </c>
      <c r="W16" s="6">
        <v>884.56790776230673</v>
      </c>
      <c r="X16" s="7">
        <f t="shared" si="0"/>
        <v>0.57316157089258435</v>
      </c>
      <c r="Y16" s="6" t="b">
        <f t="shared" si="1"/>
        <v>1</v>
      </c>
    </row>
    <row r="17" spans="1:25" x14ac:dyDescent="0.3">
      <c r="A17" s="6" t="s">
        <v>73</v>
      </c>
      <c r="B17" s="6" t="s">
        <v>24</v>
      </c>
      <c r="C17" s="6" t="s">
        <v>74</v>
      </c>
      <c r="D17" s="6" t="s">
        <v>75</v>
      </c>
      <c r="E17" s="6" t="s">
        <v>76</v>
      </c>
      <c r="F17" s="6">
        <v>11854</v>
      </c>
      <c r="G17" s="6" t="s">
        <v>28</v>
      </c>
      <c r="H17" s="6" t="s">
        <v>29</v>
      </c>
      <c r="I17" s="6" t="s">
        <v>30</v>
      </c>
      <c r="J17" s="6" t="s">
        <v>77</v>
      </c>
      <c r="K17" s="6">
        <v>1955</v>
      </c>
      <c r="L17" s="6">
        <v>770000</v>
      </c>
      <c r="M17" s="6" t="s">
        <v>78</v>
      </c>
      <c r="N17" s="6">
        <v>419</v>
      </c>
      <c r="O17" s="6">
        <v>1837.708830548926</v>
      </c>
      <c r="P17" s="6">
        <v>4286.3586512917809</v>
      </c>
      <c r="Q17" s="6">
        <v>1277.7777777777781</v>
      </c>
      <c r="R17" s="6">
        <v>7500</v>
      </c>
      <c r="S17" s="6">
        <v>4531.6954238559638</v>
      </c>
      <c r="T17" s="6">
        <v>30</v>
      </c>
      <c r="U17" s="6" t="s">
        <v>79</v>
      </c>
      <c r="V17" s="6">
        <v>100</v>
      </c>
      <c r="W17" s="6">
        <v>1638.8022872109329</v>
      </c>
      <c r="X17" s="7">
        <f t="shared" si="0"/>
        <v>0.57126573391260771</v>
      </c>
      <c r="Y17" s="6" t="b">
        <f t="shared" si="1"/>
        <v>1</v>
      </c>
    </row>
    <row r="18" spans="1:25" x14ac:dyDescent="0.3">
      <c r="A18" s="6" t="s">
        <v>346</v>
      </c>
      <c r="B18" s="6" t="s">
        <v>34</v>
      </c>
      <c r="C18" s="6" t="s">
        <v>347</v>
      </c>
      <c r="D18" s="6" t="s">
        <v>348</v>
      </c>
      <c r="E18" s="6" t="s">
        <v>349</v>
      </c>
      <c r="F18" s="6">
        <v>14561</v>
      </c>
      <c r="G18" s="6" t="s">
        <v>28</v>
      </c>
      <c r="H18" s="6" t="s">
        <v>260</v>
      </c>
      <c r="I18" s="6" t="s">
        <v>350</v>
      </c>
      <c r="J18" s="6" t="s">
        <v>351</v>
      </c>
      <c r="K18" s="6">
        <v>1972</v>
      </c>
      <c r="L18" s="6">
        <v>470000</v>
      </c>
      <c r="M18" s="6" t="s">
        <v>352</v>
      </c>
      <c r="N18" s="6">
        <v>223</v>
      </c>
      <c r="O18" s="6">
        <v>2107.6233183856498</v>
      </c>
      <c r="P18" s="6">
        <v>4795.8709404639521</v>
      </c>
      <c r="Q18" s="6">
        <v>2338.7096774193551</v>
      </c>
      <c r="R18" s="6">
        <v>7195.9459459459458</v>
      </c>
      <c r="S18" s="6">
        <v>4210.5263157894733</v>
      </c>
      <c r="T18" s="6">
        <v>27</v>
      </c>
      <c r="U18" s="6" t="s">
        <v>353</v>
      </c>
      <c r="V18" s="6">
        <v>100</v>
      </c>
      <c r="W18" s="6">
        <v>1729.628871127685</v>
      </c>
      <c r="X18" s="7">
        <f t="shared" si="0"/>
        <v>0.56053377070614863</v>
      </c>
      <c r="Y18" s="6" t="b">
        <f t="shared" si="1"/>
        <v>1</v>
      </c>
    </row>
    <row r="19" spans="1:25" x14ac:dyDescent="0.3">
      <c r="A19" s="6" t="s">
        <v>324</v>
      </c>
      <c r="B19" s="6" t="s">
        <v>34</v>
      </c>
      <c r="C19" s="6" t="s">
        <v>309</v>
      </c>
      <c r="D19" s="6" t="s">
        <v>325</v>
      </c>
      <c r="E19" s="6" t="s">
        <v>326</v>
      </c>
      <c r="F19" s="6">
        <v>10440</v>
      </c>
      <c r="G19" s="6" t="s">
        <v>28</v>
      </c>
      <c r="H19" s="6" t="s">
        <v>29</v>
      </c>
      <c r="I19" s="6" t="s">
        <v>30</v>
      </c>
      <c r="J19" s="6" t="s">
        <v>327</v>
      </c>
      <c r="K19" s="6">
        <v>1971</v>
      </c>
      <c r="L19" s="6">
        <v>75000</v>
      </c>
      <c r="M19" s="6" t="s">
        <v>328</v>
      </c>
      <c r="N19" s="6">
        <v>80</v>
      </c>
      <c r="O19" s="6">
        <v>937.5</v>
      </c>
      <c r="P19" s="6">
        <v>2120.8720482313952</v>
      </c>
      <c r="Q19" s="6">
        <v>900</v>
      </c>
      <c r="R19" s="6">
        <v>4796.2962962962974</v>
      </c>
      <c r="S19" s="6">
        <v>1682.1581196581201</v>
      </c>
      <c r="T19" s="6">
        <v>10</v>
      </c>
      <c r="U19" s="6" t="s">
        <v>329</v>
      </c>
      <c r="V19" s="6">
        <v>100</v>
      </c>
      <c r="W19" s="6">
        <v>1219.2552297558721</v>
      </c>
      <c r="X19" s="7">
        <f t="shared" si="0"/>
        <v>0.55796484715719386</v>
      </c>
      <c r="Y19" s="6" t="b">
        <f t="shared" si="1"/>
        <v>1</v>
      </c>
    </row>
    <row r="20" spans="1:25" x14ac:dyDescent="0.3">
      <c r="A20" s="6" t="s">
        <v>280</v>
      </c>
      <c r="B20" s="6" t="s">
        <v>34</v>
      </c>
      <c r="C20" s="6" t="s">
        <v>55</v>
      </c>
      <c r="D20" s="6" t="s">
        <v>281</v>
      </c>
      <c r="E20" s="6" t="s">
        <v>282</v>
      </c>
      <c r="F20" s="6">
        <v>11251</v>
      </c>
      <c r="G20" s="6" t="s">
        <v>28</v>
      </c>
      <c r="H20" s="6" t="s">
        <v>29</v>
      </c>
      <c r="I20" s="6" t="s">
        <v>30</v>
      </c>
      <c r="J20" s="6" t="s">
        <v>283</v>
      </c>
      <c r="K20" s="6">
        <v>1969</v>
      </c>
      <c r="L20" s="6">
        <v>70000</v>
      </c>
      <c r="M20" s="6" t="s">
        <v>284</v>
      </c>
      <c r="N20" s="6">
        <v>76</v>
      </c>
      <c r="O20" s="6">
        <v>921.0526315789474</v>
      </c>
      <c r="P20" s="6">
        <v>2070.075106144041</v>
      </c>
      <c r="Q20" s="6">
        <v>1287.037037037037</v>
      </c>
      <c r="R20" s="6">
        <v>3204.3010752688169</v>
      </c>
      <c r="S20" s="6">
        <v>1966.834895457823</v>
      </c>
      <c r="T20" s="6">
        <v>30</v>
      </c>
      <c r="U20" s="6" t="s">
        <v>285</v>
      </c>
      <c r="V20" s="6">
        <v>100</v>
      </c>
      <c r="W20" s="6">
        <v>523.99334182864459</v>
      </c>
      <c r="X20" s="7">
        <f t="shared" si="0"/>
        <v>0.55506318159894907</v>
      </c>
      <c r="Y20" s="6" t="b">
        <f t="shared" si="1"/>
        <v>1</v>
      </c>
    </row>
    <row r="21" spans="1:25" x14ac:dyDescent="0.3">
      <c r="A21" s="6" t="s">
        <v>265</v>
      </c>
      <c r="B21" s="6" t="s">
        <v>34</v>
      </c>
      <c r="C21" s="6" t="s">
        <v>266</v>
      </c>
      <c r="D21" s="6" t="s">
        <v>267</v>
      </c>
      <c r="E21" s="6" t="s">
        <v>268</v>
      </c>
      <c r="F21" s="6">
        <v>17562</v>
      </c>
      <c r="G21" s="6" t="s">
        <v>28</v>
      </c>
      <c r="H21" s="6" t="s">
        <v>107</v>
      </c>
      <c r="I21" s="6" t="s">
        <v>269</v>
      </c>
      <c r="J21" s="6" t="s">
        <v>270</v>
      </c>
      <c r="K21" s="6">
        <v>1967</v>
      </c>
      <c r="L21" s="6">
        <v>165000</v>
      </c>
      <c r="M21" s="6" t="s">
        <v>271</v>
      </c>
      <c r="N21" s="6">
        <v>84</v>
      </c>
      <c r="O21" s="6">
        <v>1964.285714285714</v>
      </c>
      <c r="P21" s="6">
        <v>4386.4917874893263</v>
      </c>
      <c r="Q21" s="6">
        <v>2894.7368421052629</v>
      </c>
      <c r="R21" s="6">
        <v>7352.9411764705883</v>
      </c>
      <c r="S21" s="6">
        <v>4145.189003436426</v>
      </c>
      <c r="T21" s="6">
        <v>30</v>
      </c>
      <c r="U21" s="6" t="s">
        <v>272</v>
      </c>
      <c r="V21" s="6">
        <v>100</v>
      </c>
      <c r="W21" s="6">
        <v>1085.8574060776609</v>
      </c>
      <c r="X21" s="7">
        <f t="shared" si="0"/>
        <v>0.55219665066100532</v>
      </c>
      <c r="Y21" s="6" t="b">
        <f t="shared" si="1"/>
        <v>1</v>
      </c>
    </row>
    <row r="22" spans="1:25" x14ac:dyDescent="0.3">
      <c r="A22" s="6" t="s">
        <v>467</v>
      </c>
      <c r="B22" s="6" t="s">
        <v>24</v>
      </c>
      <c r="C22" s="6" t="s">
        <v>468</v>
      </c>
      <c r="D22" s="6" t="s">
        <v>469</v>
      </c>
      <c r="E22" s="6" t="s">
        <v>470</v>
      </c>
      <c r="F22" s="6">
        <v>14578</v>
      </c>
      <c r="G22" s="6" t="s">
        <v>28</v>
      </c>
      <c r="H22" s="6" t="s">
        <v>260</v>
      </c>
      <c r="I22" s="6" t="s">
        <v>350</v>
      </c>
      <c r="J22" s="6" t="s">
        <v>471</v>
      </c>
      <c r="K22" s="6">
        <v>1980</v>
      </c>
      <c r="L22" s="6">
        <v>845000</v>
      </c>
      <c r="M22" s="6" t="s">
        <v>472</v>
      </c>
      <c r="N22" s="6">
        <v>200</v>
      </c>
      <c r="O22" s="6">
        <v>4225</v>
      </c>
      <c r="P22" s="6">
        <v>9169.4672549740571</v>
      </c>
      <c r="Q22" s="6">
        <v>4000</v>
      </c>
      <c r="R22" s="6">
        <v>15333.33333333333</v>
      </c>
      <c r="S22" s="6">
        <v>7250</v>
      </c>
      <c r="T22" s="6">
        <v>5</v>
      </c>
      <c r="U22" s="6" t="s">
        <v>473</v>
      </c>
      <c r="V22" s="6">
        <v>225</v>
      </c>
      <c r="W22" s="6">
        <v>5740.5516292360626</v>
      </c>
      <c r="X22" s="7">
        <f t="shared" si="0"/>
        <v>0.53923168243955377</v>
      </c>
      <c r="Y22" s="6" t="b">
        <f t="shared" si="1"/>
        <v>1</v>
      </c>
    </row>
    <row r="23" spans="1:25" x14ac:dyDescent="0.3">
      <c r="A23" s="6" t="s">
        <v>186</v>
      </c>
      <c r="B23" s="6" t="s">
        <v>34</v>
      </c>
      <c r="C23" s="6" t="s">
        <v>187</v>
      </c>
      <c r="D23" s="6" t="s">
        <v>188</v>
      </c>
      <c r="E23" s="6" t="s">
        <v>189</v>
      </c>
      <c r="F23" s="6">
        <v>10446</v>
      </c>
      <c r="G23" s="6" t="s">
        <v>28</v>
      </c>
      <c r="H23" s="6" t="s">
        <v>29</v>
      </c>
      <c r="I23" s="6" t="s">
        <v>30</v>
      </c>
      <c r="J23" s="6" t="s">
        <v>190</v>
      </c>
      <c r="K23" s="6">
        <v>1964</v>
      </c>
      <c r="L23" s="6">
        <v>65000</v>
      </c>
      <c r="M23" s="6" t="s">
        <v>191</v>
      </c>
      <c r="N23" s="6">
        <v>61</v>
      </c>
      <c r="O23" s="6">
        <v>1065.5737704918031</v>
      </c>
      <c r="P23" s="6">
        <v>2305.3371509068411</v>
      </c>
      <c r="Q23" s="6">
        <v>1300</v>
      </c>
      <c r="R23" s="6">
        <v>3553.1914893617022</v>
      </c>
      <c r="S23" s="6">
        <v>2408.301158301158</v>
      </c>
      <c r="T23" s="6">
        <v>30</v>
      </c>
      <c r="U23" s="6" t="s">
        <v>192</v>
      </c>
      <c r="V23" s="6">
        <v>100</v>
      </c>
      <c r="W23" s="6">
        <v>601.82738233318651</v>
      </c>
      <c r="X23" s="7">
        <f t="shared" si="0"/>
        <v>0.53777963883823121</v>
      </c>
      <c r="Y23" s="6" t="b">
        <f t="shared" si="1"/>
        <v>1</v>
      </c>
    </row>
    <row r="24" spans="1:25" x14ac:dyDescent="0.3">
      <c r="A24" s="6" t="s">
        <v>66</v>
      </c>
      <c r="B24" s="6" t="s">
        <v>34</v>
      </c>
      <c r="C24" s="6" t="s">
        <v>67</v>
      </c>
      <c r="D24" s="6" t="s">
        <v>68</v>
      </c>
      <c r="E24" s="6" t="s">
        <v>69</v>
      </c>
      <c r="F24" s="6">
        <v>10446</v>
      </c>
      <c r="G24" s="6" t="s">
        <v>28</v>
      </c>
      <c r="H24" s="6" t="s">
        <v>29</v>
      </c>
      <c r="I24" s="6" t="s">
        <v>30</v>
      </c>
      <c r="J24" s="6" t="s">
        <v>70</v>
      </c>
      <c r="K24" s="6">
        <v>1955</v>
      </c>
      <c r="L24" s="6">
        <v>71000</v>
      </c>
      <c r="M24" s="6" t="s">
        <v>71</v>
      </c>
      <c r="N24" s="6">
        <v>89</v>
      </c>
      <c r="O24" s="6">
        <v>797.75280898876406</v>
      </c>
      <c r="P24" s="6">
        <v>1719.5437761016501</v>
      </c>
      <c r="Q24" s="6">
        <v>797.75280898876406</v>
      </c>
      <c r="R24" s="6">
        <v>2642.8571428571431</v>
      </c>
      <c r="S24" s="6">
        <v>1688.259109311741</v>
      </c>
      <c r="T24" s="6">
        <v>30</v>
      </c>
      <c r="U24" s="6" t="s">
        <v>72</v>
      </c>
      <c r="V24" s="6">
        <v>100</v>
      </c>
      <c r="W24" s="6">
        <v>396.18149254565361</v>
      </c>
      <c r="X24" s="7">
        <f t="shared" si="0"/>
        <v>0.53606717079495558</v>
      </c>
      <c r="Y24" s="6" t="b">
        <f t="shared" si="1"/>
        <v>1</v>
      </c>
    </row>
    <row r="25" spans="1:25" x14ac:dyDescent="0.3">
      <c r="A25" s="6" t="s">
        <v>308</v>
      </c>
      <c r="B25" s="6" t="s">
        <v>34</v>
      </c>
      <c r="C25" s="6" t="s">
        <v>309</v>
      </c>
      <c r="D25" s="6" t="s">
        <v>310</v>
      </c>
      <c r="E25" s="6" t="s">
        <v>311</v>
      </c>
      <c r="F25" s="6">
        <v>10440</v>
      </c>
      <c r="G25" s="6" t="s">
        <v>28</v>
      </c>
      <c r="H25" s="6" t="s">
        <v>312</v>
      </c>
      <c r="I25" s="6" t="s">
        <v>313</v>
      </c>
      <c r="J25" s="6" t="s">
        <v>314</v>
      </c>
      <c r="K25" s="6">
        <v>1971</v>
      </c>
      <c r="L25" s="6">
        <v>70000</v>
      </c>
      <c r="M25" s="6" t="s">
        <v>315</v>
      </c>
      <c r="N25" s="6">
        <v>67</v>
      </c>
      <c r="O25" s="6">
        <v>1044.7761194029849</v>
      </c>
      <c r="P25" s="6">
        <v>2210.7423464922458</v>
      </c>
      <c r="Q25" s="6">
        <v>937.5</v>
      </c>
      <c r="R25" s="6">
        <v>9375</v>
      </c>
      <c r="S25" s="6">
        <v>1955.9859154929579</v>
      </c>
      <c r="T25" s="6">
        <v>30</v>
      </c>
      <c r="U25" s="6" t="s">
        <v>316</v>
      </c>
      <c r="V25" s="6">
        <v>100</v>
      </c>
      <c r="W25" s="6">
        <v>1490.735363790405</v>
      </c>
      <c r="X25" s="7">
        <f t="shared" si="0"/>
        <v>0.52740936949947304</v>
      </c>
      <c r="Y25" s="6" t="b">
        <f t="shared" si="1"/>
        <v>1</v>
      </c>
    </row>
    <row r="26" spans="1:25" x14ac:dyDescent="0.3">
      <c r="A26" s="6" t="s">
        <v>200</v>
      </c>
      <c r="B26" s="6" t="s">
        <v>34</v>
      </c>
      <c r="C26" s="6" t="s">
        <v>187</v>
      </c>
      <c r="D26" s="6" t="s">
        <v>201</v>
      </c>
      <c r="E26" s="6" t="s">
        <v>202</v>
      </c>
      <c r="F26" s="6">
        <v>10446</v>
      </c>
      <c r="G26" s="6" t="s">
        <v>28</v>
      </c>
      <c r="H26" s="6" t="s">
        <v>29</v>
      </c>
      <c r="I26" s="6" t="s">
        <v>30</v>
      </c>
      <c r="J26" s="6" t="s">
        <v>190</v>
      </c>
      <c r="K26" s="6">
        <v>1965</v>
      </c>
      <c r="L26" s="6">
        <v>57000</v>
      </c>
      <c r="M26" s="6" t="s">
        <v>203</v>
      </c>
      <c r="N26" s="6">
        <v>52</v>
      </c>
      <c r="O26" s="6">
        <v>1096.153846153846</v>
      </c>
      <c r="P26" s="6">
        <v>2305.3371509068411</v>
      </c>
      <c r="Q26" s="6">
        <v>1300</v>
      </c>
      <c r="R26" s="6">
        <v>3553.1914893617022</v>
      </c>
      <c r="S26" s="6">
        <v>2408.301158301158</v>
      </c>
      <c r="T26" s="6">
        <v>30</v>
      </c>
      <c r="U26" s="6" t="s">
        <v>192</v>
      </c>
      <c r="V26" s="6">
        <v>100</v>
      </c>
      <c r="W26" s="6">
        <v>601.82738233318651</v>
      </c>
      <c r="X26" s="7">
        <f t="shared" si="0"/>
        <v>0.52451473498240531</v>
      </c>
      <c r="Y26" s="6" t="b">
        <f t="shared" si="1"/>
        <v>1</v>
      </c>
    </row>
    <row r="27" spans="1:25" x14ac:dyDescent="0.3">
      <c r="A27" s="6" t="s">
        <v>59</v>
      </c>
      <c r="B27" s="6" t="s">
        <v>34</v>
      </c>
      <c r="C27" s="6" t="s">
        <v>60</v>
      </c>
      <c r="D27" s="6" t="s">
        <v>61</v>
      </c>
      <c r="E27" s="6" t="s">
        <v>62</v>
      </c>
      <c r="F27" s="6">
        <v>11257</v>
      </c>
      <c r="G27" s="6" t="s">
        <v>28</v>
      </c>
      <c r="H27" s="6" t="s">
        <v>29</v>
      </c>
      <c r="I27" s="6" t="s">
        <v>30</v>
      </c>
      <c r="J27" s="6" t="s">
        <v>63</v>
      </c>
      <c r="K27" s="6">
        <v>1954</v>
      </c>
      <c r="L27" s="6">
        <v>137000</v>
      </c>
      <c r="M27" s="6" t="s">
        <v>64</v>
      </c>
      <c r="N27" s="6">
        <v>122</v>
      </c>
      <c r="O27" s="6">
        <v>1122.950819672131</v>
      </c>
      <c r="P27" s="6">
        <v>2328.948296900583</v>
      </c>
      <c r="Q27" s="6">
        <v>1122.950819672131</v>
      </c>
      <c r="R27" s="6">
        <v>4464.2857142857147</v>
      </c>
      <c r="S27" s="6">
        <v>2221.7741935483868</v>
      </c>
      <c r="T27" s="6">
        <v>30</v>
      </c>
      <c r="U27" s="6" t="s">
        <v>65</v>
      </c>
      <c r="V27" s="6">
        <v>100</v>
      </c>
      <c r="W27" s="6">
        <v>698.88251579587222</v>
      </c>
      <c r="X27" s="7">
        <f t="shared" si="0"/>
        <v>0.5178292188080863</v>
      </c>
      <c r="Y27" s="6" t="b">
        <f t="shared" si="1"/>
        <v>1</v>
      </c>
    </row>
    <row r="28" spans="1:25" x14ac:dyDescent="0.3">
      <c r="A28" s="6" t="s">
        <v>126</v>
      </c>
      <c r="B28" s="6" t="s">
        <v>34</v>
      </c>
      <c r="C28" s="6" t="s">
        <v>127</v>
      </c>
      <c r="D28" s="6" t="s">
        <v>128</v>
      </c>
      <c r="E28" s="6" t="s">
        <v>129</v>
      </c>
      <c r="F28" s="6">
        <v>10446</v>
      </c>
      <c r="G28" s="6" t="s">
        <v>28</v>
      </c>
      <c r="H28" s="6" t="s">
        <v>29</v>
      </c>
      <c r="I28" s="6" t="s">
        <v>30</v>
      </c>
      <c r="J28" s="6" t="s">
        <v>130</v>
      </c>
      <c r="K28" s="6">
        <v>1960</v>
      </c>
      <c r="L28" s="6">
        <v>53000</v>
      </c>
      <c r="M28" s="6" t="s">
        <v>131</v>
      </c>
      <c r="N28" s="6">
        <v>53</v>
      </c>
      <c r="O28" s="6">
        <v>1000</v>
      </c>
      <c r="P28" s="6">
        <v>2067.0945721171829</v>
      </c>
      <c r="Q28" s="6">
        <v>1250</v>
      </c>
      <c r="R28" s="6">
        <v>3100</v>
      </c>
      <c r="S28" s="6">
        <v>1942.4342105263161</v>
      </c>
      <c r="T28" s="6">
        <v>30</v>
      </c>
      <c r="U28" s="6" t="s">
        <v>132</v>
      </c>
      <c r="V28" s="6">
        <v>100</v>
      </c>
      <c r="W28" s="6">
        <v>453.66083595027823</v>
      </c>
      <c r="X28" s="7">
        <f t="shared" si="0"/>
        <v>0.51622919749831819</v>
      </c>
      <c r="Y28" s="6" t="b">
        <f t="shared" si="1"/>
        <v>1</v>
      </c>
    </row>
    <row r="29" spans="1:25" x14ac:dyDescent="0.3">
      <c r="A29" s="6" t="s">
        <v>706</v>
      </c>
      <c r="B29" s="6" t="s">
        <v>24</v>
      </c>
      <c r="C29" s="6" t="s">
        <v>700</v>
      </c>
      <c r="D29" s="6" t="s">
        <v>707</v>
      </c>
      <c r="E29" s="6" t="s">
        <v>702</v>
      </c>
      <c r="F29" s="6">
        <v>14564</v>
      </c>
      <c r="G29" s="6" t="s">
        <v>28</v>
      </c>
      <c r="H29" s="6" t="s">
        <v>260</v>
      </c>
      <c r="I29" s="6" t="s">
        <v>350</v>
      </c>
      <c r="J29" s="6" t="s">
        <v>703</v>
      </c>
      <c r="K29" s="6">
        <v>2004</v>
      </c>
      <c r="L29" s="6">
        <v>460000</v>
      </c>
      <c r="M29" s="6" t="s">
        <v>708</v>
      </c>
      <c r="N29" s="6">
        <v>292</v>
      </c>
      <c r="O29" s="6">
        <v>1575.3424657534249</v>
      </c>
      <c r="P29" s="6">
        <v>3194.1271009692059</v>
      </c>
      <c r="Q29" s="6">
        <v>2368.4210526315792</v>
      </c>
      <c r="R29" s="6">
        <v>3846.1538461538462</v>
      </c>
      <c r="S29" s="6">
        <v>3500</v>
      </c>
      <c r="T29" s="6">
        <v>5</v>
      </c>
      <c r="U29" s="6" t="s">
        <v>705</v>
      </c>
      <c r="V29" s="6">
        <v>225</v>
      </c>
      <c r="W29" s="6">
        <v>645.41674515094451</v>
      </c>
      <c r="X29" s="7">
        <f t="shared" si="0"/>
        <v>0.50680031947526039</v>
      </c>
      <c r="Y29" s="6" t="b">
        <f t="shared" si="1"/>
        <v>1</v>
      </c>
    </row>
    <row r="30" spans="1:25" x14ac:dyDescent="0.3">
      <c r="A30" s="6" t="s">
        <v>54</v>
      </c>
      <c r="B30" s="6" t="s">
        <v>34</v>
      </c>
      <c r="C30" s="6" t="s">
        <v>55</v>
      </c>
      <c r="D30" s="6" t="s">
        <v>56</v>
      </c>
      <c r="E30" s="6" t="s">
        <v>57</v>
      </c>
      <c r="F30" s="6">
        <v>11251</v>
      </c>
      <c r="G30" s="6" t="s">
        <v>28</v>
      </c>
      <c r="H30" s="6" t="s">
        <v>29</v>
      </c>
      <c r="I30" s="6" t="s">
        <v>30</v>
      </c>
      <c r="J30" s="6" t="s">
        <v>31</v>
      </c>
      <c r="K30" s="6">
        <v>1954</v>
      </c>
      <c r="L30" s="6">
        <v>75000</v>
      </c>
      <c r="M30" s="6" t="s">
        <v>58</v>
      </c>
      <c r="N30" s="6">
        <v>80</v>
      </c>
      <c r="O30" s="6">
        <v>937.5</v>
      </c>
      <c r="P30" s="6">
        <v>1882.0706002356351</v>
      </c>
      <c r="Q30" s="6">
        <v>1079.545454545455</v>
      </c>
      <c r="R30" s="6">
        <v>2604.166666666667</v>
      </c>
      <c r="S30" s="6">
        <v>1862.588652482269</v>
      </c>
      <c r="T30" s="6">
        <v>30</v>
      </c>
      <c r="U30" s="6" t="s">
        <v>33</v>
      </c>
      <c r="V30" s="6">
        <v>100</v>
      </c>
      <c r="W30" s="6">
        <v>415.75782097307763</v>
      </c>
      <c r="X30" s="7">
        <f t="shared" si="0"/>
        <v>0.50187840993710586</v>
      </c>
      <c r="Y30" s="6" t="b">
        <f t="shared" si="1"/>
        <v>1</v>
      </c>
    </row>
    <row r="31" spans="1:25" x14ac:dyDescent="0.3">
      <c r="A31" s="6" t="s">
        <v>361</v>
      </c>
      <c r="B31" s="6" t="s">
        <v>34</v>
      </c>
      <c r="C31" s="6" t="s">
        <v>362</v>
      </c>
      <c r="D31" s="6" t="s">
        <v>363</v>
      </c>
      <c r="E31" s="6" t="s">
        <v>364</v>
      </c>
      <c r="F31" s="6">
        <v>74100</v>
      </c>
      <c r="G31" s="6" t="s">
        <v>28</v>
      </c>
      <c r="H31" s="6" t="s">
        <v>29</v>
      </c>
      <c r="I31" s="6" t="s">
        <v>30</v>
      </c>
      <c r="J31" s="6" t="s">
        <v>365</v>
      </c>
      <c r="K31" s="6">
        <v>1973</v>
      </c>
      <c r="L31" s="6">
        <v>69000</v>
      </c>
      <c r="M31" s="6"/>
      <c r="N31" s="6">
        <v>57</v>
      </c>
      <c r="O31" s="6">
        <v>1210.526315789474</v>
      </c>
      <c r="P31" s="6">
        <v>2413.661010674728</v>
      </c>
      <c r="Q31" s="6">
        <v>971.42857142857144</v>
      </c>
      <c r="R31" s="6">
        <v>3461.538461538461</v>
      </c>
      <c r="S31" s="6">
        <v>2450</v>
      </c>
      <c r="T31" s="6">
        <v>30</v>
      </c>
      <c r="U31" s="6" t="s">
        <v>366</v>
      </c>
      <c r="V31" s="6">
        <v>100</v>
      </c>
      <c r="W31" s="6">
        <v>659.19938722573454</v>
      </c>
      <c r="X31" s="7">
        <f t="shared" si="0"/>
        <v>0.49846879473307781</v>
      </c>
      <c r="Y31" s="6" t="b">
        <f t="shared" si="1"/>
        <v>1</v>
      </c>
    </row>
    <row r="32" spans="1:25" x14ac:dyDescent="0.3">
      <c r="A32" s="6" t="s">
        <v>541</v>
      </c>
      <c r="B32" s="6" t="s">
        <v>24</v>
      </c>
      <c r="C32" s="6" t="s">
        <v>542</v>
      </c>
      <c r="D32" s="6" t="s">
        <v>543</v>
      </c>
      <c r="E32" s="6" t="s">
        <v>544</v>
      </c>
      <c r="F32" s="6">
        <v>13341</v>
      </c>
      <c r="G32" s="6" t="s">
        <v>28</v>
      </c>
      <c r="H32" s="6" t="s">
        <v>49</v>
      </c>
      <c r="I32" s="6" t="s">
        <v>417</v>
      </c>
      <c r="J32" s="6" t="s">
        <v>545</v>
      </c>
      <c r="K32" s="6">
        <v>1990</v>
      </c>
      <c r="L32" s="6">
        <v>210000</v>
      </c>
      <c r="M32" s="6" t="s">
        <v>546</v>
      </c>
      <c r="N32" s="6">
        <v>235</v>
      </c>
      <c r="O32" s="6">
        <v>893.61702127659578</v>
      </c>
      <c r="P32" s="6">
        <v>1769.2027358036401</v>
      </c>
      <c r="Q32" s="6">
        <v>1117.64705882353</v>
      </c>
      <c r="R32" s="6">
        <v>2446.8085106382978</v>
      </c>
      <c r="S32" s="6">
        <v>1785.714285714286</v>
      </c>
      <c r="T32" s="6">
        <v>7</v>
      </c>
      <c r="U32" s="6" t="s">
        <v>547</v>
      </c>
      <c r="V32" s="6">
        <v>150</v>
      </c>
      <c r="W32" s="6">
        <v>550.20254169209397</v>
      </c>
      <c r="X32" s="7">
        <f t="shared" si="0"/>
        <v>0.49490411517440902</v>
      </c>
      <c r="Y32" s="6" t="b">
        <f t="shared" si="1"/>
        <v>1</v>
      </c>
    </row>
    <row r="33" spans="1:25" x14ac:dyDescent="0.3">
      <c r="A33" s="6" t="s">
        <v>699</v>
      </c>
      <c r="B33" s="6" t="s">
        <v>24</v>
      </c>
      <c r="C33" s="6" t="s">
        <v>700</v>
      </c>
      <c r="D33" s="6" t="s">
        <v>701</v>
      </c>
      <c r="E33" s="6" t="s">
        <v>702</v>
      </c>
      <c r="F33" s="6">
        <v>14564</v>
      </c>
      <c r="G33" s="6" t="s">
        <v>28</v>
      </c>
      <c r="H33" s="6" t="s">
        <v>260</v>
      </c>
      <c r="I33" s="6" t="s">
        <v>350</v>
      </c>
      <c r="J33" s="6" t="s">
        <v>703</v>
      </c>
      <c r="K33" s="6">
        <v>2004</v>
      </c>
      <c r="L33" s="6">
        <v>485000</v>
      </c>
      <c r="M33" s="6" t="s">
        <v>704</v>
      </c>
      <c r="N33" s="6">
        <v>298</v>
      </c>
      <c r="O33" s="6">
        <v>1627.5167785234901</v>
      </c>
      <c r="P33" s="6">
        <v>3194.1271009692059</v>
      </c>
      <c r="Q33" s="6">
        <v>2368.4210526315792</v>
      </c>
      <c r="R33" s="6">
        <v>3846.1538461538462</v>
      </c>
      <c r="S33" s="6">
        <v>3500</v>
      </c>
      <c r="T33" s="6">
        <v>5</v>
      </c>
      <c r="U33" s="6" t="s">
        <v>705</v>
      </c>
      <c r="V33" s="6">
        <v>225</v>
      </c>
      <c r="W33" s="6">
        <v>645.41674515094451</v>
      </c>
      <c r="X33" s="7">
        <f t="shared" ref="X33:X63" si="2">(1-O33/P33)</f>
        <v>0.49046586842782602</v>
      </c>
      <c r="Y33" s="6" t="b">
        <f t="shared" ref="Y33:Y63" si="3">IF(O33&lt;P33,TRUE,FALSE)</f>
        <v>1</v>
      </c>
    </row>
    <row r="34" spans="1:25" x14ac:dyDescent="0.3">
      <c r="A34" s="6" t="s">
        <v>166</v>
      </c>
      <c r="B34" s="6" t="s">
        <v>34</v>
      </c>
      <c r="C34" s="6" t="s">
        <v>167</v>
      </c>
      <c r="D34" s="6" t="s">
        <v>168</v>
      </c>
      <c r="E34" s="6" t="s">
        <v>169</v>
      </c>
      <c r="F34" s="6">
        <v>11527</v>
      </c>
      <c r="G34" s="6" t="s">
        <v>28</v>
      </c>
      <c r="H34" s="6" t="s">
        <v>29</v>
      </c>
      <c r="I34" s="6" t="s">
        <v>30</v>
      </c>
      <c r="J34" s="6" t="s">
        <v>170</v>
      </c>
      <c r="K34" s="6">
        <v>1963</v>
      </c>
      <c r="L34" s="6">
        <v>114000</v>
      </c>
      <c r="M34" s="6" t="s">
        <v>171</v>
      </c>
      <c r="N34" s="6">
        <v>72</v>
      </c>
      <c r="O34" s="6">
        <v>1583.333333333333</v>
      </c>
      <c r="P34" s="6">
        <v>3034.862150868641</v>
      </c>
      <c r="Q34" s="6">
        <v>904.76190476190482</v>
      </c>
      <c r="R34" s="6">
        <v>7017.5438596491231</v>
      </c>
      <c r="S34" s="6">
        <v>2708.695652173913</v>
      </c>
      <c r="T34" s="6">
        <v>30</v>
      </c>
      <c r="U34" s="6" t="s">
        <v>172</v>
      </c>
      <c r="V34" s="6">
        <v>100</v>
      </c>
      <c r="W34" s="6">
        <v>1230.457011869634</v>
      </c>
      <c r="X34" s="7">
        <f t="shared" si="2"/>
        <v>0.47828492543552603</v>
      </c>
      <c r="Y34" s="6" t="b">
        <f t="shared" si="3"/>
        <v>1</v>
      </c>
    </row>
    <row r="35" spans="1:25" x14ac:dyDescent="0.3">
      <c r="A35" s="6" t="s">
        <v>888</v>
      </c>
      <c r="B35" s="6" t="s">
        <v>24</v>
      </c>
      <c r="C35" s="6" t="s">
        <v>882</v>
      </c>
      <c r="D35" s="6" t="s">
        <v>889</v>
      </c>
      <c r="E35" s="6" t="s">
        <v>884</v>
      </c>
      <c r="F35" s="6">
        <v>16673</v>
      </c>
      <c r="G35" s="6" t="s">
        <v>28</v>
      </c>
      <c r="H35" s="6" t="s">
        <v>341</v>
      </c>
      <c r="I35" s="6" t="s">
        <v>498</v>
      </c>
      <c r="J35" s="6" t="s">
        <v>885</v>
      </c>
      <c r="K35" s="6">
        <v>2010</v>
      </c>
      <c r="L35" s="6">
        <v>1097000</v>
      </c>
      <c r="M35" s="6" t="s">
        <v>886</v>
      </c>
      <c r="N35" s="6">
        <v>324</v>
      </c>
      <c r="O35" s="6">
        <v>3385.8024691358019</v>
      </c>
      <c r="P35" s="6">
        <v>6401.0433855908186</v>
      </c>
      <c r="Q35" s="6">
        <v>5000</v>
      </c>
      <c r="R35" s="6">
        <v>7647.0588235294117</v>
      </c>
      <c r="S35" s="6">
        <v>6375</v>
      </c>
      <c r="T35" s="6">
        <v>7</v>
      </c>
      <c r="U35" s="6" t="s">
        <v>887</v>
      </c>
      <c r="V35" s="6">
        <v>100</v>
      </c>
      <c r="W35" s="6">
        <v>938.29464444222333</v>
      </c>
      <c r="X35" s="7">
        <f t="shared" si="2"/>
        <v>0.47105459763677404</v>
      </c>
      <c r="Y35" s="6" t="b">
        <f t="shared" si="3"/>
        <v>1</v>
      </c>
    </row>
    <row r="36" spans="1:25" x14ac:dyDescent="0.3">
      <c r="A36" s="6" t="s">
        <v>119</v>
      </c>
      <c r="B36" s="6" t="s">
        <v>34</v>
      </c>
      <c r="C36" s="6" t="s">
        <v>120</v>
      </c>
      <c r="D36" s="6" t="s">
        <v>121</v>
      </c>
      <c r="E36" s="6" t="s">
        <v>122</v>
      </c>
      <c r="F36" s="6">
        <v>10432</v>
      </c>
      <c r="G36" s="6" t="s">
        <v>28</v>
      </c>
      <c r="H36" s="6" t="s">
        <v>29</v>
      </c>
      <c r="I36" s="6" t="s">
        <v>30</v>
      </c>
      <c r="J36" s="6" t="s">
        <v>123</v>
      </c>
      <c r="K36" s="6">
        <v>1959</v>
      </c>
      <c r="L36" s="6">
        <v>104000</v>
      </c>
      <c r="M36" s="6" t="s">
        <v>124</v>
      </c>
      <c r="N36" s="6">
        <v>75</v>
      </c>
      <c r="O36" s="6">
        <v>1386.666666666667</v>
      </c>
      <c r="P36" s="6">
        <v>2597.0286914548378</v>
      </c>
      <c r="Q36" s="6">
        <v>1349.397590361446</v>
      </c>
      <c r="R36" s="6">
        <v>7692.3076923076924</v>
      </c>
      <c r="S36" s="6">
        <v>2086.95652173913</v>
      </c>
      <c r="T36" s="6">
        <v>30</v>
      </c>
      <c r="U36" s="6" t="s">
        <v>125</v>
      </c>
      <c r="V36" s="6">
        <v>100</v>
      </c>
      <c r="W36" s="6">
        <v>1523.0862891528011</v>
      </c>
      <c r="X36" s="7">
        <f t="shared" si="2"/>
        <v>0.46605647013862384</v>
      </c>
      <c r="Y36" s="6" t="b">
        <f t="shared" si="3"/>
        <v>1</v>
      </c>
    </row>
    <row r="37" spans="1:25" x14ac:dyDescent="0.3">
      <c r="A37" s="6" t="s">
        <v>586</v>
      </c>
      <c r="B37" s="6" t="s">
        <v>34</v>
      </c>
      <c r="C37" s="6" t="s">
        <v>587</v>
      </c>
      <c r="D37" s="6" t="s">
        <v>588</v>
      </c>
      <c r="E37" s="6" t="s">
        <v>589</v>
      </c>
      <c r="F37" s="6">
        <v>19200</v>
      </c>
      <c r="G37" s="6" t="s">
        <v>28</v>
      </c>
      <c r="H37" s="6" t="s">
        <v>49</v>
      </c>
      <c r="I37" s="6" t="s">
        <v>371</v>
      </c>
      <c r="J37" s="6" t="s">
        <v>590</v>
      </c>
      <c r="K37" s="6">
        <v>1997</v>
      </c>
      <c r="L37" s="6">
        <v>123000</v>
      </c>
      <c r="M37" s="6" t="s">
        <v>591</v>
      </c>
      <c r="N37" s="6">
        <v>105</v>
      </c>
      <c r="O37" s="6">
        <v>1171.4285714285711</v>
      </c>
      <c r="P37" s="6">
        <v>2193.3565892221632</v>
      </c>
      <c r="Q37" s="6">
        <v>1798.6111111111111</v>
      </c>
      <c r="R37" s="6">
        <v>2458.333333333333</v>
      </c>
      <c r="S37" s="6">
        <v>2250</v>
      </c>
      <c r="T37" s="6">
        <v>18</v>
      </c>
      <c r="U37" s="6" t="s">
        <v>592</v>
      </c>
      <c r="V37" s="6">
        <v>225</v>
      </c>
      <c r="W37" s="6">
        <v>196.81989756675841</v>
      </c>
      <c r="X37" s="7">
        <f t="shared" si="2"/>
        <v>0.46591968803212325</v>
      </c>
      <c r="Y37" s="6" t="b">
        <f t="shared" si="3"/>
        <v>1</v>
      </c>
    </row>
    <row r="38" spans="1:25" x14ac:dyDescent="0.3">
      <c r="A38" s="6" t="s">
        <v>193</v>
      </c>
      <c r="B38" s="6" t="s">
        <v>34</v>
      </c>
      <c r="C38" s="6" t="s">
        <v>194</v>
      </c>
      <c r="D38" s="6" t="s">
        <v>195</v>
      </c>
      <c r="E38" s="6" t="s">
        <v>196</v>
      </c>
      <c r="F38" s="6">
        <v>10446</v>
      </c>
      <c r="G38" s="6" t="s">
        <v>28</v>
      </c>
      <c r="H38" s="6" t="s">
        <v>29</v>
      </c>
      <c r="I38" s="6" t="s">
        <v>30</v>
      </c>
      <c r="J38" s="6" t="s">
        <v>197</v>
      </c>
      <c r="K38" s="6">
        <v>1964</v>
      </c>
      <c r="L38" s="6">
        <v>92000</v>
      </c>
      <c r="M38" s="6" t="s">
        <v>198</v>
      </c>
      <c r="N38" s="6">
        <v>88</v>
      </c>
      <c r="O38" s="6">
        <v>1045.454545454545</v>
      </c>
      <c r="P38" s="6">
        <v>1951.6473496847179</v>
      </c>
      <c r="Q38" s="6">
        <v>1180.5555555555561</v>
      </c>
      <c r="R38" s="6">
        <v>3382.3529411764712</v>
      </c>
      <c r="S38" s="6">
        <v>1861.9047619047619</v>
      </c>
      <c r="T38" s="6">
        <v>30</v>
      </c>
      <c r="U38" s="6" t="s">
        <v>199</v>
      </c>
      <c r="V38" s="6">
        <v>100</v>
      </c>
      <c r="W38" s="6">
        <v>618.7982606171596</v>
      </c>
      <c r="X38" s="7">
        <f t="shared" si="2"/>
        <v>0.46432200180865935</v>
      </c>
      <c r="Y38" s="6" t="b">
        <f t="shared" si="3"/>
        <v>1</v>
      </c>
    </row>
    <row r="39" spans="1:25" x14ac:dyDescent="0.3">
      <c r="A39" s="6" t="s">
        <v>847</v>
      </c>
      <c r="B39" s="6" t="s">
        <v>24</v>
      </c>
      <c r="C39" s="6" t="s">
        <v>848</v>
      </c>
      <c r="D39" s="6"/>
      <c r="E39" s="6" t="s">
        <v>849</v>
      </c>
      <c r="F39" s="6">
        <v>15354</v>
      </c>
      <c r="G39" s="6" t="s">
        <v>28</v>
      </c>
      <c r="H39" s="6" t="s">
        <v>341</v>
      </c>
      <c r="I39" s="6" t="s">
        <v>850</v>
      </c>
      <c r="J39" s="6" t="s">
        <v>851</v>
      </c>
      <c r="K39" s="6">
        <v>2007</v>
      </c>
      <c r="L39" s="6">
        <v>625900</v>
      </c>
      <c r="M39" s="6" t="s">
        <v>852</v>
      </c>
      <c r="N39" s="6">
        <v>460</v>
      </c>
      <c r="O39" s="6">
        <v>1360.652173913043</v>
      </c>
      <c r="P39" s="6">
        <v>2485.8836213730769</v>
      </c>
      <c r="Q39" s="6">
        <v>2092.4369747899159</v>
      </c>
      <c r="R39" s="6">
        <v>3000</v>
      </c>
      <c r="S39" s="6">
        <v>2560</v>
      </c>
      <c r="T39" s="6">
        <v>5</v>
      </c>
      <c r="U39" s="6" t="s">
        <v>853</v>
      </c>
      <c r="V39" s="6">
        <v>100</v>
      </c>
      <c r="W39" s="6">
        <v>354.40476096970832</v>
      </c>
      <c r="X39" s="7">
        <f t="shared" si="2"/>
        <v>0.45264848192632312</v>
      </c>
      <c r="Y39" s="6" t="b">
        <f t="shared" si="3"/>
        <v>1</v>
      </c>
    </row>
    <row r="40" spans="1:25" x14ac:dyDescent="0.3">
      <c r="A40" s="6" t="s">
        <v>622</v>
      </c>
      <c r="B40" s="6" t="s">
        <v>24</v>
      </c>
      <c r="C40" s="6" t="s">
        <v>623</v>
      </c>
      <c r="D40" s="6" t="s">
        <v>624</v>
      </c>
      <c r="E40" s="6" t="s">
        <v>625</v>
      </c>
      <c r="F40" s="6">
        <v>16675</v>
      </c>
      <c r="G40" s="6" t="s">
        <v>28</v>
      </c>
      <c r="H40" s="6" t="s">
        <v>107</v>
      </c>
      <c r="I40" s="6" t="s">
        <v>425</v>
      </c>
      <c r="J40" s="6" t="s">
        <v>626</v>
      </c>
      <c r="K40" s="6">
        <v>2000</v>
      </c>
      <c r="L40" s="6">
        <v>950000</v>
      </c>
      <c r="M40" s="6" t="s">
        <v>627</v>
      </c>
      <c r="N40" s="6">
        <v>281</v>
      </c>
      <c r="O40" s="6">
        <v>3380.7829181494658</v>
      </c>
      <c r="P40" s="6">
        <v>6164.6225739344263</v>
      </c>
      <c r="Q40" s="6">
        <v>2500</v>
      </c>
      <c r="R40" s="6">
        <v>14000</v>
      </c>
      <c r="S40" s="6">
        <v>5927.3840769903763</v>
      </c>
      <c r="T40" s="6">
        <v>30</v>
      </c>
      <c r="U40" s="6" t="s">
        <v>628</v>
      </c>
      <c r="V40" s="6">
        <v>100</v>
      </c>
      <c r="W40" s="6">
        <v>2995.4750975979082</v>
      </c>
      <c r="X40" s="7">
        <f t="shared" si="2"/>
        <v>0.45158314599108373</v>
      </c>
      <c r="Y40" s="6" t="b">
        <f t="shared" si="3"/>
        <v>1</v>
      </c>
    </row>
    <row r="41" spans="1:25" x14ac:dyDescent="0.3">
      <c r="A41" s="6" t="s">
        <v>80</v>
      </c>
      <c r="B41" s="6" t="s">
        <v>24</v>
      </c>
      <c r="C41" s="6" t="s">
        <v>81</v>
      </c>
      <c r="D41" s="6" t="s">
        <v>82</v>
      </c>
      <c r="E41" s="6" t="s">
        <v>83</v>
      </c>
      <c r="F41" s="6">
        <v>18544</v>
      </c>
      <c r="G41" s="6" t="s">
        <v>28</v>
      </c>
      <c r="H41" s="6" t="s">
        <v>84</v>
      </c>
      <c r="I41" s="6" t="s">
        <v>84</v>
      </c>
      <c r="J41" s="6" t="s">
        <v>85</v>
      </c>
      <c r="K41" s="6">
        <v>1955</v>
      </c>
      <c r="L41" s="6">
        <v>100000</v>
      </c>
      <c r="M41" s="6" t="s">
        <v>86</v>
      </c>
      <c r="N41" s="6">
        <v>82</v>
      </c>
      <c r="O41" s="6">
        <v>1219.512195121951</v>
      </c>
      <c r="P41" s="6">
        <v>2207.286039433845</v>
      </c>
      <c r="Q41" s="6">
        <v>1180.327868852459</v>
      </c>
      <c r="R41" s="6">
        <v>3162.1621621621621</v>
      </c>
      <c r="S41" s="6">
        <v>2222.3441615452148</v>
      </c>
      <c r="T41" s="6">
        <v>30</v>
      </c>
      <c r="U41" s="6" t="s">
        <v>87</v>
      </c>
      <c r="V41" s="6">
        <v>100</v>
      </c>
      <c r="W41" s="6">
        <v>573.79978345356153</v>
      </c>
      <c r="X41" s="7">
        <f t="shared" si="2"/>
        <v>0.44750604437531427</v>
      </c>
      <c r="Y41" s="6" t="b">
        <f t="shared" si="3"/>
        <v>1</v>
      </c>
    </row>
    <row r="42" spans="1:25" x14ac:dyDescent="0.3">
      <c r="A42" s="6" t="s">
        <v>286</v>
      </c>
      <c r="B42" s="6" t="s">
        <v>34</v>
      </c>
      <c r="C42" s="6" t="s">
        <v>287</v>
      </c>
      <c r="D42" s="6" t="s">
        <v>288</v>
      </c>
      <c r="E42" s="6" t="s">
        <v>289</v>
      </c>
      <c r="F42" s="6">
        <v>54453</v>
      </c>
      <c r="G42" s="6" t="s">
        <v>232</v>
      </c>
      <c r="H42" s="6" t="s">
        <v>233</v>
      </c>
      <c r="I42" s="6" t="s">
        <v>233</v>
      </c>
      <c r="J42" s="6" t="s">
        <v>290</v>
      </c>
      <c r="K42" s="6">
        <v>1969</v>
      </c>
      <c r="L42" s="6">
        <v>86000</v>
      </c>
      <c r="M42" s="6" t="s">
        <v>291</v>
      </c>
      <c r="N42" s="6">
        <v>64</v>
      </c>
      <c r="O42" s="6">
        <v>1343.75</v>
      </c>
      <c r="P42" s="6">
        <v>2430.5817956619039</v>
      </c>
      <c r="Q42" s="6">
        <v>1102.564102564103</v>
      </c>
      <c r="R42" s="6">
        <v>3341.4634146341459</v>
      </c>
      <c r="S42" s="6">
        <v>2828.2828282828291</v>
      </c>
      <c r="T42" s="6">
        <v>30</v>
      </c>
      <c r="U42" s="6" t="s">
        <v>292</v>
      </c>
      <c r="V42" s="6">
        <v>100</v>
      </c>
      <c r="W42" s="6">
        <v>758.13512922356949</v>
      </c>
      <c r="X42" s="7">
        <f t="shared" si="2"/>
        <v>0.44714882568514192</v>
      </c>
      <c r="Y42" s="6" t="b">
        <f t="shared" si="3"/>
        <v>1</v>
      </c>
    </row>
    <row r="43" spans="1:25" x14ac:dyDescent="0.3">
      <c r="A43" s="6" t="s">
        <v>240</v>
      </c>
      <c r="B43" s="6" t="s">
        <v>34</v>
      </c>
      <c r="C43" s="6" t="s">
        <v>241</v>
      </c>
      <c r="D43" s="6" t="s">
        <v>242</v>
      </c>
      <c r="E43" s="6" t="s">
        <v>243</v>
      </c>
      <c r="F43" s="6">
        <v>12136</v>
      </c>
      <c r="G43" s="6" t="s">
        <v>28</v>
      </c>
      <c r="H43" s="6" t="s">
        <v>40</v>
      </c>
      <c r="I43" s="6" t="s">
        <v>244</v>
      </c>
      <c r="J43" s="6" t="s">
        <v>245</v>
      </c>
      <c r="K43" s="6">
        <v>1966</v>
      </c>
      <c r="L43" s="6">
        <v>120000</v>
      </c>
      <c r="M43" s="6" t="s">
        <v>246</v>
      </c>
      <c r="N43" s="6">
        <v>87</v>
      </c>
      <c r="O43" s="6">
        <v>1379.3103448275861</v>
      </c>
      <c r="P43" s="6">
        <v>2490.0130091053911</v>
      </c>
      <c r="Q43" s="6">
        <v>1379.3103448275861</v>
      </c>
      <c r="R43" s="6">
        <v>3571.428571428572</v>
      </c>
      <c r="S43" s="6">
        <v>3072.727272727273</v>
      </c>
      <c r="T43" s="6">
        <v>9</v>
      </c>
      <c r="U43" s="6" t="s">
        <v>247</v>
      </c>
      <c r="V43" s="6">
        <v>100</v>
      </c>
      <c r="W43" s="6">
        <v>938.70988880456036</v>
      </c>
      <c r="X43" s="7">
        <f t="shared" si="2"/>
        <v>0.44606299654508919</v>
      </c>
      <c r="Y43" s="6" t="b">
        <f t="shared" si="3"/>
        <v>1</v>
      </c>
    </row>
    <row r="44" spans="1:25" x14ac:dyDescent="0.3">
      <c r="A44" s="6" t="s">
        <v>637</v>
      </c>
      <c r="B44" s="6" t="s">
        <v>34</v>
      </c>
      <c r="C44" s="6" t="s">
        <v>638</v>
      </c>
      <c r="D44" s="6" t="s">
        <v>639</v>
      </c>
      <c r="E44" s="6" t="s">
        <v>640</v>
      </c>
      <c r="F44" s="6">
        <v>18538</v>
      </c>
      <c r="G44" s="6" t="s">
        <v>28</v>
      </c>
      <c r="H44" s="6" t="s">
        <v>84</v>
      </c>
      <c r="I44" s="6" t="s">
        <v>84</v>
      </c>
      <c r="J44" s="6" t="s">
        <v>641</v>
      </c>
      <c r="K44" s="6">
        <v>2001</v>
      </c>
      <c r="L44" s="6">
        <v>260000</v>
      </c>
      <c r="M44" s="6" t="s">
        <v>642</v>
      </c>
      <c r="N44" s="6">
        <v>159</v>
      </c>
      <c r="O44" s="6">
        <v>1635.2201257861641</v>
      </c>
      <c r="P44" s="6">
        <v>2929.9442852867851</v>
      </c>
      <c r="Q44" s="6">
        <v>1648.351648351648</v>
      </c>
      <c r="R44" s="6">
        <v>6317.3076923076924</v>
      </c>
      <c r="S44" s="6">
        <v>2718.181818181818</v>
      </c>
      <c r="T44" s="6">
        <v>30</v>
      </c>
      <c r="U44" s="6" t="s">
        <v>643</v>
      </c>
      <c r="V44" s="6">
        <v>100</v>
      </c>
      <c r="W44" s="6">
        <v>1142.0425331474621</v>
      </c>
      <c r="X44" s="7">
        <f t="shared" si="2"/>
        <v>0.44189378139451296</v>
      </c>
      <c r="Y44" s="6" t="b">
        <f t="shared" si="3"/>
        <v>1</v>
      </c>
    </row>
    <row r="45" spans="1:25" x14ac:dyDescent="0.3">
      <c r="A45" s="6" t="s">
        <v>437</v>
      </c>
      <c r="B45" s="6" t="s">
        <v>34</v>
      </c>
      <c r="C45" s="6" t="s">
        <v>438</v>
      </c>
      <c r="D45" s="6" t="s">
        <v>439</v>
      </c>
      <c r="E45" s="6" t="s">
        <v>440</v>
      </c>
      <c r="F45" s="6">
        <v>10440</v>
      </c>
      <c r="G45" s="6" t="s">
        <v>28</v>
      </c>
      <c r="H45" s="6" t="s">
        <v>29</v>
      </c>
      <c r="I45" s="6" t="s">
        <v>30</v>
      </c>
      <c r="J45" s="6" t="s">
        <v>441</v>
      </c>
      <c r="K45" s="6">
        <v>1979</v>
      </c>
      <c r="L45" s="6">
        <v>70000</v>
      </c>
      <c r="M45" s="6" t="s">
        <v>442</v>
      </c>
      <c r="N45" s="6">
        <v>70</v>
      </c>
      <c r="O45" s="6">
        <v>1000</v>
      </c>
      <c r="P45" s="6">
        <v>1784.6228523915379</v>
      </c>
      <c r="Q45" s="6">
        <v>1074.380165289256</v>
      </c>
      <c r="R45" s="6">
        <v>3000</v>
      </c>
      <c r="S45" s="6">
        <v>1690.4761904761899</v>
      </c>
      <c r="T45" s="6">
        <v>30</v>
      </c>
      <c r="U45" s="6" t="s">
        <v>443</v>
      </c>
      <c r="V45" s="6">
        <v>100</v>
      </c>
      <c r="W45" s="6">
        <v>448.90569696883819</v>
      </c>
      <c r="X45" s="7">
        <f t="shared" si="2"/>
        <v>0.4396575171835776</v>
      </c>
      <c r="Y45" s="6" t="b">
        <f t="shared" si="3"/>
        <v>1</v>
      </c>
    </row>
    <row r="46" spans="1:25" x14ac:dyDescent="0.3">
      <c r="A46" s="6" t="s">
        <v>421</v>
      </c>
      <c r="B46" s="6" t="s">
        <v>34</v>
      </c>
      <c r="C46" s="6" t="s">
        <v>422</v>
      </c>
      <c r="D46" s="6" t="s">
        <v>423</v>
      </c>
      <c r="E46" s="6" t="s">
        <v>424</v>
      </c>
      <c r="F46" s="6">
        <v>16674</v>
      </c>
      <c r="G46" s="6" t="s">
        <v>28</v>
      </c>
      <c r="H46" s="6" t="s">
        <v>107</v>
      </c>
      <c r="I46" s="6" t="s">
        <v>425</v>
      </c>
      <c r="J46" s="6" t="s">
        <v>426</v>
      </c>
      <c r="K46" s="6">
        <v>1978</v>
      </c>
      <c r="L46" s="6">
        <v>295000</v>
      </c>
      <c r="M46" s="6" t="s">
        <v>427</v>
      </c>
      <c r="N46" s="6">
        <v>88</v>
      </c>
      <c r="O46" s="6">
        <v>3352.272727272727</v>
      </c>
      <c r="P46" s="6">
        <v>5965.6257828728376</v>
      </c>
      <c r="Q46" s="6">
        <v>2857.1428571428569</v>
      </c>
      <c r="R46" s="6">
        <v>17297.2972972973</v>
      </c>
      <c r="S46" s="6">
        <v>5441.666666666667</v>
      </c>
      <c r="T46" s="6">
        <v>30</v>
      </c>
      <c r="U46" s="6" t="s">
        <v>428</v>
      </c>
      <c r="V46" s="6">
        <v>100</v>
      </c>
      <c r="W46" s="6">
        <v>2819.2837452075892</v>
      </c>
      <c r="X46" s="7">
        <f t="shared" si="2"/>
        <v>0.43806855319403071</v>
      </c>
      <c r="Y46" s="6" t="b">
        <f t="shared" si="3"/>
        <v>1</v>
      </c>
    </row>
    <row r="47" spans="1:25" x14ac:dyDescent="0.3">
      <c r="A47" s="6" t="s">
        <v>162</v>
      </c>
      <c r="B47" s="6" t="s">
        <v>34</v>
      </c>
      <c r="C47" s="6" t="s">
        <v>55</v>
      </c>
      <c r="D47" s="6" t="s">
        <v>163</v>
      </c>
      <c r="E47" s="6" t="s">
        <v>164</v>
      </c>
      <c r="F47" s="6">
        <v>11252</v>
      </c>
      <c r="G47" s="6" t="s">
        <v>28</v>
      </c>
      <c r="H47" s="6" t="s">
        <v>29</v>
      </c>
      <c r="I47" s="6" t="s">
        <v>30</v>
      </c>
      <c r="J47" s="6" t="s">
        <v>31</v>
      </c>
      <c r="K47" s="6">
        <v>1962</v>
      </c>
      <c r="L47" s="6">
        <v>55000</v>
      </c>
      <c r="M47" s="6" t="s">
        <v>165</v>
      </c>
      <c r="N47" s="6">
        <v>52</v>
      </c>
      <c r="O47" s="6">
        <v>1057.6923076923081</v>
      </c>
      <c r="P47" s="6">
        <v>1882.0706002356351</v>
      </c>
      <c r="Q47" s="6">
        <v>1079.545454545455</v>
      </c>
      <c r="R47" s="6">
        <v>2604.166666666667</v>
      </c>
      <c r="S47" s="6">
        <v>1862.588652482269</v>
      </c>
      <c r="T47" s="6">
        <v>30</v>
      </c>
      <c r="U47" s="6" t="s">
        <v>33</v>
      </c>
      <c r="V47" s="6">
        <v>100</v>
      </c>
      <c r="W47" s="6">
        <v>415.75782097307763</v>
      </c>
      <c r="X47" s="7">
        <f t="shared" si="2"/>
        <v>0.43801666762135005</v>
      </c>
      <c r="Y47" s="6" t="b">
        <f t="shared" si="3"/>
        <v>1</v>
      </c>
    </row>
    <row r="48" spans="1:25" x14ac:dyDescent="0.3">
      <c r="A48" s="6" t="s">
        <v>173</v>
      </c>
      <c r="B48" s="6" t="s">
        <v>34</v>
      </c>
      <c r="C48" s="6" t="s">
        <v>35</v>
      </c>
      <c r="D48" s="6" t="s">
        <v>174</v>
      </c>
      <c r="E48" s="6" t="s">
        <v>175</v>
      </c>
      <c r="F48" s="6">
        <v>11362</v>
      </c>
      <c r="G48" s="6" t="s">
        <v>28</v>
      </c>
      <c r="H48" s="6" t="s">
        <v>29</v>
      </c>
      <c r="I48" s="6" t="s">
        <v>30</v>
      </c>
      <c r="J48" s="6" t="s">
        <v>176</v>
      </c>
      <c r="K48" s="6">
        <v>1963</v>
      </c>
      <c r="L48" s="6">
        <v>105000</v>
      </c>
      <c r="M48" s="6" t="s">
        <v>177</v>
      </c>
      <c r="N48" s="6">
        <v>90</v>
      </c>
      <c r="O48" s="6">
        <v>1166.666666666667</v>
      </c>
      <c r="P48" s="6">
        <v>2052.3764892221329</v>
      </c>
      <c r="Q48" s="6">
        <v>869.56521739130437</v>
      </c>
      <c r="R48" s="6">
        <v>3295.454545454545</v>
      </c>
      <c r="S48" s="6">
        <v>1948.0519480519481</v>
      </c>
      <c r="T48" s="6">
        <v>30</v>
      </c>
      <c r="U48" s="6" t="s">
        <v>178</v>
      </c>
      <c r="V48" s="6">
        <v>100</v>
      </c>
      <c r="W48" s="6">
        <v>553.77218686179026</v>
      </c>
      <c r="X48" s="7">
        <f t="shared" si="2"/>
        <v>0.43155328820354844</v>
      </c>
      <c r="Y48" s="6" t="b">
        <f t="shared" si="3"/>
        <v>1</v>
      </c>
    </row>
    <row r="49" spans="1:25" x14ac:dyDescent="0.3">
      <c r="A49" s="6" t="s">
        <v>571</v>
      </c>
      <c r="B49" s="6" t="s">
        <v>24</v>
      </c>
      <c r="C49" s="6" t="s">
        <v>572</v>
      </c>
      <c r="D49" s="6" t="s">
        <v>573</v>
      </c>
      <c r="E49" s="6" t="s">
        <v>574</v>
      </c>
      <c r="F49" s="6">
        <v>12351</v>
      </c>
      <c r="G49" s="6" t="s">
        <v>28</v>
      </c>
      <c r="H49" s="6" t="s">
        <v>40</v>
      </c>
      <c r="I49" s="6" t="s">
        <v>575</v>
      </c>
      <c r="J49" s="6" t="s">
        <v>576</v>
      </c>
      <c r="K49" s="6">
        <v>1993</v>
      </c>
      <c r="L49" s="6">
        <v>142000</v>
      </c>
      <c r="M49" s="6" t="s">
        <v>577</v>
      </c>
      <c r="N49" s="6">
        <v>144</v>
      </c>
      <c r="O49" s="6">
        <v>986.11111111111109</v>
      </c>
      <c r="P49" s="6">
        <v>1732.746385496336</v>
      </c>
      <c r="Q49" s="6">
        <v>986.11111111111109</v>
      </c>
      <c r="R49" s="6">
        <v>2333.333333333333</v>
      </c>
      <c r="S49" s="6">
        <v>2000</v>
      </c>
      <c r="T49" s="6">
        <v>13</v>
      </c>
      <c r="U49" s="6" t="s">
        <v>578</v>
      </c>
      <c r="V49" s="6">
        <v>100</v>
      </c>
      <c r="W49" s="6">
        <v>484.11497479278239</v>
      </c>
      <c r="X49" s="7">
        <f t="shared" si="2"/>
        <v>0.43089703180731509</v>
      </c>
      <c r="Y49" s="6" t="b">
        <f t="shared" si="3"/>
        <v>1</v>
      </c>
    </row>
    <row r="50" spans="1:25" x14ac:dyDescent="0.3">
      <c r="A50" s="6" t="s">
        <v>219</v>
      </c>
      <c r="B50" s="6" t="s">
        <v>34</v>
      </c>
      <c r="C50" s="6" t="s">
        <v>220</v>
      </c>
      <c r="D50" s="6" t="s">
        <v>221</v>
      </c>
      <c r="E50" s="6" t="s">
        <v>222</v>
      </c>
      <c r="F50" s="6">
        <v>18541</v>
      </c>
      <c r="G50" s="6" t="s">
        <v>28</v>
      </c>
      <c r="H50" s="6" t="s">
        <v>84</v>
      </c>
      <c r="I50" s="6" t="s">
        <v>84</v>
      </c>
      <c r="J50" s="6" t="s">
        <v>223</v>
      </c>
      <c r="K50" s="6">
        <v>1965</v>
      </c>
      <c r="L50" s="6">
        <v>70000</v>
      </c>
      <c r="M50" s="6" t="s">
        <v>224</v>
      </c>
      <c r="N50" s="6">
        <v>65</v>
      </c>
      <c r="O50" s="6">
        <v>1076.9230769230769</v>
      </c>
      <c r="P50" s="6">
        <v>1889.0994803605149</v>
      </c>
      <c r="Q50" s="6">
        <v>1060.606060606061</v>
      </c>
      <c r="R50" s="6">
        <v>3857.1428571428569</v>
      </c>
      <c r="S50" s="6">
        <v>1445.4513148543001</v>
      </c>
      <c r="T50" s="6">
        <v>30</v>
      </c>
      <c r="U50" s="6" t="s">
        <v>225</v>
      </c>
      <c r="V50" s="6">
        <v>100</v>
      </c>
      <c r="W50" s="6">
        <v>949.75399073477342</v>
      </c>
      <c r="X50" s="7">
        <f t="shared" si="2"/>
        <v>0.42992781051553863</v>
      </c>
      <c r="Y50" s="6" t="b">
        <f t="shared" si="3"/>
        <v>1</v>
      </c>
    </row>
    <row r="51" spans="1:25" x14ac:dyDescent="0.3">
      <c r="A51" s="6" t="s">
        <v>743</v>
      </c>
      <c r="B51" s="6" t="s">
        <v>34</v>
      </c>
      <c r="C51" s="6" t="s">
        <v>744</v>
      </c>
      <c r="D51" s="6" t="s">
        <v>745</v>
      </c>
      <c r="E51" s="6" t="s">
        <v>746</v>
      </c>
      <c r="F51" s="6">
        <v>57019</v>
      </c>
      <c r="G51" s="6" t="s">
        <v>232</v>
      </c>
      <c r="H51" s="6" t="s">
        <v>233</v>
      </c>
      <c r="I51" s="6" t="s">
        <v>747</v>
      </c>
      <c r="J51" s="6" t="s">
        <v>748</v>
      </c>
      <c r="K51" s="6">
        <v>2005</v>
      </c>
      <c r="L51" s="6">
        <v>160000</v>
      </c>
      <c r="M51" s="6" t="s">
        <v>749</v>
      </c>
      <c r="N51" s="6">
        <v>108</v>
      </c>
      <c r="O51" s="6">
        <v>1481.481481481482</v>
      </c>
      <c r="P51" s="6">
        <v>2542.2283431161109</v>
      </c>
      <c r="Q51" s="6">
        <v>1481.481481481482</v>
      </c>
      <c r="R51" s="6">
        <v>4218.75</v>
      </c>
      <c r="S51" s="6">
        <v>2500</v>
      </c>
      <c r="T51" s="6">
        <v>20</v>
      </c>
      <c r="U51" s="6" t="s">
        <v>750</v>
      </c>
      <c r="V51" s="6">
        <v>100</v>
      </c>
      <c r="W51" s="6">
        <v>659.15851291914214</v>
      </c>
      <c r="X51" s="7">
        <f t="shared" si="2"/>
        <v>0.41725082033128036</v>
      </c>
      <c r="Y51" s="6" t="b">
        <f t="shared" si="3"/>
        <v>1</v>
      </c>
    </row>
    <row r="52" spans="1:25" x14ac:dyDescent="0.3">
      <c r="A52" s="6" t="s">
        <v>211</v>
      </c>
      <c r="B52" s="6" t="s">
        <v>34</v>
      </c>
      <c r="C52" s="6" t="s">
        <v>212</v>
      </c>
      <c r="D52" s="6" t="s">
        <v>213</v>
      </c>
      <c r="E52" s="6" t="s">
        <v>214</v>
      </c>
      <c r="F52" s="6">
        <v>18450</v>
      </c>
      <c r="G52" s="6" t="s">
        <v>28</v>
      </c>
      <c r="H52" s="6" t="s">
        <v>84</v>
      </c>
      <c r="I52" s="6" t="s">
        <v>215</v>
      </c>
      <c r="J52" s="6" t="s">
        <v>216</v>
      </c>
      <c r="K52" s="6">
        <v>1965</v>
      </c>
      <c r="L52" s="6">
        <v>86000</v>
      </c>
      <c r="M52" s="6" t="s">
        <v>217</v>
      </c>
      <c r="N52" s="6">
        <v>71</v>
      </c>
      <c r="O52" s="6">
        <v>1211.267605633803</v>
      </c>
      <c r="P52" s="6">
        <v>2073.823959607601</v>
      </c>
      <c r="Q52" s="6">
        <v>862.06896551724139</v>
      </c>
      <c r="R52" s="6">
        <v>3297.872340425532</v>
      </c>
      <c r="S52" s="6">
        <v>2345.679012345679</v>
      </c>
      <c r="T52" s="6">
        <v>21</v>
      </c>
      <c r="U52" s="6" t="s">
        <v>218</v>
      </c>
      <c r="V52" s="6">
        <v>100</v>
      </c>
      <c r="W52" s="6">
        <v>802.59999955311389</v>
      </c>
      <c r="X52" s="7">
        <f t="shared" si="2"/>
        <v>0.41592554178851648</v>
      </c>
      <c r="Y52" s="6" t="b">
        <f t="shared" si="3"/>
        <v>1</v>
      </c>
    </row>
    <row r="53" spans="1:25" x14ac:dyDescent="0.3">
      <c r="A53" s="6" t="s">
        <v>629</v>
      </c>
      <c r="B53" s="6" t="s">
        <v>24</v>
      </c>
      <c r="C53" s="6" t="s">
        <v>630</v>
      </c>
      <c r="D53" s="6" t="s">
        <v>631</v>
      </c>
      <c r="E53" s="6" t="s">
        <v>632</v>
      </c>
      <c r="F53" s="6">
        <v>57500</v>
      </c>
      <c r="G53" s="6" t="s">
        <v>232</v>
      </c>
      <c r="H53" s="6" t="s">
        <v>233</v>
      </c>
      <c r="I53" s="6" t="s">
        <v>633</v>
      </c>
      <c r="J53" s="6" t="s">
        <v>634</v>
      </c>
      <c r="K53" s="6">
        <v>2000</v>
      </c>
      <c r="L53" s="6">
        <v>187000</v>
      </c>
      <c r="M53" s="6" t="s">
        <v>635</v>
      </c>
      <c r="N53" s="6">
        <v>215</v>
      </c>
      <c r="O53" s="6">
        <v>869.76744186046517</v>
      </c>
      <c r="P53" s="6">
        <v>1459.994461712474</v>
      </c>
      <c r="Q53" s="6">
        <v>1230.7692307692309</v>
      </c>
      <c r="R53" s="6">
        <v>1803.2786885245901</v>
      </c>
      <c r="S53" s="6">
        <v>1447.3684210526319</v>
      </c>
      <c r="T53" s="6">
        <v>7</v>
      </c>
      <c r="U53" s="6" t="s">
        <v>636</v>
      </c>
      <c r="V53" s="6">
        <v>150</v>
      </c>
      <c r="W53" s="6">
        <v>193.06705703131399</v>
      </c>
      <c r="X53" s="7">
        <f t="shared" si="2"/>
        <v>0.40426661561422139</v>
      </c>
      <c r="Y53" s="6" t="b">
        <f t="shared" si="3"/>
        <v>1</v>
      </c>
    </row>
    <row r="54" spans="1:25" x14ac:dyDescent="0.3">
      <c r="A54" s="6" t="s">
        <v>398</v>
      </c>
      <c r="B54" s="6" t="s">
        <v>34</v>
      </c>
      <c r="C54" s="6" t="s">
        <v>399</v>
      </c>
      <c r="D54" s="6" t="s">
        <v>400</v>
      </c>
      <c r="E54" s="6" t="s">
        <v>401</v>
      </c>
      <c r="F54" s="6">
        <v>11744</v>
      </c>
      <c r="G54" s="6" t="s">
        <v>28</v>
      </c>
      <c r="H54" s="6" t="s">
        <v>29</v>
      </c>
      <c r="I54" s="6" t="s">
        <v>30</v>
      </c>
      <c r="J54" s="6" t="s">
        <v>402</v>
      </c>
      <c r="K54" s="6">
        <v>1976</v>
      </c>
      <c r="L54" s="6">
        <v>134000</v>
      </c>
      <c r="M54" s="6" t="s">
        <v>403</v>
      </c>
      <c r="N54" s="6">
        <v>80</v>
      </c>
      <c r="O54" s="6">
        <v>1675</v>
      </c>
      <c r="P54" s="6">
        <v>2805.6785035266898</v>
      </c>
      <c r="Q54" s="6">
        <v>1000</v>
      </c>
      <c r="R54" s="6">
        <v>5000</v>
      </c>
      <c r="S54" s="6">
        <v>2873.0158730158728</v>
      </c>
      <c r="T54" s="6">
        <v>30</v>
      </c>
      <c r="U54" s="6" t="s">
        <v>404</v>
      </c>
      <c r="V54" s="6">
        <v>100</v>
      </c>
      <c r="W54" s="6">
        <v>885.7299910680041</v>
      </c>
      <c r="X54" s="7">
        <f t="shared" si="2"/>
        <v>0.40299645953926877</v>
      </c>
      <c r="Y54" s="6" t="b">
        <f t="shared" si="3"/>
        <v>1</v>
      </c>
    </row>
    <row r="55" spans="1:25" x14ac:dyDescent="0.3">
      <c r="A55" s="6" t="s">
        <v>529</v>
      </c>
      <c r="B55" s="6" t="s">
        <v>34</v>
      </c>
      <c r="C55" s="6" t="s">
        <v>530</v>
      </c>
      <c r="D55" s="6" t="s">
        <v>531</v>
      </c>
      <c r="E55" s="6" t="s">
        <v>532</v>
      </c>
      <c r="F55" s="6">
        <v>11145</v>
      </c>
      <c r="G55" s="6" t="s">
        <v>28</v>
      </c>
      <c r="H55" s="6" t="s">
        <v>29</v>
      </c>
      <c r="I55" s="6" t="s">
        <v>30</v>
      </c>
      <c r="J55" s="6" t="s">
        <v>229</v>
      </c>
      <c r="K55" s="6">
        <v>1989</v>
      </c>
      <c r="L55" s="6">
        <v>190000</v>
      </c>
      <c r="M55" s="6" t="s">
        <v>533</v>
      </c>
      <c r="N55" s="6">
        <v>138</v>
      </c>
      <c r="O55" s="6">
        <v>1376.811594202899</v>
      </c>
      <c r="P55" s="6">
        <v>2290.332149163818</v>
      </c>
      <c r="Q55" s="6">
        <v>1428.2352941176471</v>
      </c>
      <c r="R55" s="6">
        <v>2777.7777777777778</v>
      </c>
      <c r="S55" s="6">
        <v>2236.8421052631579</v>
      </c>
      <c r="T55" s="6">
        <v>9</v>
      </c>
      <c r="U55" s="6" t="s">
        <v>231</v>
      </c>
      <c r="V55" s="6">
        <v>150</v>
      </c>
      <c r="W55" s="6">
        <v>405.47720874777292</v>
      </c>
      <c r="X55" s="7">
        <f t="shared" si="2"/>
        <v>0.39885942102084981</v>
      </c>
      <c r="Y55" s="6" t="b">
        <f t="shared" si="3"/>
        <v>1</v>
      </c>
    </row>
    <row r="56" spans="1:25" x14ac:dyDescent="0.3">
      <c r="A56" s="6" t="s">
        <v>815</v>
      </c>
      <c r="B56" s="6" t="s">
        <v>34</v>
      </c>
      <c r="C56" s="6" t="s">
        <v>816</v>
      </c>
      <c r="D56" s="6"/>
      <c r="E56" s="6" t="s">
        <v>817</v>
      </c>
      <c r="F56" s="6">
        <v>10444</v>
      </c>
      <c r="G56" s="6" t="s">
        <v>28</v>
      </c>
      <c r="H56" s="6" t="s">
        <v>29</v>
      </c>
      <c r="I56" s="6" t="s">
        <v>30</v>
      </c>
      <c r="J56" s="6" t="s">
        <v>818</v>
      </c>
      <c r="K56" s="6">
        <v>2007</v>
      </c>
      <c r="L56" s="6">
        <v>233000</v>
      </c>
      <c r="M56" s="6" t="s">
        <v>819</v>
      </c>
      <c r="N56" s="6">
        <v>180</v>
      </c>
      <c r="O56" s="6">
        <v>1294.4444444444439</v>
      </c>
      <c r="P56" s="6">
        <v>2150.5084426540429</v>
      </c>
      <c r="Q56" s="6">
        <v>679.61165048543694</v>
      </c>
      <c r="R56" s="6">
        <v>4142.8571428571431</v>
      </c>
      <c r="S56" s="6">
        <v>1903.409090909091</v>
      </c>
      <c r="T56" s="6">
        <v>30</v>
      </c>
      <c r="U56" s="6" t="s">
        <v>820</v>
      </c>
      <c r="V56" s="6">
        <v>100</v>
      </c>
      <c r="W56" s="6">
        <v>861.23585614106833</v>
      </c>
      <c r="X56" s="7">
        <f t="shared" si="2"/>
        <v>0.39807516270575083</v>
      </c>
      <c r="Y56" s="6" t="b">
        <f t="shared" si="3"/>
        <v>1</v>
      </c>
    </row>
    <row r="57" spans="1:25" x14ac:dyDescent="0.3">
      <c r="A57" s="6" t="s">
        <v>482</v>
      </c>
      <c r="B57" s="6" t="s">
        <v>34</v>
      </c>
      <c r="C57" s="6" t="s">
        <v>483</v>
      </c>
      <c r="D57" s="6" t="s">
        <v>484</v>
      </c>
      <c r="E57" s="6" t="s">
        <v>485</v>
      </c>
      <c r="F57" s="6">
        <v>10431</v>
      </c>
      <c r="G57" s="6" t="s">
        <v>28</v>
      </c>
      <c r="H57" s="6" t="s">
        <v>29</v>
      </c>
      <c r="I57" s="6" t="s">
        <v>30</v>
      </c>
      <c r="J57" s="6" t="s">
        <v>486</v>
      </c>
      <c r="K57" s="6">
        <v>1982</v>
      </c>
      <c r="L57" s="6">
        <v>104000</v>
      </c>
      <c r="M57" s="6" t="s">
        <v>487</v>
      </c>
      <c r="N57" s="6">
        <v>100</v>
      </c>
      <c r="O57" s="6">
        <v>1040</v>
      </c>
      <c r="P57" s="6">
        <v>1721.8367287979081</v>
      </c>
      <c r="Q57" s="6">
        <v>849.05660377358492</v>
      </c>
      <c r="R57" s="6">
        <v>3737.8640776699031</v>
      </c>
      <c r="S57" s="6">
        <v>1590.755735492578</v>
      </c>
      <c r="T57" s="6">
        <v>30</v>
      </c>
      <c r="U57" s="6" t="s">
        <v>488</v>
      </c>
      <c r="V57" s="6">
        <v>100</v>
      </c>
      <c r="W57" s="6">
        <v>611.66673517247636</v>
      </c>
      <c r="X57" s="7">
        <f t="shared" si="2"/>
        <v>0.3959938346035452</v>
      </c>
      <c r="Y57" s="6" t="b">
        <f t="shared" si="3"/>
        <v>1</v>
      </c>
    </row>
    <row r="58" spans="1:25" x14ac:dyDescent="0.3">
      <c r="A58" s="6" t="s">
        <v>256</v>
      </c>
      <c r="B58" s="6" t="s">
        <v>24</v>
      </c>
      <c r="C58" s="6" t="s">
        <v>257</v>
      </c>
      <c r="D58" s="6" t="s">
        <v>258</v>
      </c>
      <c r="E58" s="6" t="s">
        <v>259</v>
      </c>
      <c r="F58" s="6">
        <v>14231</v>
      </c>
      <c r="G58" s="6" t="s">
        <v>28</v>
      </c>
      <c r="H58" s="6" t="s">
        <v>260</v>
      </c>
      <c r="I58" s="6" t="s">
        <v>261</v>
      </c>
      <c r="J58" s="6" t="s">
        <v>262</v>
      </c>
      <c r="K58" s="6">
        <v>1967</v>
      </c>
      <c r="L58" s="6">
        <v>195000</v>
      </c>
      <c r="M58" s="6" t="s">
        <v>263</v>
      </c>
      <c r="N58" s="6">
        <v>158</v>
      </c>
      <c r="O58" s="6">
        <v>1234.1772151898731</v>
      </c>
      <c r="P58" s="6">
        <v>2009.997450091764</v>
      </c>
      <c r="Q58" s="6">
        <v>1179.487179487179</v>
      </c>
      <c r="R58" s="6">
        <v>5263.1578947368434</v>
      </c>
      <c r="S58" s="6">
        <v>1609.821798590965</v>
      </c>
      <c r="T58" s="6">
        <v>26</v>
      </c>
      <c r="U58" s="6" t="s">
        <v>264</v>
      </c>
      <c r="V58" s="6">
        <v>100</v>
      </c>
      <c r="W58" s="6">
        <v>979.89367171633216</v>
      </c>
      <c r="X58" s="7">
        <f t="shared" si="2"/>
        <v>0.38598070602849355</v>
      </c>
      <c r="Y58" s="6" t="b">
        <f t="shared" si="3"/>
        <v>1</v>
      </c>
    </row>
    <row r="59" spans="1:25" x14ac:dyDescent="0.3">
      <c r="A59" s="6" t="s">
        <v>293</v>
      </c>
      <c r="B59" s="6" t="s">
        <v>34</v>
      </c>
      <c r="C59" s="6" t="s">
        <v>294</v>
      </c>
      <c r="D59" s="6" t="s">
        <v>295</v>
      </c>
      <c r="E59" s="6" t="s">
        <v>296</v>
      </c>
      <c r="F59" s="6">
        <v>16121</v>
      </c>
      <c r="G59" s="6" t="s">
        <v>28</v>
      </c>
      <c r="H59" s="6" t="s">
        <v>29</v>
      </c>
      <c r="I59" s="6" t="s">
        <v>297</v>
      </c>
      <c r="J59" s="6" t="s">
        <v>298</v>
      </c>
      <c r="K59" s="6">
        <v>1969</v>
      </c>
      <c r="L59" s="6">
        <v>175000</v>
      </c>
      <c r="M59" s="6" t="s">
        <v>299</v>
      </c>
      <c r="N59" s="6">
        <v>106</v>
      </c>
      <c r="O59" s="6">
        <v>1650.943396226415</v>
      </c>
      <c r="P59" s="6">
        <v>2652.5301137042311</v>
      </c>
      <c r="Q59" s="6">
        <v>1333.333333333333</v>
      </c>
      <c r="R59" s="6">
        <v>3904.761904761905</v>
      </c>
      <c r="S59" s="6">
        <v>2594.0860215053758</v>
      </c>
      <c r="T59" s="6">
        <v>24</v>
      </c>
      <c r="U59" s="6" t="s">
        <v>300</v>
      </c>
      <c r="V59" s="6">
        <v>100</v>
      </c>
      <c r="W59" s="6">
        <v>873.63348295534456</v>
      </c>
      <c r="X59" s="7">
        <f t="shared" si="2"/>
        <v>0.37759673765931745</v>
      </c>
      <c r="Y59" s="6" t="b">
        <f t="shared" si="3"/>
        <v>1</v>
      </c>
    </row>
    <row r="60" spans="1:25" x14ac:dyDescent="0.3">
      <c r="A60" s="6" t="s">
        <v>45</v>
      </c>
      <c r="B60" s="6" t="s">
        <v>24</v>
      </c>
      <c r="C60" s="6" t="s">
        <v>46</v>
      </c>
      <c r="D60" s="6" t="s">
        <v>47</v>
      </c>
      <c r="E60" s="6" t="s">
        <v>48</v>
      </c>
      <c r="F60" s="6">
        <v>19100</v>
      </c>
      <c r="G60" s="6" t="s">
        <v>28</v>
      </c>
      <c r="H60" s="6" t="s">
        <v>49</v>
      </c>
      <c r="I60" s="6" t="s">
        <v>50</v>
      </c>
      <c r="J60" s="6" t="s">
        <v>51</v>
      </c>
      <c r="K60" s="6">
        <v>1950</v>
      </c>
      <c r="L60" s="6">
        <v>32000</v>
      </c>
      <c r="M60" s="6" t="s">
        <v>52</v>
      </c>
      <c r="N60" s="6">
        <v>76</v>
      </c>
      <c r="O60" s="6">
        <v>421.05263157894728</v>
      </c>
      <c r="P60" s="6">
        <v>671.09718758535382</v>
      </c>
      <c r="Q60" s="6">
        <v>398.4375</v>
      </c>
      <c r="R60" s="6">
        <v>1266.05504587156</v>
      </c>
      <c r="S60" s="6">
        <v>581.81818181818187</v>
      </c>
      <c r="T60" s="6">
        <v>8</v>
      </c>
      <c r="U60" s="6" t="s">
        <v>53</v>
      </c>
      <c r="V60" s="6">
        <v>225</v>
      </c>
      <c r="W60" s="6">
        <v>331.25544597669392</v>
      </c>
      <c r="X60" s="7">
        <f t="shared" si="2"/>
        <v>0.37259067782131705</v>
      </c>
      <c r="Y60" s="6" t="b">
        <f t="shared" si="3"/>
        <v>1</v>
      </c>
    </row>
    <row r="61" spans="1:25" x14ac:dyDescent="0.3">
      <c r="A61" s="6" t="s">
        <v>375</v>
      </c>
      <c r="B61" s="6" t="s">
        <v>34</v>
      </c>
      <c r="C61" s="6" t="s">
        <v>376</v>
      </c>
      <c r="D61" s="6" t="s">
        <v>377</v>
      </c>
      <c r="E61" s="6" t="s">
        <v>378</v>
      </c>
      <c r="F61" s="6">
        <v>16232</v>
      </c>
      <c r="G61" s="6" t="s">
        <v>28</v>
      </c>
      <c r="H61" s="6" t="s">
        <v>29</v>
      </c>
      <c r="I61" s="6" t="s">
        <v>144</v>
      </c>
      <c r="J61" s="6" t="s">
        <v>379</v>
      </c>
      <c r="K61" s="6">
        <v>1974</v>
      </c>
      <c r="L61" s="6">
        <v>102000</v>
      </c>
      <c r="M61" s="6" t="s">
        <v>380</v>
      </c>
      <c r="N61" s="6">
        <v>61</v>
      </c>
      <c r="O61" s="6">
        <v>1672.1311475409841</v>
      </c>
      <c r="P61" s="6">
        <v>2659.231136239046</v>
      </c>
      <c r="Q61" s="6">
        <v>1166.666666666667</v>
      </c>
      <c r="R61" s="6">
        <v>4468.0851063829787</v>
      </c>
      <c r="S61" s="6">
        <v>2222.2222222222222</v>
      </c>
      <c r="T61" s="6">
        <v>29</v>
      </c>
      <c r="U61" s="6" t="s">
        <v>381</v>
      </c>
      <c r="V61" s="6">
        <v>100</v>
      </c>
      <c r="W61" s="6">
        <v>1223.2598594924509</v>
      </c>
      <c r="X61" s="7">
        <f t="shared" si="2"/>
        <v>0.37119751466738571</v>
      </c>
      <c r="Y61" s="6" t="b">
        <f t="shared" si="3"/>
        <v>1</v>
      </c>
    </row>
    <row r="62" spans="1:25" x14ac:dyDescent="0.3">
      <c r="A62" s="6" t="s">
        <v>88</v>
      </c>
      <c r="B62" s="6" t="s">
        <v>34</v>
      </c>
      <c r="C62" s="6" t="s">
        <v>89</v>
      </c>
      <c r="D62" s="6" t="s">
        <v>90</v>
      </c>
      <c r="E62" s="6" t="s">
        <v>91</v>
      </c>
      <c r="F62" s="6">
        <v>18756</v>
      </c>
      <c r="G62" s="6" t="s">
        <v>28</v>
      </c>
      <c r="H62" s="6" t="s">
        <v>84</v>
      </c>
      <c r="I62" s="6" t="s">
        <v>92</v>
      </c>
      <c r="J62" s="6" t="s">
        <v>93</v>
      </c>
      <c r="K62" s="6">
        <v>1956</v>
      </c>
      <c r="L62" s="6">
        <v>60000</v>
      </c>
      <c r="M62" s="6" t="s">
        <v>94</v>
      </c>
      <c r="N62" s="6">
        <v>75</v>
      </c>
      <c r="O62" s="6">
        <v>800</v>
      </c>
      <c r="P62" s="6">
        <v>1268.3223939112429</v>
      </c>
      <c r="Q62" s="6">
        <v>800</v>
      </c>
      <c r="R62" s="6">
        <v>3296.7032967032969</v>
      </c>
      <c r="S62" s="6">
        <v>800</v>
      </c>
      <c r="T62" s="6">
        <v>20</v>
      </c>
      <c r="U62" s="6" t="s">
        <v>95</v>
      </c>
      <c r="V62" s="6">
        <v>100</v>
      </c>
      <c r="W62" s="6">
        <v>721.25302060000365</v>
      </c>
      <c r="X62" s="7">
        <f t="shared" si="2"/>
        <v>0.36924554526474451</v>
      </c>
      <c r="Y62" s="6" t="b">
        <f t="shared" si="3"/>
        <v>1</v>
      </c>
    </row>
    <row r="63" spans="1:25" x14ac:dyDescent="0.3">
      <c r="A63" s="6" t="s">
        <v>429</v>
      </c>
      <c r="B63" s="6" t="s">
        <v>34</v>
      </c>
      <c r="C63" s="6" t="s">
        <v>430</v>
      </c>
      <c r="D63" s="6" t="s">
        <v>431</v>
      </c>
      <c r="E63" s="6" t="s">
        <v>432</v>
      </c>
      <c r="F63" s="6">
        <v>15343</v>
      </c>
      <c r="G63" s="6" t="s">
        <v>28</v>
      </c>
      <c r="H63" s="6" t="s">
        <v>260</v>
      </c>
      <c r="I63" s="6" t="s">
        <v>433</v>
      </c>
      <c r="J63" s="6" t="s">
        <v>434</v>
      </c>
      <c r="K63" s="6">
        <v>1979</v>
      </c>
      <c r="L63" s="6">
        <v>178000</v>
      </c>
      <c r="M63" s="6" t="s">
        <v>435</v>
      </c>
      <c r="N63" s="6">
        <v>114</v>
      </c>
      <c r="O63" s="6">
        <v>1561.4035087719301</v>
      </c>
      <c r="P63" s="6">
        <v>2423.1991699187079</v>
      </c>
      <c r="Q63" s="6">
        <v>1561.4035087719301</v>
      </c>
      <c r="R63" s="6">
        <v>4074.0740740740739</v>
      </c>
      <c r="S63" s="6">
        <v>2150</v>
      </c>
      <c r="T63" s="6">
        <v>7</v>
      </c>
      <c r="U63" s="6" t="s">
        <v>436</v>
      </c>
      <c r="V63" s="6">
        <v>100</v>
      </c>
      <c r="W63" s="6">
        <v>1102.7113913922969</v>
      </c>
      <c r="X63" s="7">
        <f t="shared" si="2"/>
        <v>0.35564375881479393</v>
      </c>
      <c r="Y63" s="6" t="b">
        <f t="shared" si="3"/>
        <v>1</v>
      </c>
    </row>
    <row r="64" spans="1:25" x14ac:dyDescent="0.3">
      <c r="A64" s="6" t="s">
        <v>317</v>
      </c>
      <c r="B64" s="6" t="s">
        <v>34</v>
      </c>
      <c r="C64" s="6" t="s">
        <v>318</v>
      </c>
      <c r="D64" s="6" t="s">
        <v>319</v>
      </c>
      <c r="E64" s="6" t="s">
        <v>320</v>
      </c>
      <c r="F64" s="6">
        <v>11524</v>
      </c>
      <c r="G64" s="6" t="s">
        <v>28</v>
      </c>
      <c r="H64" s="6" t="s">
        <v>29</v>
      </c>
      <c r="I64" s="6" t="s">
        <v>30</v>
      </c>
      <c r="J64" s="6" t="s">
        <v>321</v>
      </c>
      <c r="K64" s="6">
        <v>1971</v>
      </c>
      <c r="L64" s="6">
        <v>123000</v>
      </c>
      <c r="M64" s="6" t="s">
        <v>322</v>
      </c>
      <c r="N64" s="6">
        <v>66</v>
      </c>
      <c r="O64" s="6">
        <v>1863.636363636364</v>
      </c>
      <c r="P64" s="6">
        <v>2881.9769410364302</v>
      </c>
      <c r="Q64" s="6">
        <v>1729.166666666667</v>
      </c>
      <c r="R64" s="6">
        <v>5161.2903225806449</v>
      </c>
      <c r="S64" s="6">
        <v>2803.4447821681861</v>
      </c>
      <c r="T64" s="6">
        <v>30</v>
      </c>
      <c r="U64" s="6" t="s">
        <v>323</v>
      </c>
      <c r="V64" s="6">
        <v>100</v>
      </c>
      <c r="W64" s="6">
        <v>1058.3661033090341</v>
      </c>
      <c r="X64" s="7">
        <f t="shared" ref="X64:X94" si="4">(1-O64/P64)</f>
        <v>0.35334792686920169</v>
      </c>
      <c r="Y64" s="6" t="b">
        <f t="shared" ref="Y64:Y94" si="5">IF(O64&lt;P64,TRUE,FALSE)</f>
        <v>1</v>
      </c>
    </row>
    <row r="65" spans="1:25" x14ac:dyDescent="0.3">
      <c r="A65" s="6" t="s">
        <v>330</v>
      </c>
      <c r="B65" s="6" t="s">
        <v>34</v>
      </c>
      <c r="C65" s="6" t="s">
        <v>331</v>
      </c>
      <c r="D65" s="6" t="s">
        <v>332</v>
      </c>
      <c r="E65" s="6" t="s">
        <v>333</v>
      </c>
      <c r="F65" s="6">
        <v>10446</v>
      </c>
      <c r="G65" s="6" t="s">
        <v>28</v>
      </c>
      <c r="H65" s="6" t="s">
        <v>29</v>
      </c>
      <c r="I65" s="6" t="s">
        <v>30</v>
      </c>
      <c r="J65" s="6" t="s">
        <v>334</v>
      </c>
      <c r="K65" s="6">
        <v>1972</v>
      </c>
      <c r="L65" s="6">
        <v>57000</v>
      </c>
      <c r="M65" s="6" t="s">
        <v>335</v>
      </c>
      <c r="N65" s="6">
        <v>51</v>
      </c>
      <c r="O65" s="6">
        <v>1117.64705882353</v>
      </c>
      <c r="P65" s="6">
        <v>1711.6496649611829</v>
      </c>
      <c r="Q65" s="6">
        <v>1122.4489795918371</v>
      </c>
      <c r="R65" s="6">
        <v>3409.090909090909</v>
      </c>
      <c r="S65" s="6">
        <v>1545.1388888888889</v>
      </c>
      <c r="T65" s="6">
        <v>30</v>
      </c>
      <c r="U65" s="6" t="s">
        <v>336</v>
      </c>
      <c r="V65" s="6">
        <v>100</v>
      </c>
      <c r="W65" s="6">
        <v>548.10992436086974</v>
      </c>
      <c r="X65" s="7">
        <f t="shared" si="4"/>
        <v>0.34703515462150591</v>
      </c>
      <c r="Y65" s="6" t="b">
        <f t="shared" si="5"/>
        <v>1</v>
      </c>
    </row>
    <row r="66" spans="1:25" x14ac:dyDescent="0.3">
      <c r="A66" s="6" t="s">
        <v>179</v>
      </c>
      <c r="B66" s="6" t="s">
        <v>34</v>
      </c>
      <c r="C66" s="6" t="s">
        <v>180</v>
      </c>
      <c r="D66" s="6" t="s">
        <v>181</v>
      </c>
      <c r="E66" s="6" t="s">
        <v>182</v>
      </c>
      <c r="F66" s="6">
        <v>11144</v>
      </c>
      <c r="G66" s="6" t="s">
        <v>28</v>
      </c>
      <c r="H66" s="6" t="s">
        <v>29</v>
      </c>
      <c r="I66" s="6" t="s">
        <v>30</v>
      </c>
      <c r="J66" s="6" t="s">
        <v>183</v>
      </c>
      <c r="K66" s="6">
        <v>1964</v>
      </c>
      <c r="L66" s="6">
        <v>60000</v>
      </c>
      <c r="M66" s="6" t="s">
        <v>184</v>
      </c>
      <c r="N66" s="6">
        <v>55.47</v>
      </c>
      <c r="O66" s="6">
        <f>L66/N66</f>
        <v>1081.6657652785289</v>
      </c>
      <c r="P66" s="6">
        <v>1642.628117455565</v>
      </c>
      <c r="Q66" s="6">
        <v>942.30769230769226</v>
      </c>
      <c r="R66" s="6">
        <v>2822.5806451612898</v>
      </c>
      <c r="S66" s="6">
        <v>1621.9178082191779</v>
      </c>
      <c r="T66" s="6">
        <v>30</v>
      </c>
      <c r="U66" s="6" t="s">
        <v>185</v>
      </c>
      <c r="V66" s="6">
        <v>100</v>
      </c>
      <c r="W66" s="6">
        <v>439.85685759173242</v>
      </c>
      <c r="X66" s="7">
        <f t="shared" si="4"/>
        <v>0.34150295262567898</v>
      </c>
      <c r="Y66" s="6" t="b">
        <f t="shared" si="5"/>
        <v>1</v>
      </c>
    </row>
    <row r="67" spans="1:25" x14ac:dyDescent="0.3">
      <c r="A67" s="6" t="s">
        <v>444</v>
      </c>
      <c r="B67" s="6" t="s">
        <v>24</v>
      </c>
      <c r="C67" s="6" t="s">
        <v>445</v>
      </c>
      <c r="D67" s="6" t="s">
        <v>446</v>
      </c>
      <c r="E67" s="6" t="s">
        <v>447</v>
      </c>
      <c r="F67" s="6">
        <v>57018</v>
      </c>
      <c r="G67" s="6" t="s">
        <v>232</v>
      </c>
      <c r="H67" s="6" t="s">
        <v>233</v>
      </c>
      <c r="I67" s="6" t="s">
        <v>448</v>
      </c>
      <c r="J67" s="6" t="s">
        <v>449</v>
      </c>
      <c r="K67" s="6">
        <v>1979</v>
      </c>
      <c r="L67" s="6">
        <v>140000</v>
      </c>
      <c r="M67" s="6" t="s">
        <v>450</v>
      </c>
      <c r="N67" s="6">
        <v>208</v>
      </c>
      <c r="O67" s="6">
        <v>673.07692307692309</v>
      </c>
      <c r="P67" s="6">
        <v>1013.79158902092</v>
      </c>
      <c r="Q67" s="6">
        <v>813.95348837209303</v>
      </c>
      <c r="R67" s="6">
        <v>1435.897435897436</v>
      </c>
      <c r="S67" s="6">
        <v>916.66666666666663</v>
      </c>
      <c r="T67" s="6">
        <v>7</v>
      </c>
      <c r="U67" s="6" t="s">
        <v>451</v>
      </c>
      <c r="V67" s="6">
        <v>150</v>
      </c>
      <c r="W67" s="6">
        <v>208.78626011926889</v>
      </c>
      <c r="X67" s="7">
        <f t="shared" si="4"/>
        <v>0.33607959430107892</v>
      </c>
      <c r="Y67" s="6" t="b">
        <f t="shared" si="5"/>
        <v>1</v>
      </c>
    </row>
    <row r="68" spans="1:25" x14ac:dyDescent="0.3">
      <c r="A68" s="6" t="s">
        <v>204</v>
      </c>
      <c r="B68" s="6" t="s">
        <v>34</v>
      </c>
      <c r="C68" s="6" t="s">
        <v>205</v>
      </c>
      <c r="D68" s="6" t="s">
        <v>206</v>
      </c>
      <c r="E68" s="6" t="s">
        <v>207</v>
      </c>
      <c r="F68" s="6">
        <v>10445</v>
      </c>
      <c r="G68" s="6" t="s">
        <v>28</v>
      </c>
      <c r="H68" s="6" t="s">
        <v>29</v>
      </c>
      <c r="I68" s="6" t="s">
        <v>30</v>
      </c>
      <c r="J68" s="6" t="s">
        <v>208</v>
      </c>
      <c r="K68" s="6">
        <v>1965</v>
      </c>
      <c r="L68" s="6">
        <v>55000</v>
      </c>
      <c r="M68" s="6" t="s">
        <v>209</v>
      </c>
      <c r="N68" s="6">
        <v>43</v>
      </c>
      <c r="O68" s="6">
        <v>1279.06976744186</v>
      </c>
      <c r="P68" s="6">
        <v>1902.660475529369</v>
      </c>
      <c r="Q68" s="6">
        <v>877.77777777777783</v>
      </c>
      <c r="R68" s="6">
        <v>7462.686567164179</v>
      </c>
      <c r="S68" s="6">
        <v>1624.623493975904</v>
      </c>
      <c r="T68" s="6">
        <v>30</v>
      </c>
      <c r="U68" s="6" t="s">
        <v>210</v>
      </c>
      <c r="V68" s="6">
        <v>100</v>
      </c>
      <c r="W68" s="6">
        <v>1158.9761393989841</v>
      </c>
      <c r="X68" s="7">
        <f t="shared" si="4"/>
        <v>0.3277467084157567</v>
      </c>
      <c r="Y68" s="6" t="b">
        <f t="shared" si="5"/>
        <v>1</v>
      </c>
    </row>
    <row r="69" spans="1:25" x14ac:dyDescent="0.3">
      <c r="A69" s="6" t="s">
        <v>563</v>
      </c>
      <c r="B69" s="6" t="s">
        <v>24</v>
      </c>
      <c r="C69" s="6" t="s">
        <v>564</v>
      </c>
      <c r="D69" s="6" t="s">
        <v>565</v>
      </c>
      <c r="E69" s="6" t="s">
        <v>566</v>
      </c>
      <c r="F69" s="6">
        <v>13231</v>
      </c>
      <c r="G69" s="6" t="s">
        <v>28</v>
      </c>
      <c r="H69" s="6" t="s">
        <v>40</v>
      </c>
      <c r="I69" s="6" t="s">
        <v>567</v>
      </c>
      <c r="J69" s="6" t="s">
        <v>568</v>
      </c>
      <c r="K69" s="6">
        <v>1992</v>
      </c>
      <c r="L69" s="6">
        <v>185000</v>
      </c>
      <c r="M69" s="6" t="s">
        <v>569</v>
      </c>
      <c r="N69" s="6">
        <v>117</v>
      </c>
      <c r="O69" s="6">
        <v>1581.1965811965811</v>
      </c>
      <c r="P69" s="6">
        <v>2349.9887973650261</v>
      </c>
      <c r="Q69" s="6">
        <v>1166.666666666667</v>
      </c>
      <c r="R69" s="6">
        <v>3400</v>
      </c>
      <c r="S69" s="6">
        <v>2180.2325581395348</v>
      </c>
      <c r="T69" s="6">
        <v>8</v>
      </c>
      <c r="U69" s="6" t="s">
        <v>570</v>
      </c>
      <c r="V69" s="6">
        <v>100</v>
      </c>
      <c r="W69" s="6">
        <v>886.29650151000635</v>
      </c>
      <c r="X69" s="7">
        <f t="shared" si="4"/>
        <v>0.32714718343783988</v>
      </c>
      <c r="Y69" s="6" t="b">
        <f t="shared" si="5"/>
        <v>1</v>
      </c>
    </row>
    <row r="70" spans="1:25" x14ac:dyDescent="0.3">
      <c r="A70" s="6" t="s">
        <v>499</v>
      </c>
      <c r="B70" s="6" t="s">
        <v>24</v>
      </c>
      <c r="C70" s="6" t="s">
        <v>500</v>
      </c>
      <c r="D70" s="6" t="s">
        <v>501</v>
      </c>
      <c r="E70" s="6" t="s">
        <v>502</v>
      </c>
      <c r="F70" s="6">
        <v>14569</v>
      </c>
      <c r="G70" s="6" t="s">
        <v>28</v>
      </c>
      <c r="H70" s="6" t="s">
        <v>341</v>
      </c>
      <c r="I70" s="6" t="s">
        <v>489</v>
      </c>
      <c r="J70" s="6" t="s">
        <v>503</v>
      </c>
      <c r="K70" s="6">
        <v>1986</v>
      </c>
      <c r="L70" s="6">
        <v>295000</v>
      </c>
      <c r="M70" s="6" t="s">
        <v>504</v>
      </c>
      <c r="N70" s="6">
        <v>234</v>
      </c>
      <c r="O70" s="6">
        <v>1260.683760683761</v>
      </c>
      <c r="P70" s="6">
        <v>1844.7966497653611</v>
      </c>
      <c r="Q70" s="6">
        <v>1411.0429447852759</v>
      </c>
      <c r="R70" s="6">
        <v>2183.9080459770121</v>
      </c>
      <c r="S70" s="6">
        <v>1750</v>
      </c>
      <c r="T70" s="6">
        <v>5</v>
      </c>
      <c r="U70" s="6" t="s">
        <v>505</v>
      </c>
      <c r="V70" s="6">
        <v>225</v>
      </c>
      <c r="W70" s="6">
        <v>316.97851120510887</v>
      </c>
      <c r="X70" s="7">
        <f t="shared" si="4"/>
        <v>0.31662724948893051</v>
      </c>
      <c r="Y70" s="6" t="b">
        <f t="shared" si="5"/>
        <v>1</v>
      </c>
    </row>
    <row r="71" spans="1:25" x14ac:dyDescent="0.3">
      <c r="A71" s="6" t="s">
        <v>148</v>
      </c>
      <c r="B71" s="6" t="s">
        <v>34</v>
      </c>
      <c r="C71" s="6" t="s">
        <v>149</v>
      </c>
      <c r="D71" s="6" t="s">
        <v>150</v>
      </c>
      <c r="E71" s="6" t="s">
        <v>151</v>
      </c>
      <c r="F71" s="6">
        <v>10432</v>
      </c>
      <c r="G71" s="6" t="s">
        <v>28</v>
      </c>
      <c r="H71" s="6" t="s">
        <v>29</v>
      </c>
      <c r="I71" s="6" t="s">
        <v>30</v>
      </c>
      <c r="J71" s="6" t="s">
        <v>152</v>
      </c>
      <c r="K71" s="6">
        <v>1961</v>
      </c>
      <c r="L71" s="6">
        <v>165000</v>
      </c>
      <c r="M71" s="6" t="s">
        <v>153</v>
      </c>
      <c r="N71" s="6">
        <v>108</v>
      </c>
      <c r="O71" s="6">
        <v>1527.7777777777781</v>
      </c>
      <c r="P71" s="6">
        <v>2156.9190502186302</v>
      </c>
      <c r="Q71" s="6">
        <v>1153.846153846154</v>
      </c>
      <c r="R71" s="6">
        <v>6578.9473684210516</v>
      </c>
      <c r="S71" s="6">
        <v>1842.8571428571429</v>
      </c>
      <c r="T71" s="6">
        <v>30</v>
      </c>
      <c r="U71" s="6" t="s">
        <v>154</v>
      </c>
      <c r="V71" s="6">
        <v>100</v>
      </c>
      <c r="W71" s="6">
        <v>1032.062517099675</v>
      </c>
      <c r="X71" s="7">
        <f t="shared" si="4"/>
        <v>0.29168515729743361</v>
      </c>
      <c r="Y71" s="6" t="b">
        <f t="shared" si="5"/>
        <v>1</v>
      </c>
    </row>
    <row r="72" spans="1:25" x14ac:dyDescent="0.3">
      <c r="A72" s="6" t="s">
        <v>773</v>
      </c>
      <c r="B72" s="6" t="s">
        <v>34</v>
      </c>
      <c r="C72" s="6" t="s">
        <v>774</v>
      </c>
      <c r="D72" s="6" t="s">
        <v>775</v>
      </c>
      <c r="E72" s="6" t="s">
        <v>776</v>
      </c>
      <c r="F72" s="6">
        <v>17562</v>
      </c>
      <c r="G72" s="6" t="s">
        <v>28</v>
      </c>
      <c r="H72" s="6" t="s">
        <v>107</v>
      </c>
      <c r="I72" s="6" t="s">
        <v>269</v>
      </c>
      <c r="J72" s="6" t="s">
        <v>777</v>
      </c>
      <c r="K72" s="6">
        <v>2005</v>
      </c>
      <c r="L72" s="6">
        <v>414000</v>
      </c>
      <c r="M72" s="6" t="s">
        <v>778</v>
      </c>
      <c r="N72" s="6">
        <v>120</v>
      </c>
      <c r="O72" s="6">
        <v>3450</v>
      </c>
      <c r="P72" s="6">
        <v>4838.5555771127874</v>
      </c>
      <c r="Q72" s="6">
        <v>2500</v>
      </c>
      <c r="R72" s="6">
        <v>8208.3333333333339</v>
      </c>
      <c r="S72" s="6">
        <v>4703.767123287671</v>
      </c>
      <c r="T72" s="6">
        <v>30</v>
      </c>
      <c r="U72" s="6" t="s">
        <v>779</v>
      </c>
      <c r="V72" s="6">
        <v>100</v>
      </c>
      <c r="W72" s="6">
        <v>1470.631252523546</v>
      </c>
      <c r="X72" s="7">
        <f t="shared" si="4"/>
        <v>0.28697729208297151</v>
      </c>
      <c r="Y72" s="6" t="b">
        <f t="shared" si="5"/>
        <v>1</v>
      </c>
    </row>
    <row r="73" spans="1:25" x14ac:dyDescent="0.3">
      <c r="A73" s="6" t="s">
        <v>382</v>
      </c>
      <c r="B73" s="6" t="s">
        <v>34</v>
      </c>
      <c r="C73" s="6" t="s">
        <v>383</v>
      </c>
      <c r="D73" s="6" t="s">
        <v>384</v>
      </c>
      <c r="E73" s="6" t="s">
        <v>385</v>
      </c>
      <c r="F73" s="6">
        <v>16344</v>
      </c>
      <c r="G73" s="6" t="s">
        <v>28</v>
      </c>
      <c r="H73" s="6" t="s">
        <v>29</v>
      </c>
      <c r="I73" s="6" t="s">
        <v>386</v>
      </c>
      <c r="J73" s="6" t="s">
        <v>387</v>
      </c>
      <c r="K73" s="6">
        <v>1975</v>
      </c>
      <c r="L73" s="6">
        <v>122000</v>
      </c>
      <c r="M73" s="6" t="s">
        <v>388</v>
      </c>
      <c r="N73" s="6">
        <v>93</v>
      </c>
      <c r="O73" s="6">
        <v>1311.827956989247</v>
      </c>
      <c r="P73" s="6">
        <v>1831.96617158749</v>
      </c>
      <c r="Q73" s="6">
        <v>1311.827956989247</v>
      </c>
      <c r="R73" s="6">
        <v>4102.5641025641035</v>
      </c>
      <c r="S73" s="6">
        <v>1854.838709677419</v>
      </c>
      <c r="T73" s="6">
        <v>15</v>
      </c>
      <c r="U73" s="6" t="s">
        <v>389</v>
      </c>
      <c r="V73" s="6">
        <v>100</v>
      </c>
      <c r="W73" s="6">
        <v>705.92070280673647</v>
      </c>
      <c r="X73" s="7">
        <f t="shared" si="4"/>
        <v>0.28392348213914742</v>
      </c>
      <c r="Y73" s="6" t="b">
        <f t="shared" si="5"/>
        <v>1</v>
      </c>
    </row>
    <row r="74" spans="1:25" x14ac:dyDescent="0.3">
      <c r="A74" s="6" t="s">
        <v>248</v>
      </c>
      <c r="B74" s="6" t="s">
        <v>34</v>
      </c>
      <c r="C74" s="6" t="s">
        <v>249</v>
      </c>
      <c r="D74" s="6" t="s">
        <v>250</v>
      </c>
      <c r="E74" s="6" t="s">
        <v>251</v>
      </c>
      <c r="F74" s="6">
        <v>18121</v>
      </c>
      <c r="G74" s="6" t="s">
        <v>28</v>
      </c>
      <c r="H74" s="6" t="s">
        <v>84</v>
      </c>
      <c r="I74" s="6" t="s">
        <v>252</v>
      </c>
      <c r="J74" s="6" t="s">
        <v>253</v>
      </c>
      <c r="K74" s="6">
        <v>1967</v>
      </c>
      <c r="L74" s="6">
        <v>75000</v>
      </c>
      <c r="M74" s="6" t="s">
        <v>254</v>
      </c>
      <c r="N74" s="6">
        <v>73</v>
      </c>
      <c r="O74" s="6">
        <v>1027.397260273973</v>
      </c>
      <c r="P74" s="6">
        <v>1431.904831164841</v>
      </c>
      <c r="Q74" s="6">
        <v>1013.513513513514</v>
      </c>
      <c r="R74" s="6">
        <v>2537.313432835821</v>
      </c>
      <c r="S74" s="6">
        <v>1027.397260273973</v>
      </c>
      <c r="T74" s="6">
        <v>17</v>
      </c>
      <c r="U74" s="6" t="s">
        <v>255</v>
      </c>
      <c r="V74" s="6">
        <v>100</v>
      </c>
      <c r="W74" s="6">
        <v>531.02300099893682</v>
      </c>
      <c r="X74" s="7">
        <f t="shared" si="4"/>
        <v>0.28249612829492654</v>
      </c>
      <c r="Y74" s="6" t="b">
        <f t="shared" si="5"/>
        <v>1</v>
      </c>
    </row>
    <row r="75" spans="1:25" x14ac:dyDescent="0.3">
      <c r="A75" s="6" t="s">
        <v>452</v>
      </c>
      <c r="B75" s="6" t="s">
        <v>34</v>
      </c>
      <c r="C75" s="6" t="s">
        <v>453</v>
      </c>
      <c r="D75" s="6" t="s">
        <v>454</v>
      </c>
      <c r="E75" s="6" t="s">
        <v>455</v>
      </c>
      <c r="F75" s="6">
        <v>11633</v>
      </c>
      <c r="G75" s="6" t="s">
        <v>28</v>
      </c>
      <c r="H75" s="6" t="s">
        <v>29</v>
      </c>
      <c r="I75" s="6" t="s">
        <v>30</v>
      </c>
      <c r="J75" s="6" t="s">
        <v>456</v>
      </c>
      <c r="K75" s="6">
        <v>1980</v>
      </c>
      <c r="L75" s="6">
        <v>235000</v>
      </c>
      <c r="M75" s="6" t="s">
        <v>457</v>
      </c>
      <c r="N75" s="6">
        <v>102</v>
      </c>
      <c r="O75" s="6">
        <v>2303.9215686274511</v>
      </c>
      <c r="P75" s="6">
        <v>3180.6256277163811</v>
      </c>
      <c r="Q75" s="6">
        <v>1388.8888888888889</v>
      </c>
      <c r="R75" s="6">
        <v>6526.3157894736842</v>
      </c>
      <c r="S75" s="6">
        <v>2970.588235294118</v>
      </c>
      <c r="T75" s="6">
        <v>30</v>
      </c>
      <c r="U75" s="6" t="s">
        <v>458</v>
      </c>
      <c r="V75" s="6">
        <v>100</v>
      </c>
      <c r="W75" s="6">
        <v>1160.46846647697</v>
      </c>
      <c r="X75" s="7">
        <f t="shared" si="4"/>
        <v>0.27563887162614109</v>
      </c>
      <c r="Y75" s="6" t="b">
        <f t="shared" si="5"/>
        <v>1</v>
      </c>
    </row>
    <row r="76" spans="1:25" x14ac:dyDescent="0.3">
      <c r="A76" s="6" t="s">
        <v>337</v>
      </c>
      <c r="B76" s="6" t="s">
        <v>34</v>
      </c>
      <c r="C76" s="6" t="s">
        <v>338</v>
      </c>
      <c r="D76" s="6" t="s">
        <v>339</v>
      </c>
      <c r="E76" s="6" t="s">
        <v>340</v>
      </c>
      <c r="F76" s="6">
        <v>13671</v>
      </c>
      <c r="G76" s="6" t="s">
        <v>28</v>
      </c>
      <c r="H76" s="6" t="s">
        <v>341</v>
      </c>
      <c r="I76" s="6" t="s">
        <v>342</v>
      </c>
      <c r="J76" s="6" t="s">
        <v>343</v>
      </c>
      <c r="K76" s="6">
        <v>1972</v>
      </c>
      <c r="L76" s="6">
        <v>90000</v>
      </c>
      <c r="M76" s="6" t="s">
        <v>344</v>
      </c>
      <c r="N76" s="6">
        <v>109</v>
      </c>
      <c r="O76" s="6">
        <v>825.6880733944954</v>
      </c>
      <c r="P76" s="6">
        <v>1135.7157689869441</v>
      </c>
      <c r="Q76" s="6">
        <v>666.66666666666663</v>
      </c>
      <c r="R76" s="6">
        <v>2800</v>
      </c>
      <c r="S76" s="6">
        <v>818.18181818181813</v>
      </c>
      <c r="T76" s="6">
        <v>13</v>
      </c>
      <c r="U76" s="6" t="s">
        <v>345</v>
      </c>
      <c r="V76" s="6">
        <v>100</v>
      </c>
      <c r="W76" s="6">
        <v>681.59926109410253</v>
      </c>
      <c r="X76" s="7">
        <f t="shared" si="4"/>
        <v>0.27298000437996273</v>
      </c>
      <c r="Y76" s="6" t="b">
        <f t="shared" si="5"/>
        <v>1</v>
      </c>
    </row>
    <row r="77" spans="1:25" x14ac:dyDescent="0.3">
      <c r="A77" s="6" t="s">
        <v>780</v>
      </c>
      <c r="B77" s="6" t="s">
        <v>34</v>
      </c>
      <c r="C77" s="6" t="s">
        <v>781</v>
      </c>
      <c r="D77" s="6" t="s">
        <v>782</v>
      </c>
      <c r="E77" s="6" t="s">
        <v>783</v>
      </c>
      <c r="F77" s="6">
        <v>18542</v>
      </c>
      <c r="G77" s="6" t="s">
        <v>28</v>
      </c>
      <c r="H77" s="6" t="s">
        <v>84</v>
      </c>
      <c r="I77" s="6" t="s">
        <v>84</v>
      </c>
      <c r="J77" s="6" t="s">
        <v>784</v>
      </c>
      <c r="K77" s="6">
        <v>2005</v>
      </c>
      <c r="L77" s="6">
        <v>170000</v>
      </c>
      <c r="M77" s="6" t="s">
        <v>785</v>
      </c>
      <c r="N77" s="6">
        <v>88</v>
      </c>
      <c r="O77" s="6">
        <v>1931.818181818182</v>
      </c>
      <c r="P77" s="6">
        <v>2653.7036027700419</v>
      </c>
      <c r="Q77" s="6">
        <v>1673.4693877551019</v>
      </c>
      <c r="R77" s="6">
        <v>3488.3720930232562</v>
      </c>
      <c r="S77" s="6">
        <v>2863.377609108159</v>
      </c>
      <c r="T77" s="6">
        <v>30</v>
      </c>
      <c r="U77" s="6" t="s">
        <v>786</v>
      </c>
      <c r="V77" s="6">
        <v>100</v>
      </c>
      <c r="W77" s="6">
        <v>538.40091982795821</v>
      </c>
      <c r="X77" s="7">
        <f t="shared" si="4"/>
        <v>0.27202940833268907</v>
      </c>
      <c r="Y77" s="6" t="b">
        <f t="shared" si="5"/>
        <v>1</v>
      </c>
    </row>
    <row r="78" spans="1:25" x14ac:dyDescent="0.3">
      <c r="A78" s="6" t="s">
        <v>133</v>
      </c>
      <c r="B78" s="6" t="s">
        <v>34</v>
      </c>
      <c r="C78" s="6" t="s">
        <v>134</v>
      </c>
      <c r="D78" s="6" t="s">
        <v>135</v>
      </c>
      <c r="E78" s="6" t="s">
        <v>136</v>
      </c>
      <c r="F78" s="6">
        <v>11523</v>
      </c>
      <c r="G78" s="6" t="s">
        <v>28</v>
      </c>
      <c r="H78" s="6" t="s">
        <v>29</v>
      </c>
      <c r="I78" s="6" t="s">
        <v>30</v>
      </c>
      <c r="J78" s="6" t="s">
        <v>137</v>
      </c>
      <c r="K78" s="6">
        <v>1960</v>
      </c>
      <c r="L78" s="6">
        <v>191000</v>
      </c>
      <c r="M78" s="6" t="s">
        <v>138</v>
      </c>
      <c r="N78" s="6">
        <v>79</v>
      </c>
      <c r="O78" s="6">
        <v>2417.7215189873418</v>
      </c>
      <c r="P78" s="6">
        <v>3258.6304647406159</v>
      </c>
      <c r="Q78" s="6">
        <v>1514.285714285714</v>
      </c>
      <c r="R78" s="6">
        <v>5500</v>
      </c>
      <c r="S78" s="6">
        <v>3000</v>
      </c>
      <c r="T78" s="6">
        <v>30</v>
      </c>
      <c r="U78" s="6" t="s">
        <v>139</v>
      </c>
      <c r="V78" s="6">
        <v>100</v>
      </c>
      <c r="W78" s="6">
        <v>1164.673759218696</v>
      </c>
      <c r="X78" s="7">
        <f t="shared" si="4"/>
        <v>0.25805593940527094</v>
      </c>
      <c r="Y78" s="6" t="b">
        <f t="shared" si="5"/>
        <v>1</v>
      </c>
    </row>
    <row r="79" spans="1:25" x14ac:dyDescent="0.3">
      <c r="A79" s="6" t="s">
        <v>140</v>
      </c>
      <c r="B79" s="6" t="s">
        <v>34</v>
      </c>
      <c r="C79" s="6" t="s">
        <v>141</v>
      </c>
      <c r="D79" s="6" t="s">
        <v>142</v>
      </c>
      <c r="E79" s="6" t="s">
        <v>143</v>
      </c>
      <c r="F79" s="6">
        <v>16231</v>
      </c>
      <c r="G79" s="6" t="s">
        <v>28</v>
      </c>
      <c r="H79" s="6" t="s">
        <v>29</v>
      </c>
      <c r="I79" s="6" t="s">
        <v>144</v>
      </c>
      <c r="J79" s="6" t="s">
        <v>145</v>
      </c>
      <c r="K79" s="6">
        <v>1960</v>
      </c>
      <c r="L79" s="6">
        <v>129000</v>
      </c>
      <c r="M79" s="6" t="s">
        <v>146</v>
      </c>
      <c r="N79" s="6">
        <v>69</v>
      </c>
      <c r="O79" s="6">
        <v>1869.565217391304</v>
      </c>
      <c r="P79" s="6">
        <v>2493.7451027750549</v>
      </c>
      <c r="Q79" s="6">
        <v>1451.6129032258059</v>
      </c>
      <c r="R79" s="6">
        <v>3823.5294117647059</v>
      </c>
      <c r="S79" s="6">
        <v>2293.0996833715471</v>
      </c>
      <c r="T79" s="6">
        <v>30</v>
      </c>
      <c r="U79" s="6" t="s">
        <v>147</v>
      </c>
      <c r="V79" s="6">
        <v>100</v>
      </c>
      <c r="W79" s="6">
        <v>770.8492587044791</v>
      </c>
      <c r="X79" s="7">
        <f t="shared" si="4"/>
        <v>0.25029818993495356</v>
      </c>
      <c r="Y79" s="6" t="b">
        <f t="shared" si="5"/>
        <v>1</v>
      </c>
    </row>
    <row r="80" spans="1:25" x14ac:dyDescent="0.3">
      <c r="A80" s="6" t="s">
        <v>405</v>
      </c>
      <c r="B80" s="6" t="s">
        <v>34</v>
      </c>
      <c r="C80" s="6" t="s">
        <v>406</v>
      </c>
      <c r="D80" s="6" t="s">
        <v>407</v>
      </c>
      <c r="E80" s="6" t="s">
        <v>408</v>
      </c>
      <c r="F80" s="6">
        <v>56431</v>
      </c>
      <c r="G80" s="6" t="s">
        <v>232</v>
      </c>
      <c r="H80" s="6" t="s">
        <v>233</v>
      </c>
      <c r="I80" s="6" t="s">
        <v>409</v>
      </c>
      <c r="J80" s="6" t="s">
        <v>410</v>
      </c>
      <c r="K80" s="6">
        <v>1976</v>
      </c>
      <c r="L80" s="6">
        <v>115000</v>
      </c>
      <c r="M80" s="6" t="s">
        <v>411</v>
      </c>
      <c r="N80" s="6">
        <v>123</v>
      </c>
      <c r="O80" s="6">
        <v>934.95934959349597</v>
      </c>
      <c r="P80" s="6">
        <v>1246.8909749015061</v>
      </c>
      <c r="Q80" s="6">
        <v>829.16666666666663</v>
      </c>
      <c r="R80" s="6">
        <v>2919.7080291970801</v>
      </c>
      <c r="S80" s="6">
        <v>988.31300813008136</v>
      </c>
      <c r="T80" s="6">
        <v>22</v>
      </c>
      <c r="U80" s="6" t="s">
        <v>412</v>
      </c>
      <c r="V80" s="6">
        <v>100</v>
      </c>
      <c r="W80" s="6">
        <v>512.92919653423655</v>
      </c>
      <c r="X80" s="7">
        <f t="shared" si="4"/>
        <v>0.25016752193001479</v>
      </c>
      <c r="Y80" s="6" t="b">
        <f t="shared" si="5"/>
        <v>1</v>
      </c>
    </row>
    <row r="81" spans="1:25" x14ac:dyDescent="0.3">
      <c r="A81" s="6" t="s">
        <v>898</v>
      </c>
      <c r="B81" s="6" t="s">
        <v>24</v>
      </c>
      <c r="C81" s="6" t="s">
        <v>899</v>
      </c>
      <c r="D81" s="6" t="s">
        <v>900</v>
      </c>
      <c r="E81" s="6" t="s">
        <v>901</v>
      </c>
      <c r="F81" s="6">
        <v>54645</v>
      </c>
      <c r="G81" s="6" t="s">
        <v>232</v>
      </c>
      <c r="H81" s="6" t="s">
        <v>233</v>
      </c>
      <c r="I81" s="6" t="s">
        <v>233</v>
      </c>
      <c r="J81" s="6" t="s">
        <v>902</v>
      </c>
      <c r="K81" s="6"/>
      <c r="L81" s="6">
        <v>1450000</v>
      </c>
      <c r="M81" s="6" t="s">
        <v>903</v>
      </c>
      <c r="N81" s="6">
        <v>713</v>
      </c>
      <c r="O81" s="6">
        <v>2033.6605890603089</v>
      </c>
      <c r="P81" s="6">
        <v>2702.744830268955</v>
      </c>
      <c r="Q81" s="6">
        <v>1842.8571428571429</v>
      </c>
      <c r="R81" s="6">
        <v>4255.3191489361698</v>
      </c>
      <c r="S81" s="6">
        <v>2840.903409090909</v>
      </c>
      <c r="T81" s="6">
        <v>30</v>
      </c>
      <c r="U81" s="6" t="s">
        <v>904</v>
      </c>
      <c r="V81" s="6">
        <v>100</v>
      </c>
      <c r="W81" s="6">
        <v>568.33887486423305</v>
      </c>
      <c r="X81" s="7">
        <f t="shared" si="4"/>
        <v>0.24755731052200891</v>
      </c>
      <c r="Y81" s="6" t="b">
        <f t="shared" si="5"/>
        <v>1</v>
      </c>
    </row>
    <row r="82" spans="1:25" x14ac:dyDescent="0.3">
      <c r="A82" s="6" t="s">
        <v>474</v>
      </c>
      <c r="B82" s="6" t="s">
        <v>34</v>
      </c>
      <c r="C82" s="6" t="s">
        <v>475</v>
      </c>
      <c r="D82" s="6" t="s">
        <v>476</v>
      </c>
      <c r="E82" s="6" t="s">
        <v>477</v>
      </c>
      <c r="F82" s="6">
        <v>14122</v>
      </c>
      <c r="G82" s="6" t="s">
        <v>28</v>
      </c>
      <c r="H82" s="6" t="s">
        <v>260</v>
      </c>
      <c r="I82" s="6" t="s">
        <v>478</v>
      </c>
      <c r="J82" s="6" t="s">
        <v>479</v>
      </c>
      <c r="K82" s="6">
        <v>1981</v>
      </c>
      <c r="L82" s="6">
        <v>97000</v>
      </c>
      <c r="M82" s="6" t="s">
        <v>480</v>
      </c>
      <c r="N82" s="6">
        <v>65</v>
      </c>
      <c r="O82" s="6">
        <v>1492.3076923076919</v>
      </c>
      <c r="P82" s="6">
        <v>1976.7577045047981</v>
      </c>
      <c r="Q82" s="6">
        <v>1492.3076923076919</v>
      </c>
      <c r="R82" s="6">
        <v>4069.7674418604652</v>
      </c>
      <c r="S82" s="6">
        <v>1515.625</v>
      </c>
      <c r="T82" s="6">
        <v>11</v>
      </c>
      <c r="U82" s="6" t="s">
        <v>481</v>
      </c>
      <c r="V82" s="6">
        <v>100</v>
      </c>
      <c r="W82" s="6">
        <v>879.219887548099</v>
      </c>
      <c r="X82" s="7">
        <f t="shared" si="4"/>
        <v>0.24507303605955433</v>
      </c>
      <c r="Y82" s="6" t="b">
        <f t="shared" si="5"/>
        <v>1</v>
      </c>
    </row>
    <row r="83" spans="1:25" x14ac:dyDescent="0.3">
      <c r="A83" s="6" t="s">
        <v>534</v>
      </c>
      <c r="B83" s="6" t="s">
        <v>34</v>
      </c>
      <c r="C83" s="6" t="s">
        <v>535</v>
      </c>
      <c r="D83" s="6" t="s">
        <v>536</v>
      </c>
      <c r="E83" s="6" t="s">
        <v>537</v>
      </c>
      <c r="F83" s="6">
        <v>13343</v>
      </c>
      <c r="G83" s="6" t="s">
        <v>28</v>
      </c>
      <c r="H83" s="6" t="s">
        <v>49</v>
      </c>
      <c r="I83" s="6" t="s">
        <v>417</v>
      </c>
      <c r="J83" s="6" t="s">
        <v>538</v>
      </c>
      <c r="K83" s="6">
        <v>1989</v>
      </c>
      <c r="L83" s="6">
        <v>94000</v>
      </c>
      <c r="M83" s="6" t="s">
        <v>539</v>
      </c>
      <c r="N83" s="6">
        <v>93</v>
      </c>
      <c r="O83" s="6">
        <v>1010.752688172043</v>
      </c>
      <c r="P83" s="6">
        <v>1336.3665627541341</v>
      </c>
      <c r="Q83" s="6">
        <v>1000</v>
      </c>
      <c r="R83" s="6">
        <v>2268.90756302521</v>
      </c>
      <c r="S83" s="6">
        <v>1010.752688172043</v>
      </c>
      <c r="T83" s="6">
        <v>10</v>
      </c>
      <c r="U83" s="6" t="s">
        <v>540</v>
      </c>
      <c r="V83" s="6">
        <v>225</v>
      </c>
      <c r="W83" s="6">
        <v>476.73133232939563</v>
      </c>
      <c r="X83" s="7">
        <f t="shared" si="4"/>
        <v>0.24365610728169484</v>
      </c>
      <c r="Y83" s="6" t="b">
        <f t="shared" si="5"/>
        <v>1</v>
      </c>
    </row>
    <row r="84" spans="1:25" x14ac:dyDescent="0.3">
      <c r="A84" s="6" t="s">
        <v>722</v>
      </c>
      <c r="B84" s="6" t="s">
        <v>34</v>
      </c>
      <c r="C84" s="6" t="s">
        <v>723</v>
      </c>
      <c r="D84" s="6" t="s">
        <v>724</v>
      </c>
      <c r="E84" s="6" t="s">
        <v>725</v>
      </c>
      <c r="F84" s="6">
        <v>10441</v>
      </c>
      <c r="G84" s="6" t="s">
        <v>28</v>
      </c>
      <c r="H84" s="6" t="s">
        <v>29</v>
      </c>
      <c r="I84" s="6" t="s">
        <v>30</v>
      </c>
      <c r="J84" s="6" t="s">
        <v>726</v>
      </c>
      <c r="K84" s="6">
        <v>2005</v>
      </c>
      <c r="L84" s="6">
        <v>190000</v>
      </c>
      <c r="M84" s="6" t="s">
        <v>727</v>
      </c>
      <c r="N84" s="6">
        <v>112</v>
      </c>
      <c r="O84" s="6">
        <v>1696.4285714285711</v>
      </c>
      <c r="P84" s="6">
        <v>2220.6754163337459</v>
      </c>
      <c r="Q84" s="6">
        <v>777.77777777777783</v>
      </c>
      <c r="R84" s="6">
        <v>4684.6846846846847</v>
      </c>
      <c r="S84" s="6">
        <v>2165.178571428572</v>
      </c>
      <c r="T84" s="6">
        <v>30</v>
      </c>
      <c r="U84" s="6" t="s">
        <v>728</v>
      </c>
      <c r="V84" s="6">
        <v>100</v>
      </c>
      <c r="W84" s="6">
        <v>762.73528633132855</v>
      </c>
      <c r="X84" s="7">
        <f t="shared" si="4"/>
        <v>0.23607540347822975</v>
      </c>
      <c r="Y84" s="6" t="b">
        <f t="shared" si="5"/>
        <v>1</v>
      </c>
    </row>
    <row r="85" spans="1:25" x14ac:dyDescent="0.3">
      <c r="A85" s="6" t="s">
        <v>390</v>
      </c>
      <c r="B85" s="6" t="s">
        <v>34</v>
      </c>
      <c r="C85" s="6" t="s">
        <v>391</v>
      </c>
      <c r="D85" s="6" t="s">
        <v>392</v>
      </c>
      <c r="E85" s="6" t="s">
        <v>393</v>
      </c>
      <c r="F85" s="6">
        <v>18863</v>
      </c>
      <c r="G85" s="6" t="s">
        <v>28</v>
      </c>
      <c r="H85" s="6" t="s">
        <v>84</v>
      </c>
      <c r="I85" s="6" t="s">
        <v>394</v>
      </c>
      <c r="J85" s="6" t="s">
        <v>395</v>
      </c>
      <c r="K85" s="6">
        <v>1975</v>
      </c>
      <c r="L85" s="6">
        <v>98000</v>
      </c>
      <c r="M85" s="6" t="s">
        <v>396</v>
      </c>
      <c r="N85" s="6">
        <v>122</v>
      </c>
      <c r="O85" s="6">
        <v>803.27868852459017</v>
      </c>
      <c r="P85" s="6">
        <v>1043.392679169878</v>
      </c>
      <c r="Q85" s="6">
        <v>803.27868852459017</v>
      </c>
      <c r="R85" s="6">
        <v>2321.428571428572</v>
      </c>
      <c r="S85" s="6">
        <v>803.27868852459017</v>
      </c>
      <c r="T85" s="6">
        <v>17</v>
      </c>
      <c r="U85" s="6" t="s">
        <v>397</v>
      </c>
      <c r="V85" s="6">
        <v>100</v>
      </c>
      <c r="W85" s="6">
        <v>426.99473405195761</v>
      </c>
      <c r="X85" s="7">
        <f t="shared" si="4"/>
        <v>0.23012811517550824</v>
      </c>
      <c r="Y85" s="6" t="b">
        <f t="shared" si="5"/>
        <v>1</v>
      </c>
    </row>
    <row r="86" spans="1:25" x14ac:dyDescent="0.3">
      <c r="A86" s="6" t="s">
        <v>670</v>
      </c>
      <c r="B86" s="6" t="s">
        <v>34</v>
      </c>
      <c r="C86" s="6" t="s">
        <v>671</v>
      </c>
      <c r="D86" s="6" t="s">
        <v>672</v>
      </c>
      <c r="E86" s="6" t="s">
        <v>673</v>
      </c>
      <c r="F86" s="6">
        <v>55133</v>
      </c>
      <c r="G86" s="6" t="s">
        <v>232</v>
      </c>
      <c r="H86" s="6" t="s">
        <v>233</v>
      </c>
      <c r="I86" s="6" t="s">
        <v>674</v>
      </c>
      <c r="J86" s="6" t="s">
        <v>675</v>
      </c>
      <c r="K86" s="6">
        <v>2003</v>
      </c>
      <c r="L86" s="6">
        <v>230000</v>
      </c>
      <c r="M86" s="6" t="s">
        <v>676</v>
      </c>
      <c r="N86" s="6">
        <v>94</v>
      </c>
      <c r="O86" s="6">
        <v>2446.8085106382978</v>
      </c>
      <c r="P86" s="6">
        <v>3145.568117909801</v>
      </c>
      <c r="Q86" s="6">
        <v>343.28358208955223</v>
      </c>
      <c r="R86" s="6">
        <v>4545.454545454545</v>
      </c>
      <c r="S86" s="6">
        <v>3065.6934306569342</v>
      </c>
      <c r="T86" s="6">
        <v>30</v>
      </c>
      <c r="U86" s="6" t="s">
        <v>677</v>
      </c>
      <c r="V86" s="6">
        <v>100</v>
      </c>
      <c r="W86" s="6">
        <v>779.71994578958902</v>
      </c>
      <c r="X86" s="7">
        <f t="shared" si="4"/>
        <v>0.22214098728080389</v>
      </c>
      <c r="Y86" s="6" t="b">
        <f t="shared" si="5"/>
        <v>1</v>
      </c>
    </row>
    <row r="87" spans="1:25" x14ac:dyDescent="0.3">
      <c r="A87" s="6" t="s">
        <v>691</v>
      </c>
      <c r="B87" s="6" t="s">
        <v>24</v>
      </c>
      <c r="C87" s="6" t="s">
        <v>692</v>
      </c>
      <c r="D87" s="6" t="s">
        <v>693</v>
      </c>
      <c r="E87" s="6" t="s">
        <v>694</v>
      </c>
      <c r="F87" s="6">
        <v>14121</v>
      </c>
      <c r="G87" s="6" t="s">
        <v>28</v>
      </c>
      <c r="H87" s="6" t="s">
        <v>260</v>
      </c>
      <c r="I87" s="6" t="s">
        <v>695</v>
      </c>
      <c r="J87" s="6" t="s">
        <v>696</v>
      </c>
      <c r="K87" s="6">
        <v>2004</v>
      </c>
      <c r="L87" s="6">
        <v>240000</v>
      </c>
      <c r="M87" s="6" t="s">
        <v>697</v>
      </c>
      <c r="N87" s="6">
        <v>82</v>
      </c>
      <c r="O87" s="6">
        <v>2926.8292682926831</v>
      </c>
      <c r="P87" s="6">
        <v>3756.801120603398</v>
      </c>
      <c r="Q87" s="6">
        <v>1982.7586206896549</v>
      </c>
      <c r="R87" s="6">
        <v>4534.8837209302328</v>
      </c>
      <c r="S87" s="6">
        <v>3950</v>
      </c>
      <c r="T87" s="6">
        <v>8</v>
      </c>
      <c r="U87" s="6" t="s">
        <v>698</v>
      </c>
      <c r="V87" s="6">
        <v>100</v>
      </c>
      <c r="W87" s="6">
        <v>788.65731375851624</v>
      </c>
      <c r="X87" s="7">
        <f t="shared" si="4"/>
        <v>0.22092515032507476</v>
      </c>
      <c r="Y87" s="6" t="b">
        <f t="shared" si="5"/>
        <v>1</v>
      </c>
    </row>
    <row r="88" spans="1:25" x14ac:dyDescent="0.3">
      <c r="A88" s="6" t="s">
        <v>833</v>
      </c>
      <c r="B88" s="6" t="s">
        <v>34</v>
      </c>
      <c r="C88" s="6" t="s">
        <v>834</v>
      </c>
      <c r="D88" s="6" t="s">
        <v>835</v>
      </c>
      <c r="E88" s="6" t="s">
        <v>836</v>
      </c>
      <c r="F88" s="6">
        <v>14122</v>
      </c>
      <c r="G88" s="6" t="s">
        <v>28</v>
      </c>
      <c r="H88" s="6" t="s">
        <v>260</v>
      </c>
      <c r="I88" s="6" t="s">
        <v>695</v>
      </c>
      <c r="J88" s="6" t="s">
        <v>837</v>
      </c>
      <c r="K88" s="6">
        <v>2007</v>
      </c>
      <c r="L88" s="6">
        <v>110000</v>
      </c>
      <c r="M88" s="6" t="s">
        <v>838</v>
      </c>
      <c r="N88" s="6">
        <v>52</v>
      </c>
      <c r="O88" s="6">
        <v>2115.3846153846148</v>
      </c>
      <c r="P88" s="6">
        <v>2698.450665406725</v>
      </c>
      <c r="Q88" s="6">
        <v>1833.333333333333</v>
      </c>
      <c r="R88" s="6">
        <v>3455.882352941177</v>
      </c>
      <c r="S88" s="6">
        <v>2694.117647058823</v>
      </c>
      <c r="T88" s="6">
        <v>6</v>
      </c>
      <c r="U88" s="6" t="s">
        <v>839</v>
      </c>
      <c r="V88" s="6">
        <v>150</v>
      </c>
      <c r="W88" s="6">
        <v>636.23370277133972</v>
      </c>
      <c r="X88" s="7">
        <f t="shared" si="4"/>
        <v>0.21607437834488896</v>
      </c>
      <c r="Y88" s="6" t="b">
        <f t="shared" si="5"/>
        <v>1</v>
      </c>
    </row>
    <row r="89" spans="1:25" x14ac:dyDescent="0.3">
      <c r="A89" s="6" t="s">
        <v>413</v>
      </c>
      <c r="B89" s="6" t="s">
        <v>34</v>
      </c>
      <c r="C89" s="6" t="s">
        <v>414</v>
      </c>
      <c r="D89" s="6" t="s">
        <v>415</v>
      </c>
      <c r="E89" s="6" t="s">
        <v>416</v>
      </c>
      <c r="F89" s="6">
        <v>13341</v>
      </c>
      <c r="G89" s="6" t="s">
        <v>28</v>
      </c>
      <c r="H89" s="6" t="s">
        <v>49</v>
      </c>
      <c r="I89" s="6" t="s">
        <v>417</v>
      </c>
      <c r="J89" s="6" t="s">
        <v>418</v>
      </c>
      <c r="K89" s="6">
        <v>1976</v>
      </c>
      <c r="L89" s="6">
        <v>50000</v>
      </c>
      <c r="M89" s="6" t="s">
        <v>419</v>
      </c>
      <c r="N89" s="6">
        <v>86</v>
      </c>
      <c r="O89" s="6">
        <v>581.39534883720933</v>
      </c>
      <c r="P89" s="6">
        <v>739.10739589659318</v>
      </c>
      <c r="Q89" s="6">
        <v>537.63440860215053</v>
      </c>
      <c r="R89" s="6">
        <v>1571.4285714285711</v>
      </c>
      <c r="S89" s="6">
        <v>581.39534883720933</v>
      </c>
      <c r="T89" s="6">
        <v>6</v>
      </c>
      <c r="U89" s="6" t="s">
        <v>420</v>
      </c>
      <c r="V89" s="6">
        <v>100</v>
      </c>
      <c r="W89" s="6">
        <v>408.12798556308923</v>
      </c>
      <c r="X89" s="7">
        <f t="shared" si="4"/>
        <v>0.21338177365694899</v>
      </c>
      <c r="Y89" s="6" t="b">
        <f t="shared" si="5"/>
        <v>1</v>
      </c>
    </row>
    <row r="90" spans="1:25" x14ac:dyDescent="0.3">
      <c r="A90" s="6" t="s">
        <v>507</v>
      </c>
      <c r="B90" s="6" t="s">
        <v>34</v>
      </c>
      <c r="C90" s="6" t="s">
        <v>508</v>
      </c>
      <c r="D90" s="6" t="s">
        <v>509</v>
      </c>
      <c r="E90" s="6" t="s">
        <v>510</v>
      </c>
      <c r="F90" s="6">
        <v>11364</v>
      </c>
      <c r="G90" s="6" t="s">
        <v>28</v>
      </c>
      <c r="H90" s="6" t="s">
        <v>29</v>
      </c>
      <c r="I90" s="6" t="s">
        <v>30</v>
      </c>
      <c r="J90" s="6" t="s">
        <v>511</v>
      </c>
      <c r="K90" s="6">
        <v>1987</v>
      </c>
      <c r="L90" s="6">
        <v>200000</v>
      </c>
      <c r="M90" s="6" t="s">
        <v>512</v>
      </c>
      <c r="N90" s="6">
        <v>113</v>
      </c>
      <c r="O90" s="6">
        <v>1769.911504424779</v>
      </c>
      <c r="P90" s="6">
        <v>2249.5238095238101</v>
      </c>
      <c r="Q90" s="6">
        <v>2000</v>
      </c>
      <c r="R90" s="6">
        <v>2571.428571428572</v>
      </c>
      <c r="S90" s="6">
        <v>2100</v>
      </c>
      <c r="T90" s="6">
        <v>5</v>
      </c>
      <c r="U90" s="6" t="s">
        <v>513</v>
      </c>
      <c r="V90" s="6">
        <v>100</v>
      </c>
      <c r="W90" s="6">
        <v>255.91860242225391</v>
      </c>
      <c r="X90" s="7">
        <f t="shared" si="4"/>
        <v>0.21320614748263444</v>
      </c>
      <c r="Y90" s="6" t="b">
        <f t="shared" si="5"/>
        <v>1</v>
      </c>
    </row>
    <row r="91" spans="1:25" x14ac:dyDescent="0.3">
      <c r="A91" s="6" t="s">
        <v>490</v>
      </c>
      <c r="B91" s="6" t="s">
        <v>34</v>
      </c>
      <c r="C91" s="6" t="s">
        <v>491</v>
      </c>
      <c r="D91" s="6" t="s">
        <v>492</v>
      </c>
      <c r="E91" s="6" t="s">
        <v>493</v>
      </c>
      <c r="F91" s="6">
        <v>56334</v>
      </c>
      <c r="G91" s="6" t="s">
        <v>232</v>
      </c>
      <c r="H91" s="6" t="s">
        <v>233</v>
      </c>
      <c r="I91" s="6" t="s">
        <v>494</v>
      </c>
      <c r="J91" s="6" t="s">
        <v>495</v>
      </c>
      <c r="K91" s="6">
        <v>1982</v>
      </c>
      <c r="L91" s="6">
        <v>120000</v>
      </c>
      <c r="M91" s="6" t="s">
        <v>496</v>
      </c>
      <c r="N91" s="6">
        <v>93</v>
      </c>
      <c r="O91" s="6">
        <v>1290.322580645161</v>
      </c>
      <c r="P91" s="6">
        <v>1620.66464203092</v>
      </c>
      <c r="Q91" s="6">
        <v>1000</v>
      </c>
      <c r="R91" s="6">
        <v>3043.1034482758619</v>
      </c>
      <c r="S91" s="6">
        <v>1311.2280701754389</v>
      </c>
      <c r="T91" s="6">
        <v>18</v>
      </c>
      <c r="U91" s="6" t="s">
        <v>497</v>
      </c>
      <c r="V91" s="6">
        <v>100</v>
      </c>
      <c r="W91" s="6">
        <v>519.7238297416427</v>
      </c>
      <c r="X91" s="7">
        <f t="shared" si="4"/>
        <v>0.20383122628737926</v>
      </c>
      <c r="Y91" s="6" t="b">
        <f t="shared" si="5"/>
        <v>1</v>
      </c>
    </row>
    <row r="92" spans="1:25" x14ac:dyDescent="0.3">
      <c r="A92" s="6" t="s">
        <v>522</v>
      </c>
      <c r="B92" s="6" t="s">
        <v>34</v>
      </c>
      <c r="C92" s="6" t="s">
        <v>523</v>
      </c>
      <c r="D92" s="6" t="s">
        <v>524</v>
      </c>
      <c r="E92" s="6" t="s">
        <v>525</v>
      </c>
      <c r="F92" s="6">
        <v>56334</v>
      </c>
      <c r="G92" s="6" t="s">
        <v>232</v>
      </c>
      <c r="H92" s="6" t="s">
        <v>233</v>
      </c>
      <c r="I92" s="6" t="s">
        <v>494</v>
      </c>
      <c r="J92" s="6" t="s">
        <v>526</v>
      </c>
      <c r="K92" s="6">
        <v>1988</v>
      </c>
      <c r="L92" s="6">
        <v>111000</v>
      </c>
      <c r="M92" s="6" t="s">
        <v>527</v>
      </c>
      <c r="N92" s="6">
        <v>103</v>
      </c>
      <c r="O92" s="6">
        <v>1077.669902912621</v>
      </c>
      <c r="P92" s="6">
        <v>1340.916429142032</v>
      </c>
      <c r="Q92" s="6">
        <v>793.65079365079362</v>
      </c>
      <c r="R92" s="6">
        <v>1785.714285714286</v>
      </c>
      <c r="S92" s="6">
        <v>1377.347417840376</v>
      </c>
      <c r="T92" s="6">
        <v>10</v>
      </c>
      <c r="U92" s="6" t="s">
        <v>528</v>
      </c>
      <c r="V92" s="6">
        <v>150</v>
      </c>
      <c r="W92" s="6">
        <v>291.39984817984111</v>
      </c>
      <c r="X92" s="7">
        <f t="shared" si="4"/>
        <v>0.196318368921653</v>
      </c>
      <c r="Y92" s="6" t="b">
        <f t="shared" si="5"/>
        <v>1</v>
      </c>
    </row>
    <row r="93" spans="1:25" x14ac:dyDescent="0.3">
      <c r="A93" s="6" t="s">
        <v>709</v>
      </c>
      <c r="B93" s="6" t="s">
        <v>34</v>
      </c>
      <c r="C93" s="6" t="s">
        <v>220</v>
      </c>
      <c r="D93" s="6" t="s">
        <v>710</v>
      </c>
      <c r="E93" s="6" t="s">
        <v>711</v>
      </c>
      <c r="F93" s="6">
        <v>18546</v>
      </c>
      <c r="G93" s="6" t="s">
        <v>28</v>
      </c>
      <c r="H93" s="6" t="s">
        <v>84</v>
      </c>
      <c r="I93" s="6" t="s">
        <v>84</v>
      </c>
      <c r="J93" s="6" t="s">
        <v>712</v>
      </c>
      <c r="K93" s="6">
        <v>2004</v>
      </c>
      <c r="L93" s="6">
        <v>167000</v>
      </c>
      <c r="M93" s="6" t="s">
        <v>713</v>
      </c>
      <c r="N93" s="6">
        <v>95</v>
      </c>
      <c r="O93" s="6">
        <v>1757.894736842105</v>
      </c>
      <c r="P93" s="6">
        <v>2143.3084735009779</v>
      </c>
      <c r="Q93" s="6">
        <v>681.81818181818187</v>
      </c>
      <c r="R93" s="6">
        <v>3305.0847457627119</v>
      </c>
      <c r="S93" s="6">
        <v>2252.7777777777778</v>
      </c>
      <c r="T93" s="6">
        <v>8</v>
      </c>
      <c r="U93" s="6" t="s">
        <v>714</v>
      </c>
      <c r="V93" s="6">
        <v>100</v>
      </c>
      <c r="W93" s="6">
        <v>1059.986314217015</v>
      </c>
      <c r="X93" s="7">
        <f t="shared" si="4"/>
        <v>0.179821869518073</v>
      </c>
      <c r="Y93" s="6" t="b">
        <f t="shared" si="5"/>
        <v>1</v>
      </c>
    </row>
    <row r="94" spans="1:25" x14ac:dyDescent="0.3">
      <c r="A94" s="6" t="s">
        <v>840</v>
      </c>
      <c r="B94" s="6" t="s">
        <v>34</v>
      </c>
      <c r="C94" s="6" t="s">
        <v>841</v>
      </c>
      <c r="D94" s="6" t="s">
        <v>842</v>
      </c>
      <c r="E94" s="6" t="s">
        <v>843</v>
      </c>
      <c r="F94" s="6">
        <v>57200</v>
      </c>
      <c r="G94" s="6" t="s">
        <v>232</v>
      </c>
      <c r="H94" s="6" t="s">
        <v>233</v>
      </c>
      <c r="I94" s="6" t="s">
        <v>804</v>
      </c>
      <c r="J94" s="6" t="s">
        <v>844</v>
      </c>
      <c r="K94" s="6">
        <v>2007</v>
      </c>
      <c r="L94" s="6">
        <v>163000</v>
      </c>
      <c r="M94" s="6" t="s">
        <v>845</v>
      </c>
      <c r="N94" s="6">
        <v>192</v>
      </c>
      <c r="O94" s="6">
        <v>848.95833333333337</v>
      </c>
      <c r="P94" s="6">
        <v>1021.23566928714</v>
      </c>
      <c r="Q94" s="6">
        <v>666.66666666666663</v>
      </c>
      <c r="R94" s="6">
        <v>1370.37037037037</v>
      </c>
      <c r="S94" s="6">
        <v>1000</v>
      </c>
      <c r="T94" s="6">
        <v>10</v>
      </c>
      <c r="U94" s="6" t="s">
        <v>846</v>
      </c>
      <c r="V94" s="6">
        <v>100</v>
      </c>
      <c r="W94" s="6">
        <v>216.3745581411543</v>
      </c>
      <c r="X94" s="7">
        <f t="shared" si="4"/>
        <v>0.16869498504107538</v>
      </c>
      <c r="Y94" s="6" t="b">
        <f t="shared" si="5"/>
        <v>1</v>
      </c>
    </row>
    <row r="95" spans="1:25" x14ac:dyDescent="0.3">
      <c r="A95" s="6" t="s">
        <v>652</v>
      </c>
      <c r="B95" s="6" t="s">
        <v>34</v>
      </c>
      <c r="C95" s="6" t="s">
        <v>653</v>
      </c>
      <c r="D95" s="6" t="s">
        <v>654</v>
      </c>
      <c r="E95" s="6" t="s">
        <v>655</v>
      </c>
      <c r="F95" s="6">
        <v>10446</v>
      </c>
      <c r="G95" s="6" t="s">
        <v>28</v>
      </c>
      <c r="H95" s="6" t="s">
        <v>29</v>
      </c>
      <c r="I95" s="6" t="s">
        <v>30</v>
      </c>
      <c r="J95" s="6" t="s">
        <v>190</v>
      </c>
      <c r="K95" s="6">
        <v>2003</v>
      </c>
      <c r="L95" s="6">
        <v>148000</v>
      </c>
      <c r="M95" s="6" t="s">
        <v>656</v>
      </c>
      <c r="N95" s="6">
        <v>77</v>
      </c>
      <c r="O95" s="6">
        <v>1922.077922077922</v>
      </c>
      <c r="P95" s="6">
        <v>2305.3371509068411</v>
      </c>
      <c r="Q95" s="6">
        <v>1300</v>
      </c>
      <c r="R95" s="6">
        <v>3553.1914893617022</v>
      </c>
      <c r="S95" s="6">
        <v>2408.301158301158</v>
      </c>
      <c r="T95" s="6">
        <v>30</v>
      </c>
      <c r="U95" s="6" t="s">
        <v>192</v>
      </c>
      <c r="V95" s="6">
        <v>100</v>
      </c>
      <c r="W95" s="6">
        <v>601.82738233318651</v>
      </c>
      <c r="X95" s="7">
        <f t="shared" ref="X95:X125" si="6">(1-O95/P95)</f>
        <v>0.16624866721909115</v>
      </c>
      <c r="Y95" s="6" t="b">
        <f t="shared" ref="Y95:Y125" si="7">IF(O95&lt;P95,TRUE,FALSE)</f>
        <v>1</v>
      </c>
    </row>
    <row r="96" spans="1:25" x14ac:dyDescent="0.3">
      <c r="A96" s="6" t="s">
        <v>354</v>
      </c>
      <c r="B96" s="6" t="s">
        <v>34</v>
      </c>
      <c r="C96" s="6" t="s">
        <v>355</v>
      </c>
      <c r="D96" s="6" t="s">
        <v>356</v>
      </c>
      <c r="E96" s="6" t="s">
        <v>357</v>
      </c>
      <c r="F96" s="6">
        <v>19100</v>
      </c>
      <c r="G96" s="6" t="s">
        <v>28</v>
      </c>
      <c r="H96" s="6" t="s">
        <v>49</v>
      </c>
      <c r="I96" s="6" t="s">
        <v>50</v>
      </c>
      <c r="J96" s="6" t="s">
        <v>358</v>
      </c>
      <c r="K96" s="6">
        <v>1972</v>
      </c>
      <c r="L96" s="6">
        <v>71000</v>
      </c>
      <c r="M96" s="6" t="s">
        <v>359</v>
      </c>
      <c r="N96" s="6">
        <v>113</v>
      </c>
      <c r="O96" s="6">
        <v>628.31858407079642</v>
      </c>
      <c r="P96" s="6">
        <v>751.2229702628465</v>
      </c>
      <c r="Q96" s="6">
        <v>628.31858407079642</v>
      </c>
      <c r="R96" s="6">
        <v>1325.301204819277</v>
      </c>
      <c r="S96" s="6">
        <v>628.31858407079642</v>
      </c>
      <c r="T96" s="6">
        <v>7</v>
      </c>
      <c r="U96" s="6" t="s">
        <v>360</v>
      </c>
      <c r="V96" s="6">
        <v>100</v>
      </c>
      <c r="W96" s="6">
        <v>260.36159237249751</v>
      </c>
      <c r="X96" s="7">
        <f t="shared" si="6"/>
        <v>0.16360573499109976</v>
      </c>
      <c r="Y96" s="6" t="b">
        <f t="shared" si="7"/>
        <v>1</v>
      </c>
    </row>
    <row r="97" spans="1:25" x14ac:dyDescent="0.3">
      <c r="A97" s="6" t="s">
        <v>459</v>
      </c>
      <c r="B97" s="6" t="s">
        <v>34</v>
      </c>
      <c r="C97" s="6" t="s">
        <v>460</v>
      </c>
      <c r="D97" s="6" t="s">
        <v>461</v>
      </c>
      <c r="E97" s="6" t="s">
        <v>462</v>
      </c>
      <c r="F97" s="6">
        <v>12244</v>
      </c>
      <c r="G97" s="6" t="s">
        <v>28</v>
      </c>
      <c r="H97" s="6" t="s">
        <v>40</v>
      </c>
      <c r="I97" s="6" t="s">
        <v>463</v>
      </c>
      <c r="J97" s="6" t="s">
        <v>464</v>
      </c>
      <c r="K97" s="6">
        <v>1980</v>
      </c>
      <c r="L97" s="6">
        <v>145000</v>
      </c>
      <c r="M97" s="6" t="s">
        <v>465</v>
      </c>
      <c r="N97" s="6">
        <v>105</v>
      </c>
      <c r="O97" s="6">
        <v>1380.952380952381</v>
      </c>
      <c r="P97" s="6">
        <v>1645.474870026454</v>
      </c>
      <c r="Q97" s="6">
        <v>1013.986013986014</v>
      </c>
      <c r="R97" s="6">
        <v>3272.727272727273</v>
      </c>
      <c r="S97" s="6">
        <v>1380.952380952381</v>
      </c>
      <c r="T97" s="6">
        <v>21</v>
      </c>
      <c r="U97" s="6" t="s">
        <v>466</v>
      </c>
      <c r="V97" s="6">
        <v>100</v>
      </c>
      <c r="W97" s="6">
        <v>537.69020178213327</v>
      </c>
      <c r="X97" s="7">
        <f t="shared" si="6"/>
        <v>0.16075753807763737</v>
      </c>
      <c r="Y97" s="6" t="b">
        <f t="shared" si="7"/>
        <v>1</v>
      </c>
    </row>
    <row r="98" spans="1:25" x14ac:dyDescent="0.3">
      <c r="A98" s="6" t="s">
        <v>273</v>
      </c>
      <c r="B98" s="6" t="s">
        <v>34</v>
      </c>
      <c r="C98" s="6" t="s">
        <v>274</v>
      </c>
      <c r="D98" s="6" t="s">
        <v>275</v>
      </c>
      <c r="E98" s="6" t="s">
        <v>276</v>
      </c>
      <c r="F98" s="6">
        <v>11741</v>
      </c>
      <c r="G98" s="6" t="s">
        <v>28</v>
      </c>
      <c r="H98" s="6" t="s">
        <v>29</v>
      </c>
      <c r="I98" s="6" t="s">
        <v>30</v>
      </c>
      <c r="J98" s="6" t="s">
        <v>277</v>
      </c>
      <c r="K98" s="6">
        <v>1969</v>
      </c>
      <c r="L98" s="6">
        <v>550000</v>
      </c>
      <c r="M98" s="6" t="s">
        <v>278</v>
      </c>
      <c r="N98" s="6">
        <v>180</v>
      </c>
      <c r="O98" s="6">
        <v>3055.5555555555561</v>
      </c>
      <c r="P98" s="6">
        <v>3572.2804624672199</v>
      </c>
      <c r="Q98" s="6">
        <v>2500</v>
      </c>
      <c r="R98" s="6">
        <v>5769.2307692307704</v>
      </c>
      <c r="S98" s="6">
        <v>3333.333333333333</v>
      </c>
      <c r="T98" s="6">
        <v>30</v>
      </c>
      <c r="U98" s="6" t="s">
        <v>279</v>
      </c>
      <c r="V98" s="6">
        <v>100</v>
      </c>
      <c r="W98" s="6">
        <v>734.90761586975452</v>
      </c>
      <c r="X98" s="7">
        <f t="shared" si="6"/>
        <v>0.14464847100912792</v>
      </c>
      <c r="Y98" s="6" t="b">
        <f t="shared" si="7"/>
        <v>1</v>
      </c>
    </row>
    <row r="99" spans="1:25" x14ac:dyDescent="0.3">
      <c r="A99" s="6" t="s">
        <v>758</v>
      </c>
      <c r="B99" s="6" t="s">
        <v>34</v>
      </c>
      <c r="C99" s="6" t="s">
        <v>759</v>
      </c>
      <c r="D99" s="6" t="s">
        <v>760</v>
      </c>
      <c r="E99" s="6" t="s">
        <v>761</v>
      </c>
      <c r="F99" s="6">
        <v>19003</v>
      </c>
      <c r="G99" s="6" t="s">
        <v>28</v>
      </c>
      <c r="H99" s="6" t="s">
        <v>341</v>
      </c>
      <c r="I99" s="6" t="s">
        <v>506</v>
      </c>
      <c r="J99" s="6" t="s">
        <v>762</v>
      </c>
      <c r="K99" s="6">
        <v>2005</v>
      </c>
      <c r="L99" s="6">
        <v>93000</v>
      </c>
      <c r="M99" s="6" t="s">
        <v>763</v>
      </c>
      <c r="N99" s="6">
        <v>80</v>
      </c>
      <c r="O99" s="6">
        <v>1162.5</v>
      </c>
      <c r="P99" s="6">
        <v>1354.7303267973859</v>
      </c>
      <c r="Q99" s="6">
        <v>1162.5</v>
      </c>
      <c r="R99" s="6">
        <v>2444.4444444444439</v>
      </c>
      <c r="S99" s="6">
        <v>1162.5</v>
      </c>
      <c r="T99" s="6">
        <v>10</v>
      </c>
      <c r="U99" s="6" t="s">
        <v>764</v>
      </c>
      <c r="V99" s="6">
        <v>100</v>
      </c>
      <c r="W99" s="6">
        <v>432.55262956696322</v>
      </c>
      <c r="X99" s="7">
        <f t="shared" si="6"/>
        <v>0.14189564003621513</v>
      </c>
      <c r="Y99" s="6" t="b">
        <f t="shared" si="7"/>
        <v>1</v>
      </c>
    </row>
    <row r="100" spans="1:25" x14ac:dyDescent="0.3">
      <c r="A100" s="6" t="s">
        <v>685</v>
      </c>
      <c r="B100" s="6" t="s">
        <v>34</v>
      </c>
      <c r="C100" s="6" t="s">
        <v>187</v>
      </c>
      <c r="D100" s="6" t="s">
        <v>686</v>
      </c>
      <c r="E100" s="6" t="s">
        <v>687</v>
      </c>
      <c r="F100" s="6">
        <v>11251</v>
      </c>
      <c r="G100" s="6" t="s">
        <v>28</v>
      </c>
      <c r="H100" s="6" t="s">
        <v>29</v>
      </c>
      <c r="I100" s="6" t="s">
        <v>30</v>
      </c>
      <c r="J100" s="6" t="s">
        <v>688</v>
      </c>
      <c r="K100" s="6">
        <v>2004</v>
      </c>
      <c r="L100" s="6">
        <v>160000</v>
      </c>
      <c r="M100" s="6" t="s">
        <v>689</v>
      </c>
      <c r="N100" s="6">
        <v>101</v>
      </c>
      <c r="O100" s="6">
        <v>1584.158415841584</v>
      </c>
      <c r="P100" s="6">
        <v>1845.1519909296451</v>
      </c>
      <c r="Q100" s="6">
        <v>1079.545454545455</v>
      </c>
      <c r="R100" s="6">
        <v>2692.3076923076919</v>
      </c>
      <c r="S100" s="6">
        <v>1886.9047619047619</v>
      </c>
      <c r="T100" s="6">
        <v>30</v>
      </c>
      <c r="U100" s="6" t="s">
        <v>690</v>
      </c>
      <c r="V100" s="6">
        <v>100</v>
      </c>
      <c r="W100" s="6">
        <v>408.60958603424348</v>
      </c>
      <c r="X100" s="7">
        <f t="shared" si="6"/>
        <v>0.14144827980082253</v>
      </c>
      <c r="Y100" s="6" t="b">
        <f t="shared" si="7"/>
        <v>1</v>
      </c>
    </row>
    <row r="101" spans="1:25" x14ac:dyDescent="0.3">
      <c r="A101" s="6" t="s">
        <v>821</v>
      </c>
      <c r="B101" s="6" t="s">
        <v>24</v>
      </c>
      <c r="C101" s="6" t="s">
        <v>822</v>
      </c>
      <c r="D101" s="6" t="s">
        <v>823</v>
      </c>
      <c r="E101" s="6" t="s">
        <v>824</v>
      </c>
      <c r="F101" s="6">
        <v>14568</v>
      </c>
      <c r="G101" s="6" t="s">
        <v>28</v>
      </c>
      <c r="H101" s="6" t="s">
        <v>341</v>
      </c>
      <c r="I101" s="6" t="s">
        <v>489</v>
      </c>
      <c r="J101" s="6" t="s">
        <v>825</v>
      </c>
      <c r="K101" s="6">
        <v>2007</v>
      </c>
      <c r="L101" s="6">
        <v>144000</v>
      </c>
      <c r="M101" s="6" t="s">
        <v>826</v>
      </c>
      <c r="N101" s="6">
        <v>80</v>
      </c>
      <c r="O101" s="6">
        <v>1800</v>
      </c>
      <c r="P101" s="6">
        <v>2084.256628787879</v>
      </c>
      <c r="Q101" s="6">
        <v>1795.454545454545</v>
      </c>
      <c r="R101" s="6">
        <v>5000</v>
      </c>
      <c r="S101" s="6">
        <v>1800</v>
      </c>
      <c r="T101" s="6">
        <v>16</v>
      </c>
      <c r="U101" s="6" t="s">
        <v>827</v>
      </c>
      <c r="V101" s="6">
        <v>100</v>
      </c>
      <c r="W101" s="6">
        <v>807.3447441006972</v>
      </c>
      <c r="X101" s="7">
        <f t="shared" si="6"/>
        <v>0.13638273946773594</v>
      </c>
      <c r="Y101" s="6" t="b">
        <f t="shared" si="7"/>
        <v>1</v>
      </c>
    </row>
    <row r="102" spans="1:25" x14ac:dyDescent="0.3">
      <c r="A102" s="6" t="s">
        <v>664</v>
      </c>
      <c r="B102" s="6" t="s">
        <v>34</v>
      </c>
      <c r="C102" s="6" t="s">
        <v>338</v>
      </c>
      <c r="D102" s="6" t="s">
        <v>665</v>
      </c>
      <c r="E102" s="6" t="s">
        <v>666</v>
      </c>
      <c r="F102" s="6">
        <v>13674</v>
      </c>
      <c r="G102" s="6" t="s">
        <v>28</v>
      </c>
      <c r="H102" s="6" t="s">
        <v>341</v>
      </c>
      <c r="I102" s="6" t="s">
        <v>342</v>
      </c>
      <c r="J102" s="6" t="s">
        <v>667</v>
      </c>
      <c r="K102" s="6">
        <v>2003</v>
      </c>
      <c r="L102" s="6">
        <v>135000</v>
      </c>
      <c r="M102" s="6" t="s">
        <v>668</v>
      </c>
      <c r="N102" s="6">
        <v>102</v>
      </c>
      <c r="O102" s="6">
        <v>1323.5294117647061</v>
      </c>
      <c r="P102" s="6">
        <v>1526.077295761708</v>
      </c>
      <c r="Q102" s="6">
        <v>1310.679611650485</v>
      </c>
      <c r="R102" s="6">
        <v>3035.7142857142858</v>
      </c>
      <c r="S102" s="6">
        <v>1388.5913664394679</v>
      </c>
      <c r="T102" s="6">
        <v>10</v>
      </c>
      <c r="U102" s="6" t="s">
        <v>669</v>
      </c>
      <c r="V102" s="6">
        <v>100</v>
      </c>
      <c r="W102" s="6">
        <v>531.95916873134888</v>
      </c>
      <c r="X102" s="7">
        <f t="shared" si="6"/>
        <v>0.13272452487139885</v>
      </c>
      <c r="Y102" s="6" t="b">
        <f t="shared" si="7"/>
        <v>1</v>
      </c>
    </row>
    <row r="103" spans="1:25" x14ac:dyDescent="0.3">
      <c r="A103" s="6" t="s">
        <v>301</v>
      </c>
      <c r="B103" s="6" t="s">
        <v>34</v>
      </c>
      <c r="C103" s="6" t="s">
        <v>302</v>
      </c>
      <c r="D103" s="6" t="s">
        <v>303</v>
      </c>
      <c r="E103" s="6" t="s">
        <v>304</v>
      </c>
      <c r="F103" s="6">
        <v>11143</v>
      </c>
      <c r="G103" s="6" t="s">
        <v>28</v>
      </c>
      <c r="H103" s="6" t="s">
        <v>29</v>
      </c>
      <c r="I103" s="6" t="s">
        <v>30</v>
      </c>
      <c r="J103" s="6" t="s">
        <v>305</v>
      </c>
      <c r="K103" s="6">
        <v>1971</v>
      </c>
      <c r="L103" s="6">
        <v>196000</v>
      </c>
      <c r="M103" s="6" t="s">
        <v>306</v>
      </c>
      <c r="N103" s="6">
        <v>110</v>
      </c>
      <c r="O103" s="6">
        <v>1781.818181818182</v>
      </c>
      <c r="P103" s="6">
        <v>2026.104111522139</v>
      </c>
      <c r="Q103" s="6">
        <v>1390</v>
      </c>
      <c r="R103" s="6">
        <v>2906.9767441860458</v>
      </c>
      <c r="S103" s="6">
        <v>1862.5</v>
      </c>
      <c r="T103" s="6">
        <v>30</v>
      </c>
      <c r="U103" s="6" t="s">
        <v>307</v>
      </c>
      <c r="V103" s="6">
        <v>100</v>
      </c>
      <c r="W103" s="6">
        <v>353.41875514881428</v>
      </c>
      <c r="X103" s="7">
        <f t="shared" si="6"/>
        <v>0.12056928778473963</v>
      </c>
      <c r="Y103" s="6" t="b">
        <f t="shared" si="7"/>
        <v>1</v>
      </c>
    </row>
    <row r="104" spans="1:25" x14ac:dyDescent="0.3">
      <c r="A104" s="6" t="s">
        <v>678</v>
      </c>
      <c r="B104" s="6" t="s">
        <v>34</v>
      </c>
      <c r="C104" s="6" t="s">
        <v>679</v>
      </c>
      <c r="D104" s="6" t="s">
        <v>680</v>
      </c>
      <c r="E104" s="6" t="s">
        <v>681</v>
      </c>
      <c r="F104" s="6">
        <v>56224</v>
      </c>
      <c r="G104" s="6" t="s">
        <v>232</v>
      </c>
      <c r="H104" s="6" t="s">
        <v>233</v>
      </c>
      <c r="I104" s="6" t="s">
        <v>494</v>
      </c>
      <c r="J104" s="6" t="s">
        <v>682</v>
      </c>
      <c r="K104" s="6">
        <v>2003</v>
      </c>
      <c r="L104" s="6">
        <v>75000</v>
      </c>
      <c r="M104" s="6" t="s">
        <v>683</v>
      </c>
      <c r="N104" s="6">
        <v>76</v>
      </c>
      <c r="O104" s="6">
        <v>986.84210526315792</v>
      </c>
      <c r="P104" s="6">
        <v>1113.5122245990531</v>
      </c>
      <c r="Q104" s="6">
        <v>325</v>
      </c>
      <c r="R104" s="6">
        <v>2148.1481481481478</v>
      </c>
      <c r="S104" s="6">
        <v>1054.9450549450551</v>
      </c>
      <c r="T104" s="6">
        <v>14</v>
      </c>
      <c r="U104" s="6" t="s">
        <v>684</v>
      </c>
      <c r="V104" s="6">
        <v>100</v>
      </c>
      <c r="W104" s="6">
        <v>426.5545965425963</v>
      </c>
      <c r="X104" s="7">
        <f t="shared" si="6"/>
        <v>0.11375727768189148</v>
      </c>
      <c r="Y104" s="6" t="b">
        <f t="shared" si="7"/>
        <v>1</v>
      </c>
    </row>
    <row r="105" spans="1:25" x14ac:dyDescent="0.3">
      <c r="A105" s="6" t="s">
        <v>861</v>
      </c>
      <c r="B105" s="6" t="s">
        <v>34</v>
      </c>
      <c r="C105" s="6" t="s">
        <v>862</v>
      </c>
      <c r="D105" s="6" t="s">
        <v>863</v>
      </c>
      <c r="E105" s="6" t="s">
        <v>864</v>
      </c>
      <c r="F105" s="6">
        <v>57500</v>
      </c>
      <c r="G105" s="6" t="s">
        <v>232</v>
      </c>
      <c r="H105" s="6" t="s">
        <v>233</v>
      </c>
      <c r="I105" s="6" t="s">
        <v>633</v>
      </c>
      <c r="J105" s="6" t="s">
        <v>865</v>
      </c>
      <c r="K105" s="6">
        <v>2008</v>
      </c>
      <c r="L105" s="6">
        <v>153000</v>
      </c>
      <c r="M105" s="6" t="s">
        <v>866</v>
      </c>
      <c r="N105" s="6">
        <v>125</v>
      </c>
      <c r="O105" s="6">
        <v>1224</v>
      </c>
      <c r="P105" s="6">
        <v>1362.0646173368009</v>
      </c>
      <c r="Q105" s="6">
        <v>1224</v>
      </c>
      <c r="R105" s="6">
        <v>1779.661016949153</v>
      </c>
      <c r="S105" s="6">
        <v>1224</v>
      </c>
      <c r="T105" s="6">
        <v>11</v>
      </c>
      <c r="U105" s="6" t="s">
        <v>867</v>
      </c>
      <c r="V105" s="6">
        <v>100</v>
      </c>
      <c r="W105" s="6">
        <v>187.3026317354088</v>
      </c>
      <c r="X105" s="7">
        <f t="shared" si="6"/>
        <v>0.10136421986113553</v>
      </c>
      <c r="Y105" s="6" t="b">
        <f t="shared" si="7"/>
        <v>1</v>
      </c>
    </row>
    <row r="106" spans="1:25" x14ac:dyDescent="0.3">
      <c r="A106" s="6" t="s">
        <v>715</v>
      </c>
      <c r="B106" s="6" t="s">
        <v>34</v>
      </c>
      <c r="C106" s="6" t="s">
        <v>716</v>
      </c>
      <c r="D106" s="6" t="s">
        <v>717</v>
      </c>
      <c r="E106" s="6" t="s">
        <v>718</v>
      </c>
      <c r="F106" s="6">
        <v>11254</v>
      </c>
      <c r="G106" s="6" t="s">
        <v>28</v>
      </c>
      <c r="H106" s="6" t="s">
        <v>29</v>
      </c>
      <c r="I106" s="6" t="s">
        <v>30</v>
      </c>
      <c r="J106" s="6" t="s">
        <v>719</v>
      </c>
      <c r="K106" s="6">
        <v>2005</v>
      </c>
      <c r="L106" s="6">
        <v>185000</v>
      </c>
      <c r="M106" s="6" t="s">
        <v>720</v>
      </c>
      <c r="N106" s="6">
        <v>95</v>
      </c>
      <c r="O106" s="6">
        <v>1947.3684210526319</v>
      </c>
      <c r="P106" s="6">
        <v>2166.584497769622</v>
      </c>
      <c r="Q106" s="6">
        <v>1040</v>
      </c>
      <c r="R106" s="6">
        <v>3614.457831325301</v>
      </c>
      <c r="S106" s="6">
        <v>1973.6842105263161</v>
      </c>
      <c r="T106" s="6">
        <v>30</v>
      </c>
      <c r="U106" s="6" t="s">
        <v>721</v>
      </c>
      <c r="V106" s="6">
        <v>100</v>
      </c>
      <c r="W106" s="6">
        <v>657.92394725708516</v>
      </c>
      <c r="X106" s="7">
        <f t="shared" si="6"/>
        <v>0.10118048797204116</v>
      </c>
      <c r="Y106" s="6" t="b">
        <f t="shared" si="7"/>
        <v>1</v>
      </c>
    </row>
    <row r="107" spans="1:25" x14ac:dyDescent="0.3">
      <c r="A107" s="6" t="s">
        <v>657</v>
      </c>
      <c r="B107" s="6" t="s">
        <v>34</v>
      </c>
      <c r="C107" s="6" t="s">
        <v>658</v>
      </c>
      <c r="D107" s="6" t="s">
        <v>659</v>
      </c>
      <c r="E107" s="6" t="s">
        <v>660</v>
      </c>
      <c r="F107" s="6">
        <v>13674</v>
      </c>
      <c r="G107" s="6" t="s">
        <v>28</v>
      </c>
      <c r="H107" s="6" t="s">
        <v>341</v>
      </c>
      <c r="I107" s="6" t="s">
        <v>342</v>
      </c>
      <c r="J107" s="6" t="s">
        <v>661</v>
      </c>
      <c r="K107" s="6">
        <v>2003</v>
      </c>
      <c r="L107" s="6">
        <v>109000</v>
      </c>
      <c r="M107" s="6" t="s">
        <v>662</v>
      </c>
      <c r="N107" s="6">
        <v>78</v>
      </c>
      <c r="O107" s="6">
        <v>1397.435897435897</v>
      </c>
      <c r="P107" s="6">
        <v>1526.077295761708</v>
      </c>
      <c r="Q107" s="6">
        <v>1310.679611650485</v>
      </c>
      <c r="R107" s="6">
        <v>3035.7142857142858</v>
      </c>
      <c r="S107" s="6">
        <v>1388.5913664394679</v>
      </c>
      <c r="T107" s="6">
        <v>10</v>
      </c>
      <c r="U107" s="6" t="s">
        <v>663</v>
      </c>
      <c r="V107" s="6">
        <v>100</v>
      </c>
      <c r="W107" s="6">
        <v>531.95916873134888</v>
      </c>
      <c r="X107" s="7">
        <f t="shared" si="6"/>
        <v>8.4295467000970237E-2</v>
      </c>
      <c r="Y107" s="6" t="b">
        <f t="shared" si="7"/>
        <v>1</v>
      </c>
    </row>
    <row r="108" spans="1:25" x14ac:dyDescent="0.3">
      <c r="A108" s="6" t="s">
        <v>556</v>
      </c>
      <c r="B108" s="6" t="s">
        <v>34</v>
      </c>
      <c r="C108" s="6" t="s">
        <v>557</v>
      </c>
      <c r="D108" s="6" t="s">
        <v>558</v>
      </c>
      <c r="E108" s="6" t="s">
        <v>559</v>
      </c>
      <c r="F108" s="6">
        <v>17563</v>
      </c>
      <c r="G108" s="6" t="s">
        <v>28</v>
      </c>
      <c r="H108" s="6" t="s">
        <v>107</v>
      </c>
      <c r="I108" s="6" t="s">
        <v>269</v>
      </c>
      <c r="J108" s="6" t="s">
        <v>560</v>
      </c>
      <c r="K108" s="6">
        <v>1992</v>
      </c>
      <c r="L108" s="6">
        <v>535000</v>
      </c>
      <c r="M108" s="6" t="s">
        <v>561</v>
      </c>
      <c r="N108" s="6">
        <v>175</v>
      </c>
      <c r="O108" s="6">
        <v>3057.1428571428569</v>
      </c>
      <c r="P108" s="6">
        <v>3306.4626683393271</v>
      </c>
      <c r="Q108" s="6">
        <v>2127.6595744680849</v>
      </c>
      <c r="R108" s="6">
        <v>5200</v>
      </c>
      <c r="S108" s="6">
        <v>3065.9277504105089</v>
      </c>
      <c r="T108" s="6">
        <v>22</v>
      </c>
      <c r="U108" s="6" t="s">
        <v>562</v>
      </c>
      <c r="V108" s="6">
        <v>100</v>
      </c>
      <c r="W108" s="6">
        <v>770.19246693150046</v>
      </c>
      <c r="X108" s="7">
        <f t="shared" si="6"/>
        <v>7.5403788339667321E-2</v>
      </c>
      <c r="Y108" s="6" t="b">
        <f t="shared" si="7"/>
        <v>1</v>
      </c>
    </row>
    <row r="109" spans="1:25" x14ac:dyDescent="0.3">
      <c r="A109" s="6" t="s">
        <v>593</v>
      </c>
      <c r="B109" s="6" t="s">
        <v>34</v>
      </c>
      <c r="C109" s="6" t="s">
        <v>594</v>
      </c>
      <c r="D109" s="6" t="s">
        <v>595</v>
      </c>
      <c r="E109" s="6" t="s">
        <v>596</v>
      </c>
      <c r="F109" s="6">
        <v>14578</v>
      </c>
      <c r="G109" s="6" t="s">
        <v>28</v>
      </c>
      <c r="H109" s="6" t="s">
        <v>260</v>
      </c>
      <c r="I109" s="6" t="s">
        <v>350</v>
      </c>
      <c r="J109" s="6" t="s">
        <v>597</v>
      </c>
      <c r="K109" s="6">
        <v>1998</v>
      </c>
      <c r="L109" s="6">
        <v>400000</v>
      </c>
      <c r="M109" s="6" t="s">
        <v>598</v>
      </c>
      <c r="N109" s="6">
        <v>163</v>
      </c>
      <c r="O109" s="6">
        <v>2453.9877300613498</v>
      </c>
      <c r="P109" s="6">
        <v>2653.1258884744102</v>
      </c>
      <c r="Q109" s="6">
        <v>2453.9877300613498</v>
      </c>
      <c r="R109" s="6">
        <v>4246.2311557788944</v>
      </c>
      <c r="S109" s="6">
        <v>2453.9877300613498</v>
      </c>
      <c r="T109" s="6">
        <v>9</v>
      </c>
      <c r="U109" s="6" t="s">
        <v>599</v>
      </c>
      <c r="V109" s="6">
        <v>100</v>
      </c>
      <c r="W109" s="6">
        <v>597.41447523918157</v>
      </c>
      <c r="X109" s="7">
        <f t="shared" si="6"/>
        <v>7.505793798859961E-2</v>
      </c>
      <c r="Y109" s="6" t="b">
        <f t="shared" si="7"/>
        <v>1</v>
      </c>
    </row>
    <row r="110" spans="1:25" x14ac:dyDescent="0.3">
      <c r="A110" s="6" t="s">
        <v>828</v>
      </c>
      <c r="B110" s="6" t="s">
        <v>24</v>
      </c>
      <c r="C110" s="6" t="s">
        <v>822</v>
      </c>
      <c r="D110" s="6" t="s">
        <v>829</v>
      </c>
      <c r="E110" s="6" t="s">
        <v>824</v>
      </c>
      <c r="F110" s="6">
        <v>14568</v>
      </c>
      <c r="G110" s="6" t="s">
        <v>28</v>
      </c>
      <c r="H110" s="6" t="s">
        <v>341</v>
      </c>
      <c r="I110" s="6" t="s">
        <v>489</v>
      </c>
      <c r="J110" s="6" t="s">
        <v>830</v>
      </c>
      <c r="K110" s="6">
        <v>2007</v>
      </c>
      <c r="L110" s="6">
        <v>158000</v>
      </c>
      <c r="M110" s="6" t="s">
        <v>831</v>
      </c>
      <c r="N110" s="6">
        <v>88</v>
      </c>
      <c r="O110" s="6">
        <v>1795.454545454545</v>
      </c>
      <c r="P110" s="6">
        <v>1897.890750692475</v>
      </c>
      <c r="Q110" s="6">
        <v>1795.454545454545</v>
      </c>
      <c r="R110" s="6">
        <v>2625</v>
      </c>
      <c r="S110" s="6">
        <v>1800</v>
      </c>
      <c r="T110" s="6">
        <v>18</v>
      </c>
      <c r="U110" s="6" t="s">
        <v>832</v>
      </c>
      <c r="V110" s="6">
        <v>100</v>
      </c>
      <c r="W110" s="6">
        <v>219.57386446622601</v>
      </c>
      <c r="X110" s="7">
        <f t="shared" si="6"/>
        <v>5.3973710130867381E-2</v>
      </c>
      <c r="Y110" s="6" t="b">
        <f t="shared" si="7"/>
        <v>1</v>
      </c>
    </row>
    <row r="111" spans="1:25" x14ac:dyDescent="0.3">
      <c r="A111" s="6" t="s">
        <v>794</v>
      </c>
      <c r="B111" s="6" t="s">
        <v>34</v>
      </c>
      <c r="C111" s="6" t="s">
        <v>679</v>
      </c>
      <c r="D111" s="6" t="s">
        <v>795</v>
      </c>
      <c r="E111" s="6" t="s">
        <v>796</v>
      </c>
      <c r="F111" s="6">
        <v>56224</v>
      </c>
      <c r="G111" s="6" t="s">
        <v>232</v>
      </c>
      <c r="H111" s="6" t="s">
        <v>233</v>
      </c>
      <c r="I111" s="6" t="s">
        <v>494</v>
      </c>
      <c r="J111" s="6" t="s">
        <v>797</v>
      </c>
      <c r="K111" s="6">
        <v>2006</v>
      </c>
      <c r="L111" s="6">
        <v>120000</v>
      </c>
      <c r="M111" s="6" t="s">
        <v>798</v>
      </c>
      <c r="N111" s="6">
        <v>76</v>
      </c>
      <c r="O111" s="6">
        <v>1578.9473684210529</v>
      </c>
      <c r="P111" s="6">
        <v>1659.7927296783521</v>
      </c>
      <c r="Q111" s="6">
        <v>1000</v>
      </c>
      <c r="R111" s="6">
        <v>2153.8461538461538</v>
      </c>
      <c r="S111" s="6">
        <v>1600</v>
      </c>
      <c r="T111" s="6">
        <v>14</v>
      </c>
      <c r="U111" s="6" t="s">
        <v>799</v>
      </c>
      <c r="V111" s="6">
        <v>100</v>
      </c>
      <c r="W111" s="6">
        <v>274.51588338155238</v>
      </c>
      <c r="X111" s="7">
        <f t="shared" si="6"/>
        <v>4.8708106627847414E-2</v>
      </c>
      <c r="Y111" s="6" t="b">
        <f t="shared" si="7"/>
        <v>1</v>
      </c>
    </row>
    <row r="112" spans="1:25" x14ac:dyDescent="0.3">
      <c r="A112" s="6" t="s">
        <v>729</v>
      </c>
      <c r="B112" s="6" t="s">
        <v>34</v>
      </c>
      <c r="C112" s="6" t="s">
        <v>338</v>
      </c>
      <c r="D112" s="6" t="s">
        <v>730</v>
      </c>
      <c r="E112" s="6" t="s">
        <v>731</v>
      </c>
      <c r="F112" s="6">
        <v>13674</v>
      </c>
      <c r="G112" s="6" t="s">
        <v>28</v>
      </c>
      <c r="H112" s="6" t="s">
        <v>341</v>
      </c>
      <c r="I112" s="6" t="s">
        <v>342</v>
      </c>
      <c r="J112" s="6" t="s">
        <v>732</v>
      </c>
      <c r="K112" s="6">
        <v>2005</v>
      </c>
      <c r="L112" s="6">
        <v>179000</v>
      </c>
      <c r="M112" s="6" t="s">
        <v>733</v>
      </c>
      <c r="N112" s="6">
        <v>116</v>
      </c>
      <c r="O112" s="6">
        <v>1543.1034482758621</v>
      </c>
      <c r="P112" s="6">
        <v>1608.9766857461959</v>
      </c>
      <c r="Q112" s="6">
        <v>1052.6315789473681</v>
      </c>
      <c r="R112" s="6">
        <v>2692.3076923076919</v>
      </c>
      <c r="S112" s="6">
        <v>1543.1034482758621</v>
      </c>
      <c r="T112" s="6">
        <v>10</v>
      </c>
      <c r="U112" s="6" t="s">
        <v>734</v>
      </c>
      <c r="V112" s="6">
        <v>100</v>
      </c>
      <c r="W112" s="6">
        <v>410.66886024240023</v>
      </c>
      <c r="X112" s="7">
        <f t="shared" si="6"/>
        <v>4.0941076433176349E-2</v>
      </c>
      <c r="Y112" s="6" t="b">
        <f t="shared" si="7"/>
        <v>1</v>
      </c>
    </row>
    <row r="113" spans="1:25" x14ac:dyDescent="0.3">
      <c r="A113" s="6" t="s">
        <v>96</v>
      </c>
      <c r="B113" s="6" t="s">
        <v>34</v>
      </c>
      <c r="C113" s="6" t="s">
        <v>97</v>
      </c>
      <c r="D113" s="6" t="s">
        <v>98</v>
      </c>
      <c r="E113" s="6" t="s">
        <v>99</v>
      </c>
      <c r="F113" s="6">
        <v>11254</v>
      </c>
      <c r="G113" s="6" t="s">
        <v>28</v>
      </c>
      <c r="H113" s="6" t="s">
        <v>29</v>
      </c>
      <c r="I113" s="6" t="s">
        <v>30</v>
      </c>
      <c r="J113" s="6" t="s">
        <v>100</v>
      </c>
      <c r="K113" s="6">
        <v>1957</v>
      </c>
      <c r="L113" s="6">
        <v>113000</v>
      </c>
      <c r="M113" s="6" t="s">
        <v>101</v>
      </c>
      <c r="N113" s="6">
        <v>65</v>
      </c>
      <c r="O113" s="6">
        <v>1738.461538461539</v>
      </c>
      <c r="P113" s="6">
        <v>1809.160882141884</v>
      </c>
      <c r="Q113" s="6">
        <v>1240.506329113924</v>
      </c>
      <c r="R113" s="6">
        <v>3090.909090909091</v>
      </c>
      <c r="S113" s="6">
        <v>1738.461538461539</v>
      </c>
      <c r="T113" s="6">
        <v>30</v>
      </c>
      <c r="U113" s="6" t="s">
        <v>102</v>
      </c>
      <c r="V113" s="6">
        <v>100</v>
      </c>
      <c r="W113" s="6">
        <v>446.42299889062099</v>
      </c>
      <c r="X113" s="7">
        <f t="shared" si="6"/>
        <v>3.9078527718686584E-2</v>
      </c>
      <c r="Y113" s="6" t="b">
        <f t="shared" si="7"/>
        <v>1</v>
      </c>
    </row>
    <row r="114" spans="1:25" x14ac:dyDescent="0.3">
      <c r="A114" s="6" t="s">
        <v>367</v>
      </c>
      <c r="B114" s="6" t="s">
        <v>34</v>
      </c>
      <c r="C114" s="6" t="s">
        <v>368</v>
      </c>
      <c r="D114" s="6" t="s">
        <v>369</v>
      </c>
      <c r="E114" s="6" t="s">
        <v>370</v>
      </c>
      <c r="F114" s="6">
        <v>19200</v>
      </c>
      <c r="G114" s="6" t="s">
        <v>28</v>
      </c>
      <c r="H114" s="6" t="s">
        <v>49</v>
      </c>
      <c r="I114" s="6" t="s">
        <v>371</v>
      </c>
      <c r="J114" s="6" t="s">
        <v>372</v>
      </c>
      <c r="K114" s="6">
        <v>1973</v>
      </c>
      <c r="L114" s="6">
        <v>77000</v>
      </c>
      <c r="M114" s="6" t="s">
        <v>373</v>
      </c>
      <c r="N114" s="6">
        <v>84</v>
      </c>
      <c r="O114" s="6">
        <v>916.66666666666663</v>
      </c>
      <c r="P114" s="6">
        <v>920.80823293172693</v>
      </c>
      <c r="Q114" s="6">
        <v>916.66666666666663</v>
      </c>
      <c r="R114" s="6">
        <v>927.71084337349396</v>
      </c>
      <c r="S114" s="6">
        <v>916.66666666666663</v>
      </c>
      <c r="T114" s="6">
        <v>8</v>
      </c>
      <c r="U114" s="6" t="s">
        <v>374</v>
      </c>
      <c r="V114" s="6">
        <v>100</v>
      </c>
      <c r="W114" s="6">
        <v>5.7159044825044507</v>
      </c>
      <c r="X114" s="7">
        <f t="shared" si="6"/>
        <v>4.4977511244378432E-3</v>
      </c>
      <c r="Y114" s="6" t="b">
        <f t="shared" si="7"/>
        <v>1</v>
      </c>
    </row>
    <row r="115" spans="1:25" x14ac:dyDescent="0.3">
      <c r="A115" s="6" t="s">
        <v>787</v>
      </c>
      <c r="B115" s="6" t="s">
        <v>24</v>
      </c>
      <c r="C115" s="6" t="s">
        <v>788</v>
      </c>
      <c r="D115" s="6" t="s">
        <v>789</v>
      </c>
      <c r="E115" s="6" t="s">
        <v>790</v>
      </c>
      <c r="F115" s="6">
        <v>57100</v>
      </c>
      <c r="G115" s="6" t="s">
        <v>232</v>
      </c>
      <c r="H115" s="6" t="s">
        <v>233</v>
      </c>
      <c r="I115" s="6" t="s">
        <v>548</v>
      </c>
      <c r="J115" s="6" t="s">
        <v>791</v>
      </c>
      <c r="K115" s="6">
        <v>2005</v>
      </c>
      <c r="L115" s="6">
        <v>110000</v>
      </c>
      <c r="M115" s="6" t="s">
        <v>792</v>
      </c>
      <c r="N115" s="6">
        <v>192</v>
      </c>
      <c r="O115" s="6">
        <v>572.91666666666663</v>
      </c>
      <c r="P115" s="6">
        <v>571.1355785837651</v>
      </c>
      <c r="Q115" s="6">
        <v>569.94818652849744</v>
      </c>
      <c r="R115" s="6">
        <v>572.91666666666663</v>
      </c>
      <c r="S115" s="6">
        <v>569.94818652849744</v>
      </c>
      <c r="T115" s="6">
        <v>5</v>
      </c>
      <c r="U115" s="6" t="s">
        <v>793</v>
      </c>
      <c r="V115" s="6">
        <v>100</v>
      </c>
      <c r="W115" s="6">
        <v>1.6259035331813141</v>
      </c>
      <c r="X115" s="7">
        <f t="shared" si="6"/>
        <v>-3.1185031185030354E-3</v>
      </c>
      <c r="Y115" s="6" t="b">
        <f t="shared" si="7"/>
        <v>0</v>
      </c>
    </row>
    <row r="116" spans="1:25" x14ac:dyDescent="0.3">
      <c r="A116" s="6" t="s">
        <v>868</v>
      </c>
      <c r="B116" s="6" t="s">
        <v>34</v>
      </c>
      <c r="C116" s="6" t="s">
        <v>869</v>
      </c>
      <c r="D116" s="6" t="s">
        <v>870</v>
      </c>
      <c r="E116" s="6" t="s">
        <v>871</v>
      </c>
      <c r="F116" s="6">
        <v>11524</v>
      </c>
      <c r="G116" s="6" t="s">
        <v>28</v>
      </c>
      <c r="H116" s="6" t="s">
        <v>29</v>
      </c>
      <c r="I116" s="6" t="s">
        <v>30</v>
      </c>
      <c r="J116" s="6" t="s">
        <v>872</v>
      </c>
      <c r="K116" s="6">
        <v>2009</v>
      </c>
      <c r="L116" s="6">
        <v>244000</v>
      </c>
      <c r="M116" s="6" t="s">
        <v>873</v>
      </c>
      <c r="N116" s="6">
        <v>84</v>
      </c>
      <c r="O116" s="6">
        <v>2904.761904761905</v>
      </c>
      <c r="P116" s="6">
        <v>2809.025450234823</v>
      </c>
      <c r="Q116" s="6">
        <v>1702.127659574468</v>
      </c>
      <c r="R116" s="6">
        <v>4072.1649484536078</v>
      </c>
      <c r="S116" s="6">
        <v>2951.807228915663</v>
      </c>
      <c r="T116" s="6">
        <v>30</v>
      </c>
      <c r="U116" s="6" t="s">
        <v>874</v>
      </c>
      <c r="V116" s="6">
        <v>100</v>
      </c>
      <c r="W116" s="6">
        <v>502.89269428582179</v>
      </c>
      <c r="X116" s="7">
        <f t="shared" si="6"/>
        <v>-3.408173269454684E-2</v>
      </c>
      <c r="Y116" s="6" t="b">
        <f t="shared" si="7"/>
        <v>0</v>
      </c>
    </row>
    <row r="117" spans="1:25" x14ac:dyDescent="0.3">
      <c r="A117" s="6" t="s">
        <v>600</v>
      </c>
      <c r="B117" s="6" t="s">
        <v>34</v>
      </c>
      <c r="C117" s="6" t="s">
        <v>601</v>
      </c>
      <c r="D117" s="6" t="s">
        <v>602</v>
      </c>
      <c r="E117" s="6" t="s">
        <v>603</v>
      </c>
      <c r="F117" s="6">
        <v>54643</v>
      </c>
      <c r="G117" s="6" t="s">
        <v>232</v>
      </c>
      <c r="H117" s="6" t="s">
        <v>233</v>
      </c>
      <c r="I117" s="6" t="s">
        <v>233</v>
      </c>
      <c r="J117" s="6" t="s">
        <v>604</v>
      </c>
      <c r="K117" s="6">
        <v>1999</v>
      </c>
      <c r="L117" s="6">
        <v>335000</v>
      </c>
      <c r="M117" s="6" t="s">
        <v>605</v>
      </c>
      <c r="N117" s="6">
        <v>127</v>
      </c>
      <c r="O117" s="6">
        <v>2637.7952755905508</v>
      </c>
      <c r="P117" s="6">
        <v>2547.36719569042</v>
      </c>
      <c r="Q117" s="6">
        <v>1623.376623376623</v>
      </c>
      <c r="R117" s="6">
        <v>3571.428571428572</v>
      </c>
      <c r="S117" s="6">
        <v>2600</v>
      </c>
      <c r="T117" s="6">
        <v>30</v>
      </c>
      <c r="U117" s="6" t="s">
        <v>606</v>
      </c>
      <c r="V117" s="6">
        <v>100</v>
      </c>
      <c r="W117" s="6">
        <v>576.75105888931853</v>
      </c>
      <c r="X117" s="7">
        <f t="shared" si="6"/>
        <v>-3.5498643483010683E-2</v>
      </c>
      <c r="Y117" s="6" t="b">
        <f t="shared" si="7"/>
        <v>0</v>
      </c>
    </row>
    <row r="118" spans="1:25" x14ac:dyDescent="0.3">
      <c r="A118" s="6" t="s">
        <v>878</v>
      </c>
      <c r="B118" s="6" t="s">
        <v>34</v>
      </c>
      <c r="C118" s="6" t="s">
        <v>869</v>
      </c>
      <c r="D118" s="6" t="s">
        <v>879</v>
      </c>
      <c r="E118" s="6" t="s">
        <v>871</v>
      </c>
      <c r="F118" s="6">
        <v>11524</v>
      </c>
      <c r="G118" s="6" t="s">
        <v>28</v>
      </c>
      <c r="H118" s="6" t="s">
        <v>29</v>
      </c>
      <c r="I118" s="6" t="s">
        <v>30</v>
      </c>
      <c r="J118" s="6" t="s">
        <v>872</v>
      </c>
      <c r="K118" s="6">
        <v>2009</v>
      </c>
      <c r="L118" s="6">
        <v>245000</v>
      </c>
      <c r="M118" s="6" t="s">
        <v>880</v>
      </c>
      <c r="N118" s="6">
        <v>82</v>
      </c>
      <c r="O118" s="6">
        <v>2987.8048780487811</v>
      </c>
      <c r="P118" s="6">
        <v>2809.025450234823</v>
      </c>
      <c r="Q118" s="6">
        <v>1702.127659574468</v>
      </c>
      <c r="R118" s="6">
        <v>4072.1649484536078</v>
      </c>
      <c r="S118" s="6">
        <v>2951.807228915663</v>
      </c>
      <c r="T118" s="6">
        <v>30</v>
      </c>
      <c r="U118" s="6" t="s">
        <v>874</v>
      </c>
      <c r="V118" s="6">
        <v>100</v>
      </c>
      <c r="W118" s="6">
        <v>502.89269428582179</v>
      </c>
      <c r="X118" s="7">
        <f t="shared" si="6"/>
        <v>-6.3644645084654838E-2</v>
      </c>
      <c r="Y118" s="6" t="b">
        <f t="shared" si="7"/>
        <v>0</v>
      </c>
    </row>
    <row r="119" spans="1:25" x14ac:dyDescent="0.3">
      <c r="A119" s="6" t="s">
        <v>875</v>
      </c>
      <c r="B119" s="6" t="s">
        <v>34</v>
      </c>
      <c r="C119" s="6" t="s">
        <v>869</v>
      </c>
      <c r="D119" s="6" t="s">
        <v>876</v>
      </c>
      <c r="E119" s="6" t="s">
        <v>871</v>
      </c>
      <c r="F119" s="6">
        <v>11524</v>
      </c>
      <c r="G119" s="6" t="s">
        <v>28</v>
      </c>
      <c r="H119" s="6" t="s">
        <v>29</v>
      </c>
      <c r="I119" s="6" t="s">
        <v>30</v>
      </c>
      <c r="J119" s="6" t="s">
        <v>872</v>
      </c>
      <c r="K119" s="6">
        <v>2009</v>
      </c>
      <c r="L119" s="6">
        <v>253000</v>
      </c>
      <c r="M119" s="6" t="s">
        <v>877</v>
      </c>
      <c r="N119" s="6">
        <v>82</v>
      </c>
      <c r="O119" s="6">
        <v>3085.3658536585372</v>
      </c>
      <c r="P119" s="6">
        <v>2809.025450234823</v>
      </c>
      <c r="Q119" s="6">
        <v>1702.127659574468</v>
      </c>
      <c r="R119" s="6">
        <v>4072.1649484536078</v>
      </c>
      <c r="S119" s="6">
        <v>2951.807228915663</v>
      </c>
      <c r="T119" s="6">
        <v>30</v>
      </c>
      <c r="U119" s="6" t="s">
        <v>874</v>
      </c>
      <c r="V119" s="6">
        <v>100</v>
      </c>
      <c r="W119" s="6">
        <v>502.89269428582179</v>
      </c>
      <c r="X119" s="7">
        <f t="shared" si="6"/>
        <v>-9.837589880170472E-2</v>
      </c>
      <c r="Y119" s="6" t="b">
        <f t="shared" si="7"/>
        <v>0</v>
      </c>
    </row>
    <row r="120" spans="1:25" x14ac:dyDescent="0.3">
      <c r="A120" s="6" t="s">
        <v>735</v>
      </c>
      <c r="B120" s="6" t="s">
        <v>34</v>
      </c>
      <c r="C120" s="6" t="s">
        <v>736</v>
      </c>
      <c r="D120" s="6" t="s">
        <v>737</v>
      </c>
      <c r="E120" s="6" t="s">
        <v>738</v>
      </c>
      <c r="F120" s="6">
        <v>57008</v>
      </c>
      <c r="G120" s="6" t="s">
        <v>232</v>
      </c>
      <c r="H120" s="6" t="s">
        <v>233</v>
      </c>
      <c r="I120" s="6" t="s">
        <v>739</v>
      </c>
      <c r="J120" s="6" t="s">
        <v>740</v>
      </c>
      <c r="K120" s="6">
        <v>2005</v>
      </c>
      <c r="L120" s="6">
        <v>100000</v>
      </c>
      <c r="M120" s="6" t="s">
        <v>741</v>
      </c>
      <c r="N120" s="6">
        <v>64</v>
      </c>
      <c r="O120" s="6">
        <v>1562.5</v>
      </c>
      <c r="P120" s="6">
        <v>1351.0576923076919</v>
      </c>
      <c r="Q120" s="6">
        <v>800</v>
      </c>
      <c r="R120" s="6">
        <v>1562.5</v>
      </c>
      <c r="S120" s="6">
        <v>1550.4807692307691</v>
      </c>
      <c r="T120" s="6">
        <v>8</v>
      </c>
      <c r="U120" s="6" t="s">
        <v>742</v>
      </c>
      <c r="V120" s="6">
        <v>100</v>
      </c>
      <c r="W120" s="6">
        <v>338.49114818034712</v>
      </c>
      <c r="X120" s="7">
        <f t="shared" si="6"/>
        <v>-0.15650131663226841</v>
      </c>
      <c r="Y120" s="6" t="b">
        <f t="shared" si="7"/>
        <v>0</v>
      </c>
    </row>
    <row r="121" spans="1:25" x14ac:dyDescent="0.3">
      <c r="A121" s="6" t="s">
        <v>765</v>
      </c>
      <c r="B121" s="6" t="s">
        <v>34</v>
      </c>
      <c r="C121" s="6" t="s">
        <v>766</v>
      </c>
      <c r="D121" s="6" t="s">
        <v>767</v>
      </c>
      <c r="E121" s="6" t="s">
        <v>768</v>
      </c>
      <c r="F121" s="6">
        <v>56626</v>
      </c>
      <c r="G121" s="6" t="s">
        <v>232</v>
      </c>
      <c r="H121" s="6" t="s">
        <v>233</v>
      </c>
      <c r="I121" s="6" t="s">
        <v>769</v>
      </c>
      <c r="J121" s="6" t="s">
        <v>770</v>
      </c>
      <c r="K121" s="6">
        <v>2005</v>
      </c>
      <c r="L121" s="6">
        <v>87000</v>
      </c>
      <c r="M121" s="6" t="s">
        <v>771</v>
      </c>
      <c r="N121" s="6">
        <v>41</v>
      </c>
      <c r="O121" s="6">
        <v>2121.9512195121952</v>
      </c>
      <c r="P121" s="6">
        <v>1825.433776429629</v>
      </c>
      <c r="Q121" s="6">
        <v>1073.6842105263161</v>
      </c>
      <c r="R121" s="6">
        <v>3000</v>
      </c>
      <c r="S121" s="6">
        <v>1904.5911047345769</v>
      </c>
      <c r="T121" s="6">
        <v>30</v>
      </c>
      <c r="U121" s="6" t="s">
        <v>772</v>
      </c>
      <c r="V121" s="6">
        <v>100</v>
      </c>
      <c r="W121" s="6">
        <v>520.9039134827766</v>
      </c>
      <c r="X121" s="7">
        <f t="shared" si="6"/>
        <v>-0.16243670239438956</v>
      </c>
      <c r="Y121" s="6" t="b">
        <f t="shared" si="7"/>
        <v>0</v>
      </c>
    </row>
    <row r="122" spans="1:25" x14ac:dyDescent="0.3">
      <c r="A122" s="6" t="s">
        <v>808</v>
      </c>
      <c r="B122" s="6" t="s">
        <v>34</v>
      </c>
      <c r="C122" s="6" t="s">
        <v>809</v>
      </c>
      <c r="D122" s="6" t="s">
        <v>810</v>
      </c>
      <c r="E122" s="6" t="s">
        <v>811</v>
      </c>
      <c r="F122" s="6">
        <v>10440</v>
      </c>
      <c r="G122" s="6" t="s">
        <v>28</v>
      </c>
      <c r="H122" s="6" t="s">
        <v>29</v>
      </c>
      <c r="I122" s="6" t="s">
        <v>30</v>
      </c>
      <c r="J122" s="6" t="s">
        <v>812</v>
      </c>
      <c r="K122" s="6">
        <v>2007</v>
      </c>
      <c r="L122" s="6">
        <v>161000</v>
      </c>
      <c r="M122" s="6" t="s">
        <v>813</v>
      </c>
      <c r="N122" s="6">
        <v>68</v>
      </c>
      <c r="O122" s="6">
        <v>2367.6470588235288</v>
      </c>
      <c r="P122" s="6">
        <v>2014.773472491255</v>
      </c>
      <c r="Q122" s="6">
        <v>1250</v>
      </c>
      <c r="R122" s="6">
        <v>4745.7627118644068</v>
      </c>
      <c r="S122" s="6">
        <v>1794.9561403508769</v>
      </c>
      <c r="T122" s="6">
        <v>30</v>
      </c>
      <c r="U122" s="6" t="s">
        <v>814</v>
      </c>
      <c r="V122" s="6">
        <v>100</v>
      </c>
      <c r="W122" s="6">
        <v>763.23738812407407</v>
      </c>
      <c r="X122" s="7">
        <f t="shared" si="6"/>
        <v>-0.17514305759443416</v>
      </c>
      <c r="Y122" s="6" t="b">
        <f t="shared" si="7"/>
        <v>0</v>
      </c>
    </row>
    <row r="123" spans="1:25" x14ac:dyDescent="0.3">
      <c r="A123" s="6" t="s">
        <v>607</v>
      </c>
      <c r="B123" s="6" t="s">
        <v>34</v>
      </c>
      <c r="C123" s="6" t="s">
        <v>608</v>
      </c>
      <c r="D123" s="6" t="s">
        <v>609</v>
      </c>
      <c r="E123" s="6" t="s">
        <v>610</v>
      </c>
      <c r="F123" s="6">
        <v>15351</v>
      </c>
      <c r="G123" s="6" t="s">
        <v>28</v>
      </c>
      <c r="H123" s="6" t="s">
        <v>341</v>
      </c>
      <c r="I123" s="6" t="s">
        <v>611</v>
      </c>
      <c r="J123" s="6" t="s">
        <v>612</v>
      </c>
      <c r="K123" s="6">
        <v>1999</v>
      </c>
      <c r="L123" s="6">
        <v>356000</v>
      </c>
      <c r="M123" s="6" t="s">
        <v>613</v>
      </c>
      <c r="N123" s="6">
        <v>112</v>
      </c>
      <c r="O123" s="6">
        <v>3178.571428571428</v>
      </c>
      <c r="P123" s="6">
        <v>2596.86515646619</v>
      </c>
      <c r="Q123" s="6">
        <v>1866.666666666667</v>
      </c>
      <c r="R123" s="6">
        <v>3166.666666666667</v>
      </c>
      <c r="S123" s="6">
        <v>2562.5</v>
      </c>
      <c r="T123" s="6">
        <v>13</v>
      </c>
      <c r="U123" s="6" t="s">
        <v>614</v>
      </c>
      <c r="V123" s="6">
        <v>100</v>
      </c>
      <c r="W123" s="6">
        <v>312.26988090448759</v>
      </c>
      <c r="X123" s="7">
        <f t="shared" si="6"/>
        <v>-0.2240032643423131</v>
      </c>
      <c r="Y123" s="6" t="b">
        <f t="shared" si="7"/>
        <v>0</v>
      </c>
    </row>
    <row r="124" spans="1:25" x14ac:dyDescent="0.3">
      <c r="A124" s="6" t="s">
        <v>751</v>
      </c>
      <c r="B124" s="6" t="s">
        <v>24</v>
      </c>
      <c r="C124" s="6" t="s">
        <v>752</v>
      </c>
      <c r="D124" s="6" t="s">
        <v>753</v>
      </c>
      <c r="E124" s="6" t="s">
        <v>754</v>
      </c>
      <c r="F124" s="6">
        <v>57006</v>
      </c>
      <c r="G124" s="6" t="s">
        <v>232</v>
      </c>
      <c r="H124" s="6" t="s">
        <v>233</v>
      </c>
      <c r="I124" s="6" t="s">
        <v>633</v>
      </c>
      <c r="J124" s="6" t="s">
        <v>755</v>
      </c>
      <c r="K124" s="6">
        <v>2005</v>
      </c>
      <c r="L124" s="6">
        <v>49000</v>
      </c>
      <c r="M124" s="6" t="s">
        <v>756</v>
      </c>
      <c r="N124" s="6">
        <v>64</v>
      </c>
      <c r="O124" s="6">
        <v>765.625</v>
      </c>
      <c r="P124" s="6">
        <v>478.22440639137432</v>
      </c>
      <c r="Q124" s="6">
        <v>260.63829787234039</v>
      </c>
      <c r="R124" s="6">
        <v>1116.7512690355329</v>
      </c>
      <c r="S124" s="6">
        <v>364.96239293943739</v>
      </c>
      <c r="T124" s="6">
        <v>6</v>
      </c>
      <c r="U124" s="6" t="s">
        <v>757</v>
      </c>
      <c r="V124" s="6">
        <v>225</v>
      </c>
      <c r="W124" s="6">
        <v>325.626412068636</v>
      </c>
      <c r="X124" s="7">
        <f t="shared" si="6"/>
        <v>-0.60097433290223945</v>
      </c>
      <c r="Y124" s="6" t="b">
        <f t="shared" si="7"/>
        <v>0</v>
      </c>
    </row>
    <row r="125" spans="1:25" x14ac:dyDescent="0.3">
      <c r="A125" s="6" t="s">
        <v>800</v>
      </c>
      <c r="B125" s="6" t="s">
        <v>24</v>
      </c>
      <c r="C125" s="6" t="s">
        <v>801</v>
      </c>
      <c r="D125" s="6" t="s">
        <v>802</v>
      </c>
      <c r="E125" s="6" t="s">
        <v>803</v>
      </c>
      <c r="F125" s="6">
        <v>57200</v>
      </c>
      <c r="G125" s="6" t="s">
        <v>232</v>
      </c>
      <c r="H125" s="6" t="s">
        <v>233</v>
      </c>
      <c r="I125" s="6" t="s">
        <v>804</v>
      </c>
      <c r="J125" s="6" t="s">
        <v>805</v>
      </c>
      <c r="K125" s="6">
        <v>2006</v>
      </c>
      <c r="L125" s="6">
        <v>85000</v>
      </c>
      <c r="M125" s="6" t="s">
        <v>806</v>
      </c>
      <c r="N125" s="6">
        <v>51</v>
      </c>
      <c r="O125" s="6">
        <v>1666.666666666667</v>
      </c>
      <c r="P125" s="6">
        <v>551.36539264828741</v>
      </c>
      <c r="Q125" s="6">
        <v>497.07602339181278</v>
      </c>
      <c r="R125" s="6">
        <v>714.28571428571433</v>
      </c>
      <c r="S125" s="6">
        <v>498.53801169590639</v>
      </c>
      <c r="T125" s="6">
        <v>8</v>
      </c>
      <c r="U125" s="6" t="s">
        <v>807</v>
      </c>
      <c r="V125" s="6">
        <v>100</v>
      </c>
      <c r="W125" s="6">
        <v>98.740724834744867</v>
      </c>
      <c r="X125" s="7">
        <f t="shared" si="6"/>
        <v>-2.0227988351996973</v>
      </c>
      <c r="Y125" s="6" t="b">
        <f t="shared" si="7"/>
        <v>0</v>
      </c>
    </row>
  </sheetData>
  <sortState xmlns:xlrd2="http://schemas.microsoft.com/office/spreadsheetml/2017/richdata2" ref="A2:Y125">
    <sortCondition descending="1" ref="X1:X125"/>
  </sortState>
  <conditionalFormatting sqref="T1:T1048576">
    <cfRule type="dataBar" priority="1">
      <dataBar>
        <cfvo type="min"/>
        <cfvo type="max"/>
        <color rgb="FF63C384"/>
      </dataBar>
      <extLst>
        <ext xmlns:x14="http://schemas.microsoft.com/office/spreadsheetml/2009/9/main" uri="{B025F937-C7B1-47D3-B67F-A62EFF666E3E}">
          <x14:id>{5BEC1146-5BC5-4297-A923-A0014325F142}</x14:id>
        </ext>
      </extLst>
    </cfRule>
  </conditionalFormatting>
  <conditionalFormatting sqref="X1:X1048576">
    <cfRule type="colorScale" priority="2">
      <colorScale>
        <cfvo type="min"/>
        <cfvo type="percentile" val="50"/>
        <cfvo type="max"/>
        <color rgb="FFF8696B"/>
        <color rgb="FFFFEB84"/>
        <color rgb="FF63BE7B"/>
      </colorScale>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dataBar" id="{5BEC1146-5BC5-4297-A923-A0014325F142}">
            <x14:dataBar minLength="0" maxLength="100" border="1" negativeBarBorderColorSameAsPositive="0">
              <x14:cfvo type="autoMin"/>
              <x14:cfvo type="autoMax"/>
              <x14:borderColor rgb="FF63C384"/>
              <x14:negativeFillColor rgb="FFFF0000"/>
              <x14:negativeBorderColor rgb="FFFF0000"/>
              <x14:axisColor rgb="FF000000"/>
            </x14:dataBar>
          </x14:cfRule>
          <xm:sqref>T1:T1048576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2025-10-17T12:25:44Z</dcterms:created>
  <dcterms:modified xsi:type="dcterms:W3CDTF">2025-11-21T13:08:59Z</dcterms:modified>
</cp:coreProperties>
</file>