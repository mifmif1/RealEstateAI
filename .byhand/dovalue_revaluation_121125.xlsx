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C4E5B25F-538F-43CA-941A-2643A69DE724}"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81029"/>
</workbook>
</file>

<file path=xl/calcChain.xml><?xml version="1.0" encoding="utf-8"?>
<calcChain xmlns="http://schemas.openxmlformats.org/spreadsheetml/2006/main">
  <c r="AN2" i="1" l="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179" i="1"/>
  <c r="AN180" i="1"/>
  <c r="AN181" i="1"/>
  <c r="AN182" i="1"/>
  <c r="AN183" i="1"/>
  <c r="AN184" i="1"/>
  <c r="AN185" i="1"/>
  <c r="AN186" i="1"/>
  <c r="AN187" i="1"/>
  <c r="AN192"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316" i="1"/>
  <c r="AN318" i="1"/>
  <c r="AN319" i="1"/>
  <c r="AN320" i="1"/>
  <c r="AN321" i="1"/>
  <c r="AN322" i="1"/>
  <c r="AN323" i="1"/>
  <c r="AN324" i="1"/>
  <c r="AN325" i="1"/>
  <c r="AN326" i="1"/>
  <c r="AN32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550" i="1"/>
  <c r="AN551"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862" i="1"/>
  <c r="AN863" i="1"/>
  <c r="AN864" i="1"/>
  <c r="AN865" i="1"/>
  <c r="AN866"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1048" i="1"/>
  <c r="AN1049" i="1"/>
  <c r="AN1050" i="1"/>
  <c r="AN1054" i="1"/>
  <c r="AN1055" i="1"/>
  <c r="AN1056" i="1"/>
  <c r="AN1057" i="1"/>
  <c r="AN1058" i="1"/>
  <c r="AN1059" i="1"/>
  <c r="AN1060" i="1"/>
  <c r="AN1061" i="1"/>
  <c r="AN1062" i="1"/>
  <c r="AN1063" i="1"/>
  <c r="AN1064" i="1"/>
  <c r="AN1065" i="1"/>
  <c r="AN1066" i="1"/>
  <c r="AN1067" i="1"/>
  <c r="AN1068" i="1"/>
  <c r="AN1069" i="1"/>
  <c r="AN1070" i="1"/>
  <c r="AN1071" i="1"/>
  <c r="AN1072" i="1"/>
  <c r="AN1081" i="1"/>
  <c r="AN1082" i="1"/>
  <c r="AN1083"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31" i="1"/>
  <c r="AN1132" i="1"/>
  <c r="AN1133" i="1"/>
  <c r="AN1134" i="1"/>
  <c r="AN1135" i="1"/>
  <c r="AN1136" i="1"/>
  <c r="AN1137" i="1"/>
  <c r="AN1138" i="1"/>
  <c r="AN1139" i="1"/>
  <c r="AN1140" i="1"/>
  <c r="AN1141" i="1"/>
  <c r="AN1155" i="1"/>
  <c r="AN1156" i="1"/>
  <c r="AN1157" i="1"/>
  <c r="AN1158" i="1"/>
  <c r="AN1159" i="1"/>
  <c r="AN1169" i="1"/>
  <c r="AN1170" i="1"/>
  <c r="AN1171" i="1"/>
  <c r="AN1172" i="1"/>
  <c r="AN1173" i="1"/>
  <c r="AN1174" i="1"/>
  <c r="AN1175" i="1"/>
  <c r="AN1176" i="1"/>
  <c r="AN1177" i="1"/>
  <c r="AN1178" i="1"/>
  <c r="AN1179" i="1"/>
  <c r="AN1180" i="1"/>
  <c r="AN1181" i="1"/>
  <c r="AN1182" i="1"/>
  <c r="AN118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24" i="1"/>
  <c r="AN1225" i="1"/>
  <c r="AN1226" i="1"/>
  <c r="AN1227" i="1"/>
  <c r="AN1228" i="1"/>
  <c r="AN1229" i="1"/>
  <c r="AN1230" i="1"/>
  <c r="AN1231" i="1"/>
  <c r="AN1232" i="1"/>
  <c r="AN1233" i="1"/>
  <c r="AN1246" i="1"/>
  <c r="AN1247" i="1"/>
  <c r="AN1248" i="1"/>
  <c r="AN1249" i="1"/>
  <c r="AN1250" i="1"/>
  <c r="AN1264" i="1"/>
  <c r="AN1265" i="1"/>
  <c r="AN1266" i="1"/>
  <c r="AN1267" i="1"/>
  <c r="AN1268" i="1"/>
  <c r="AN1269" i="1"/>
  <c r="AN1270" i="1"/>
  <c r="AN1271" i="1"/>
  <c r="AN1272" i="1"/>
  <c r="AN1273" i="1"/>
  <c r="AN1274" i="1"/>
  <c r="AN1275" i="1"/>
  <c r="AN1276" i="1"/>
  <c r="AN1277" i="1"/>
  <c r="AN1284" i="1"/>
  <c r="AN1285" i="1"/>
  <c r="AN710" i="1"/>
  <c r="AN1142" i="1"/>
  <c r="AN711" i="1"/>
  <c r="AN71" i="1"/>
  <c r="AN237" i="1"/>
  <c r="AN72" i="1"/>
  <c r="AN238" i="1"/>
  <c r="AN239" i="1"/>
  <c r="AN712" i="1"/>
  <c r="AN713" i="1"/>
  <c r="AN968" i="1"/>
  <c r="AN969" i="1"/>
  <c r="AN970" i="1"/>
  <c r="AN714" i="1"/>
  <c r="AN1160" i="1"/>
  <c r="AN73" i="1"/>
  <c r="AN240" i="1"/>
  <c r="AN454" i="1"/>
  <c r="AN715" i="1"/>
  <c r="AN971" i="1"/>
  <c r="AN716" i="1"/>
  <c r="AN717" i="1"/>
  <c r="AN1143" i="1"/>
  <c r="AN972" i="1"/>
  <c r="AN455" i="1"/>
  <c r="AN718" i="1"/>
  <c r="AN719" i="1"/>
  <c r="AN720" i="1"/>
  <c r="AN241" i="1"/>
  <c r="AN552" i="1"/>
  <c r="AN721" i="1"/>
  <c r="AN722" i="1"/>
  <c r="AN723" i="1"/>
  <c r="AN973" i="1"/>
  <c r="AN1073" i="1"/>
  <c r="AN1161" i="1"/>
  <c r="AN1215" i="1"/>
  <c r="AN456" i="1"/>
  <c r="AN724" i="1"/>
  <c r="AN725" i="1"/>
  <c r="AN74" i="1"/>
  <c r="AN457" i="1"/>
  <c r="AN726" i="1"/>
  <c r="AN727" i="1"/>
  <c r="AN974" i="1"/>
  <c r="AN1084" i="1"/>
  <c r="AN554" i="1"/>
  <c r="AN728" i="1"/>
  <c r="AN1278" i="1"/>
  <c r="AN75" i="1"/>
  <c r="AN242" i="1"/>
  <c r="AN243" i="1"/>
  <c r="AN729" i="1"/>
  <c r="AN76" i="1"/>
  <c r="AN77" i="1"/>
  <c r="AN78" i="1"/>
  <c r="AN328" i="1"/>
  <c r="AN458" i="1"/>
  <c r="AN459" i="1"/>
  <c r="AN460" i="1"/>
  <c r="AN461" i="1"/>
  <c r="AN462" i="1"/>
  <c r="AN463" i="1"/>
  <c r="AN464" i="1"/>
  <c r="AN730" i="1"/>
  <c r="AN731" i="1"/>
  <c r="AN732" i="1"/>
  <c r="AN733" i="1"/>
  <c r="AN734" i="1"/>
  <c r="AN735" i="1"/>
  <c r="AN867" i="1"/>
  <c r="AN975" i="1"/>
  <c r="AN976" i="1"/>
  <c r="AN977" i="1"/>
  <c r="AN978" i="1"/>
  <c r="AN979" i="1"/>
  <c r="AN244" i="1"/>
  <c r="AN465" i="1"/>
  <c r="AN736" i="1"/>
  <c r="AN737" i="1"/>
  <c r="AN738" i="1"/>
  <c r="AN739" i="1"/>
  <c r="AN980" i="1"/>
  <c r="AN79" i="1"/>
  <c r="AN466" i="1"/>
  <c r="AN981" i="1"/>
  <c r="AN1251" i="1"/>
  <c r="AN245" i="1"/>
  <c r="AN329" i="1"/>
  <c r="AN467" i="1"/>
  <c r="AN468" i="1"/>
  <c r="AN469" i="1"/>
  <c r="AN470" i="1"/>
  <c r="AN553" i="1"/>
  <c r="AN740" i="1"/>
  <c r="AN741" i="1"/>
  <c r="AN1051" i="1"/>
  <c r="AN1052" i="1"/>
  <c r="AN1120" i="1"/>
  <c r="AN80" i="1"/>
  <c r="AN471" i="1"/>
  <c r="AN742" i="1"/>
  <c r="AN743" i="1"/>
  <c r="AN982" i="1"/>
  <c r="AN1121" i="1"/>
  <c r="AN81" i="1"/>
  <c r="AN82" i="1"/>
  <c r="AN246" i="1"/>
  <c r="AN247" i="1"/>
  <c r="AN248" i="1"/>
  <c r="AN249" i="1"/>
  <c r="AN250" i="1"/>
  <c r="AN251" i="1"/>
  <c r="AN252" i="1"/>
  <c r="AN253" i="1"/>
  <c r="AN254" i="1"/>
  <c r="AN255" i="1"/>
  <c r="AN472" i="1"/>
  <c r="AN473" i="1"/>
  <c r="AN744" i="1"/>
  <c r="AN745" i="1"/>
  <c r="AN746" i="1"/>
  <c r="AN747" i="1"/>
  <c r="AN748" i="1"/>
  <c r="AN749" i="1"/>
  <c r="AN750" i="1"/>
  <c r="AN751" i="1"/>
  <c r="AN983" i="1"/>
  <c r="AN984" i="1"/>
  <c r="AN1162" i="1"/>
  <c r="AN193" i="1"/>
  <c r="AN474" i="1"/>
  <c r="AN475" i="1"/>
  <c r="AN752" i="1"/>
  <c r="AN985" i="1"/>
  <c r="AN986" i="1"/>
  <c r="AN1234" i="1"/>
  <c r="AN83" i="1"/>
  <c r="AN84" i="1"/>
  <c r="AN85" i="1"/>
  <c r="AN256" i="1"/>
  <c r="AN257" i="1"/>
  <c r="AN476" i="1"/>
  <c r="AN477" i="1"/>
  <c r="AN753" i="1"/>
  <c r="AN754" i="1"/>
  <c r="AN755" i="1"/>
  <c r="AN756" i="1"/>
  <c r="AN757" i="1"/>
  <c r="AN758" i="1"/>
  <c r="AN987" i="1"/>
  <c r="AN1216" i="1"/>
  <c r="AN194" i="1"/>
  <c r="AN195" i="1"/>
  <c r="AN258" i="1"/>
  <c r="AN478" i="1"/>
  <c r="AN479" i="1"/>
  <c r="AN480" i="1"/>
  <c r="AN759" i="1"/>
  <c r="AN760" i="1"/>
  <c r="AN761" i="1"/>
  <c r="AN762" i="1"/>
  <c r="AN1163" i="1"/>
  <c r="AN1279" i="1"/>
  <c r="AN259" i="1"/>
  <c r="AN260" i="1"/>
  <c r="AN261" i="1"/>
  <c r="AN262" i="1"/>
  <c r="AN263" i="1"/>
  <c r="AN481" i="1"/>
  <c r="AN482" i="1"/>
  <c r="AN483" i="1"/>
  <c r="AN484" i="1"/>
  <c r="AN485" i="1"/>
  <c r="AN763" i="1"/>
  <c r="AN764" i="1"/>
  <c r="AN765" i="1"/>
  <c r="AN766" i="1"/>
  <c r="AN767" i="1"/>
  <c r="AN768" i="1"/>
  <c r="AN769" i="1"/>
  <c r="AN770" i="1"/>
  <c r="AN771" i="1"/>
  <c r="AN772" i="1"/>
  <c r="AN988" i="1"/>
  <c r="AN989" i="1"/>
  <c r="AN990" i="1"/>
  <c r="AN991" i="1"/>
  <c r="AN992" i="1"/>
  <c r="AN993" i="1"/>
  <c r="AN994" i="1"/>
  <c r="AN1085" i="1"/>
  <c r="AN1122" i="1"/>
  <c r="AN1123" i="1"/>
  <c r="AN1144" i="1"/>
  <c r="AN1145" i="1"/>
  <c r="AN1146" i="1"/>
  <c r="AN1147" i="1"/>
  <c r="AN1148" i="1"/>
  <c r="AN1149" i="1"/>
  <c r="AN1150" i="1"/>
  <c r="AN1164" i="1"/>
  <c r="AN1165" i="1"/>
  <c r="AN1235" i="1"/>
  <c r="AN1236" i="1"/>
  <c r="AN86" i="1"/>
  <c r="AN87" i="1"/>
  <c r="AN264" i="1"/>
  <c r="AN265" i="1"/>
  <c r="AN266" i="1"/>
  <c r="AN267" i="1"/>
  <c r="AN268" i="1"/>
  <c r="AN773" i="1"/>
  <c r="AN995" i="1"/>
  <c r="AN1074" i="1"/>
  <c r="AN1086" i="1"/>
  <c r="AN1166" i="1"/>
  <c r="AN188" i="1"/>
  <c r="AN486" i="1"/>
  <c r="AN774" i="1"/>
  <c r="AN775" i="1"/>
  <c r="AN996" i="1"/>
  <c r="AN1075" i="1"/>
  <c r="AN1076" i="1"/>
  <c r="AN1077" i="1"/>
  <c r="AN1078" i="1"/>
  <c r="AN1217" i="1"/>
  <c r="AN88" i="1"/>
  <c r="AN89" i="1"/>
  <c r="AN269" i="1"/>
  <c r="AN270" i="1"/>
  <c r="AN487" i="1"/>
  <c r="AN488" i="1"/>
  <c r="AN776" i="1"/>
  <c r="AN777" i="1"/>
  <c r="AN997" i="1"/>
  <c r="AN998" i="1"/>
  <c r="AN1218" i="1"/>
  <c r="AN1237" i="1"/>
  <c r="AN999" i="1"/>
  <c r="AN1151" i="1"/>
  <c r="AN1184" i="1"/>
  <c r="AN90" i="1"/>
  <c r="AN91" i="1"/>
  <c r="AN92" i="1"/>
  <c r="AN93" i="1"/>
  <c r="AN271" i="1"/>
  <c r="AN489" i="1"/>
  <c r="AN490" i="1"/>
  <c r="AN491" i="1"/>
  <c r="AN778" i="1"/>
  <c r="AN779" i="1"/>
  <c r="AN780" i="1"/>
  <c r="AN781" i="1"/>
  <c r="AN782" i="1"/>
  <c r="AN1000" i="1"/>
  <c r="AN1001" i="1"/>
  <c r="AN1002" i="1"/>
  <c r="AN1003" i="1"/>
  <c r="AN1124" i="1"/>
  <c r="AN1238" i="1"/>
  <c r="AN94" i="1"/>
  <c r="AN1239" i="1"/>
  <c r="AN1252" i="1"/>
  <c r="AN492" i="1"/>
  <c r="AN783" i="1"/>
  <c r="AN784" i="1"/>
  <c r="AN785" i="1"/>
  <c r="AN1004" i="1"/>
  <c r="AN1185" i="1"/>
  <c r="AN95" i="1"/>
  <c r="AN272" i="1"/>
  <c r="AN273" i="1"/>
  <c r="AN493" i="1"/>
  <c r="AN494" i="1"/>
  <c r="AN495" i="1"/>
  <c r="AN786" i="1"/>
  <c r="AN787" i="1"/>
  <c r="AN788" i="1"/>
  <c r="AN1005" i="1"/>
  <c r="AN1053" i="1"/>
  <c r="AN96" i="1"/>
  <c r="AN274" i="1"/>
  <c r="AN330" i="1"/>
  <c r="AN789" i="1"/>
  <c r="AN790" i="1"/>
  <c r="AN791" i="1"/>
  <c r="AN97" i="1"/>
  <c r="AN98" i="1"/>
  <c r="AN99" i="1"/>
  <c r="AN100" i="1"/>
  <c r="AN196" i="1"/>
  <c r="AN275" i="1"/>
  <c r="AN276" i="1"/>
  <c r="AN277" i="1"/>
  <c r="AN278" i="1"/>
  <c r="AN279" i="1"/>
  <c r="AN280" i="1"/>
  <c r="AN331" i="1"/>
  <c r="AN332" i="1"/>
  <c r="AN496" i="1"/>
  <c r="AN497" i="1"/>
  <c r="AN792" i="1"/>
  <c r="AN793" i="1"/>
  <c r="AN794" i="1"/>
  <c r="AN795" i="1"/>
  <c r="AN796" i="1"/>
  <c r="AN797" i="1"/>
  <c r="AN798" i="1"/>
  <c r="AN1006" i="1"/>
  <c r="AN1007" i="1"/>
  <c r="AN1008" i="1"/>
  <c r="AN1009" i="1"/>
  <c r="AN1125" i="1"/>
  <c r="AN1152" i="1"/>
  <c r="AN1186" i="1"/>
  <c r="AN1240" i="1"/>
  <c r="AN1241" i="1"/>
  <c r="AN1242" i="1"/>
  <c r="AN101" i="1"/>
  <c r="AN102" i="1"/>
  <c r="AN103" i="1"/>
  <c r="AN104" i="1"/>
  <c r="AN105" i="1"/>
  <c r="AN106" i="1"/>
  <c r="AN107" i="1"/>
  <c r="AN108" i="1"/>
  <c r="AN109" i="1"/>
  <c r="AN110" i="1"/>
  <c r="AN111" i="1"/>
  <c r="AN112" i="1"/>
  <c r="AN113" i="1"/>
  <c r="AN114" i="1"/>
  <c r="AN115" i="1"/>
  <c r="AN116" i="1"/>
  <c r="AN333" i="1"/>
  <c r="AN334" i="1"/>
  <c r="AN799" i="1"/>
  <c r="AN800" i="1"/>
  <c r="AN1219" i="1"/>
  <c r="AN117" i="1"/>
  <c r="AN118" i="1"/>
  <c r="AN281" i="1"/>
  <c r="AN498" i="1"/>
  <c r="AN801" i="1"/>
  <c r="AN802" i="1"/>
  <c r="AN1010" i="1"/>
  <c r="AN1187" i="1"/>
  <c r="AN282" i="1"/>
  <c r="AN283" i="1"/>
  <c r="AN284" i="1"/>
  <c r="AN1286" i="1"/>
  <c r="AN1287" i="1"/>
  <c r="AN285" i="1"/>
  <c r="AN286" i="1"/>
  <c r="AN499" i="1"/>
  <c r="AN500" i="1"/>
  <c r="AN803" i="1"/>
  <c r="AN804" i="1"/>
  <c r="AN1011" i="1"/>
  <c r="AN1167" i="1"/>
  <c r="AN1168" i="1"/>
  <c r="AN3" i="1"/>
  <c r="AN119" i="1"/>
  <c r="AN120" i="1"/>
  <c r="AN121" i="1"/>
  <c r="AN122" i="1"/>
  <c r="AN123" i="1"/>
  <c r="AN189" i="1"/>
  <c r="AN287" i="1"/>
  <c r="AN501" i="1"/>
  <c r="AN502" i="1"/>
  <c r="AN805" i="1"/>
  <c r="AN806" i="1"/>
  <c r="AN807" i="1"/>
  <c r="AN1012" i="1"/>
  <c r="AN1013" i="1"/>
  <c r="AN124" i="1"/>
  <c r="AN288" i="1"/>
  <c r="AN503" i="1"/>
  <c r="AN125" i="1"/>
  <c r="AN190" i="1"/>
  <c r="AN289" i="1"/>
  <c r="AN290" i="1"/>
  <c r="AN291" i="1"/>
  <c r="AN1188" i="1"/>
  <c r="AN191" i="1"/>
  <c r="AN292" i="1"/>
  <c r="AN504" i="1"/>
  <c r="AN505" i="1"/>
  <c r="AN808" i="1"/>
  <c r="AN868" i="1"/>
  <c r="AN1014" i="1"/>
  <c r="AN1015" i="1"/>
  <c r="AN1016" i="1"/>
  <c r="AN126" i="1"/>
  <c r="AN127" i="1"/>
  <c r="AN293" i="1"/>
  <c r="AN294" i="1"/>
  <c r="AN506" i="1"/>
  <c r="AN1017" i="1"/>
  <c r="AN1018" i="1"/>
  <c r="AN1019" i="1"/>
  <c r="AN1020" i="1"/>
  <c r="AN1153" i="1"/>
  <c r="AN1154" i="1"/>
  <c r="AN128" i="1"/>
  <c r="AN129" i="1"/>
  <c r="AN130" i="1"/>
  <c r="AN197" i="1"/>
  <c r="AN198" i="1"/>
  <c r="AN295" i="1"/>
  <c r="AN507" i="1"/>
  <c r="AN508" i="1"/>
  <c r="AN509" i="1"/>
  <c r="AN510" i="1"/>
  <c r="AN511" i="1"/>
  <c r="AN512" i="1"/>
  <c r="AN513" i="1"/>
  <c r="AN809" i="1"/>
  <c r="AN810" i="1"/>
  <c r="AN811" i="1"/>
  <c r="AN812" i="1"/>
  <c r="AN813" i="1"/>
  <c r="AN814" i="1"/>
  <c r="AN1021" i="1"/>
  <c r="AN1022" i="1"/>
  <c r="AN1023" i="1"/>
  <c r="AN1024" i="1"/>
  <c r="AN1243" i="1"/>
  <c r="AN1244" i="1"/>
  <c r="AN131" i="1"/>
  <c r="AN317" i="1"/>
  <c r="AN335" i="1"/>
  <c r="AN514" i="1"/>
  <c r="AN815" i="1"/>
  <c r="AN1025" i="1"/>
  <c r="AN1126" i="1"/>
  <c r="AN1127" i="1"/>
  <c r="AN132" i="1"/>
  <c r="AN296" i="1"/>
  <c r="AN515" i="1"/>
  <c r="AN816" i="1"/>
  <c r="AN1026" i="1"/>
  <c r="AN1027" i="1"/>
  <c r="AN1128" i="1"/>
  <c r="AN133" i="1"/>
  <c r="AN134" i="1"/>
  <c r="AN135" i="1"/>
  <c r="AN136" i="1"/>
  <c r="AN137" i="1"/>
  <c r="AN138" i="1"/>
  <c r="AN139" i="1"/>
  <c r="AN140" i="1"/>
  <c r="AN141" i="1"/>
  <c r="AN142" i="1"/>
  <c r="AN297" i="1"/>
  <c r="AN298" i="1"/>
  <c r="AN299" i="1"/>
  <c r="AN336" i="1"/>
  <c r="AN516" i="1"/>
  <c r="AN517" i="1"/>
  <c r="AN518" i="1"/>
  <c r="AN519" i="1"/>
  <c r="AN520" i="1"/>
  <c r="AN521" i="1"/>
  <c r="AN522" i="1"/>
  <c r="AN523" i="1"/>
  <c r="AN817" i="1"/>
  <c r="AN818" i="1"/>
  <c r="AN819" i="1"/>
  <c r="AN820" i="1"/>
  <c r="AN821" i="1"/>
  <c r="AN822" i="1"/>
  <c r="AN823" i="1"/>
  <c r="AN1028" i="1"/>
  <c r="AN1220" i="1"/>
  <c r="AN143" i="1"/>
  <c r="AN144" i="1"/>
  <c r="AN300" i="1"/>
  <c r="AN301" i="1"/>
  <c r="AN302" i="1"/>
  <c r="AN303" i="1"/>
  <c r="AN524" i="1"/>
  <c r="AN525" i="1"/>
  <c r="AN526" i="1"/>
  <c r="AN527" i="1"/>
  <c r="AN824" i="1"/>
  <c r="AN825" i="1"/>
  <c r="AN826" i="1"/>
  <c r="AN827" i="1"/>
  <c r="AN828" i="1"/>
  <c r="AN829" i="1"/>
  <c r="AN830" i="1"/>
  <c r="AN831" i="1"/>
  <c r="AN1221" i="1"/>
  <c r="AN1245" i="1"/>
  <c r="AN4" i="1"/>
  <c r="AN145" i="1"/>
  <c r="AN146" i="1"/>
  <c r="AN147" i="1"/>
  <c r="AN148" i="1"/>
  <c r="AN149" i="1"/>
  <c r="AN199" i="1"/>
  <c r="AN304" i="1"/>
  <c r="AN305" i="1"/>
  <c r="AN306" i="1"/>
  <c r="AN528" i="1"/>
  <c r="AN529" i="1"/>
  <c r="AN530" i="1"/>
  <c r="AN531" i="1"/>
  <c r="AN532" i="1"/>
  <c r="AN533" i="1"/>
  <c r="AN534" i="1"/>
  <c r="AN535" i="1"/>
  <c r="AN536" i="1"/>
  <c r="AN832" i="1"/>
  <c r="AN833" i="1"/>
  <c r="AN834" i="1"/>
  <c r="AN835" i="1"/>
  <c r="AN836" i="1"/>
  <c r="AN837" i="1"/>
  <c r="AN838" i="1"/>
  <c r="AN1029" i="1"/>
  <c r="AN1030" i="1"/>
  <c r="AN1031" i="1"/>
  <c r="AN1032" i="1"/>
  <c r="AN1033" i="1"/>
  <c r="AN1034" i="1"/>
  <c r="AN1035" i="1"/>
  <c r="AN1189" i="1"/>
  <c r="AN1222" i="1"/>
  <c r="AN150" i="1"/>
  <c r="AN151" i="1"/>
  <c r="AN152" i="1"/>
  <c r="AN153" i="1"/>
  <c r="AN154" i="1"/>
  <c r="AN155" i="1"/>
  <c r="AN156" i="1"/>
  <c r="AN307" i="1"/>
  <c r="AN308" i="1"/>
  <c r="AN309" i="1"/>
  <c r="AN537" i="1"/>
  <c r="AN538" i="1"/>
  <c r="AN839" i="1"/>
  <c r="AN840" i="1"/>
  <c r="AN841" i="1"/>
  <c r="AN842" i="1"/>
  <c r="AN843" i="1"/>
  <c r="AN844" i="1"/>
  <c r="AN869" i="1"/>
  <c r="AN1036" i="1"/>
  <c r="AN1037" i="1"/>
  <c r="AN1038" i="1"/>
  <c r="AN1039" i="1"/>
  <c r="AN1040" i="1"/>
  <c r="AN1041" i="1"/>
  <c r="AN1079" i="1"/>
  <c r="AN1223" i="1"/>
  <c r="AN157" i="1"/>
  <c r="AN158" i="1"/>
  <c r="AN159" i="1"/>
  <c r="AN160" i="1"/>
  <c r="AN161" i="1"/>
  <c r="AN162" i="1"/>
  <c r="AN163" i="1"/>
  <c r="AN164" i="1"/>
  <c r="AN165" i="1"/>
  <c r="AN539" i="1"/>
  <c r="AN540" i="1"/>
  <c r="AN541" i="1"/>
  <c r="AN542" i="1"/>
  <c r="AN543" i="1"/>
  <c r="AN544" i="1"/>
  <c r="AN545" i="1"/>
  <c r="AN845" i="1"/>
  <c r="AN846" i="1"/>
  <c r="AN847" i="1"/>
  <c r="AN848" i="1"/>
  <c r="AN1190" i="1"/>
  <c r="AN1191" i="1"/>
  <c r="AN1253" i="1"/>
  <c r="AN1254" i="1"/>
  <c r="AN1255" i="1"/>
  <c r="AN1256" i="1"/>
  <c r="AN1257" i="1"/>
  <c r="AN1258" i="1"/>
  <c r="AN1259" i="1"/>
  <c r="AN1260" i="1"/>
  <c r="AN1261" i="1"/>
  <c r="AN1262" i="1"/>
  <c r="AN1280" i="1"/>
  <c r="AN1281" i="1"/>
  <c r="AN1282" i="1"/>
  <c r="AN1283" i="1"/>
  <c r="AN166" i="1"/>
  <c r="AN167" i="1"/>
  <c r="AN310" i="1"/>
  <c r="AN311" i="1"/>
  <c r="AN312" i="1"/>
  <c r="AN313" i="1"/>
  <c r="AN314" i="1"/>
  <c r="AN337" i="1"/>
  <c r="AN546" i="1"/>
  <c r="AN547" i="1"/>
  <c r="AN548" i="1"/>
  <c r="AN549" i="1"/>
  <c r="AN849" i="1"/>
  <c r="AN850" i="1"/>
  <c r="AN1042" i="1"/>
  <c r="AN1087" i="1"/>
  <c r="AN1263" i="1"/>
  <c r="AN168" i="1"/>
  <c r="AN169" i="1"/>
  <c r="AN170" i="1"/>
  <c r="AN171" i="1"/>
  <c r="AN172" i="1"/>
  <c r="AN173" i="1"/>
  <c r="AN200" i="1"/>
  <c r="AN851" i="1"/>
  <c r="AN852" i="1"/>
  <c r="AN853" i="1"/>
  <c r="AN1043" i="1"/>
  <c r="AN1044" i="1"/>
  <c r="AN1080" i="1"/>
  <c r="AN1088" i="1"/>
  <c r="AN5" i="1"/>
  <c r="AN174" i="1"/>
  <c r="AN175" i="1"/>
  <c r="AN315" i="1"/>
  <c r="AN854" i="1"/>
  <c r="AN855" i="1"/>
  <c r="AN856" i="1"/>
  <c r="AN857" i="1"/>
  <c r="AN858" i="1"/>
  <c r="AN859" i="1"/>
  <c r="AN860" i="1"/>
  <c r="AN1129" i="1"/>
  <c r="AN1130" i="1"/>
  <c r="AN6" i="1"/>
  <c r="AN7" i="1"/>
  <c r="AN1192" i="1"/>
  <c r="AN1193" i="1"/>
  <c r="AN176" i="1"/>
  <c r="AN861" i="1"/>
  <c r="AN1045" i="1"/>
  <c r="AN1046" i="1"/>
  <c r="AN1047" i="1"/>
  <c r="AN177" i="1"/>
  <c r="AN178" i="1"/>
</calcChain>
</file>

<file path=xl/sharedStrings.xml><?xml version="1.0" encoding="utf-8"?>
<sst xmlns="http://schemas.openxmlformats.org/spreadsheetml/2006/main" count="21913" uniqueCount="6669">
  <si>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</si>
  <si>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</si>
  <si>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</si>
  <si>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</si>
  <si>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</si>
  <si>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</si>
  <si>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</si>
  <si>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</si>
  <si>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</si>
  <si>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</si>
  <si>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</si>
  <si>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</si>
  <si>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</si>
  <si>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</si>
  <si>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</si>
  <si>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</si>
  <si>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</si>
  <si>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</si>
  <si>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</si>
  <si>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</si>
  <si>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</si>
  <si>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</si>
  <si>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</si>
  <si>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</si>
  <si>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</si>
  <si>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</si>
  <si>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</si>
  <si>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</si>
  <si>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</si>
  <si>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</si>
  <si>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</si>
  <si>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</si>
  <si>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</si>
  <si>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</si>
  <si>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</si>
  <si>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</si>
  <si>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</si>
  <si>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</si>
  <si>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</si>
  <si>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Cairo 2</t>
  </si>
  <si>
    <t>Καναλλάκι</t>
  </si>
  <si>
    <t>Ηπείρου</t>
  </si>
  <si>
    <t>Πάργας</t>
  </si>
  <si>
    <t>Πρέβεζας</t>
  </si>
  <si>
    <t>Ακριβής</t>
  </si>
  <si>
    <t>Κατοικίες</t>
  </si>
  <si>
    <t>Αποθήκη</t>
  </si>
  <si>
    <t>Υπόγειο</t>
  </si>
  <si>
    <t>Εξ αδιαιρέτου</t>
  </si>
  <si>
    <t>eAuction - Αναρτημένος</t>
  </si>
  <si>
    <t>Επαγγελματικοί Χώροι</t>
  </si>
  <si>
    <t>Κατάστημα</t>
  </si>
  <si>
    <t>Ισόγειο</t>
  </si>
  <si>
    <t>Διαμέρισμα 100 τ.μ. - 50% εξ αδιαιρέτου</t>
  </si>
  <si>
    <t>Διαμέρισμα</t>
  </si>
  <si>
    <t>1ος</t>
  </si>
  <si>
    <t>Άλλο</t>
  </si>
  <si>
    <t>50||100</t>
  </si>
  <si>
    <t>inf</t>
  </si>
  <si>
    <t>Frontier - Retail</t>
  </si>
  <si>
    <t>Διαμέρισμα 73 τ.μ.</t>
  </si>
  <si>
    <t>Θεσσαλονίκη</t>
  </si>
  <si>
    <t>Κεντρικής Μακεδονίας</t>
  </si>
  <si>
    <t>Θεσσαλονίκης</t>
  </si>
  <si>
    <t>4ος</t>
  </si>
  <si>
    <t>Διαμέρισμα 46 τ.μ.</t>
  </si>
  <si>
    <t>Κορυδαλλός</t>
  </si>
  <si>
    <t>Αττικής</t>
  </si>
  <si>
    <t>Κορυδαλλού</t>
  </si>
  <si>
    <t>eAuction - Ανεσταλμένος</t>
  </si>
  <si>
    <t>Διαμέρισμα 100 τ.μ.</t>
  </si>
  <si>
    <t>Mexico Retail</t>
  </si>
  <si>
    <t>Πανόραμα</t>
  </si>
  <si>
    <t>Πυλαίας - Χορτιάτη</t>
  </si>
  <si>
    <t>Εύοσμος</t>
  </si>
  <si>
    <t>Κορδελιού - Ευόσμου</t>
  </si>
  <si>
    <t>Πάρκινγκ</t>
  </si>
  <si>
    <t>Μονοκατοικία 90 τ.μ.</t>
  </si>
  <si>
    <t>Δίου - Ολύμπου</t>
  </si>
  <si>
    <t>Πιερίας</t>
  </si>
  <si>
    <t>Μεγάλη Περιοχή</t>
  </si>
  <si>
    <t>Μονοκατοικία</t>
  </si>
  <si>
    <t>Διαμέρισμα 102 τ.μ.</t>
  </si>
  <si>
    <t>Περιστέρι</t>
  </si>
  <si>
    <t>Περιστερίου</t>
  </si>
  <si>
    <t>2ος</t>
  </si>
  <si>
    <t>ΔΔΔ - Αναρτημένος</t>
  </si>
  <si>
    <t>Κρύα Βρύση</t>
  </si>
  <si>
    <t>Πέλλας</t>
  </si>
  <si>
    <t>Frontier II - Corporate</t>
  </si>
  <si>
    <t>Καλλιθέα</t>
  </si>
  <si>
    <t>Καλλιθέας</t>
  </si>
  <si>
    <t>Δικαίωμα Υψούν</t>
  </si>
  <si>
    <t>Τυμπάκι</t>
  </si>
  <si>
    <t>Κρήτης</t>
  </si>
  <si>
    <t>Φαιστού</t>
  </si>
  <si>
    <t>Ηρακλείου</t>
  </si>
  <si>
    <t>Γη</t>
  </si>
  <si>
    <t>Οικόπεδο</t>
  </si>
  <si>
    <t>Διαμέρισμα 68 τ.μ.</t>
  </si>
  <si>
    <t>3ος</t>
  </si>
  <si>
    <t>Κοζάνη</t>
  </si>
  <si>
    <t>Δυτικής Μακεδονίας</t>
  </si>
  <si>
    <t>Κοζάνης</t>
  </si>
  <si>
    <t>Χανιά</t>
  </si>
  <si>
    <t>Χανίων</t>
  </si>
  <si>
    <t>Βέροια</t>
  </si>
  <si>
    <t>Βέροιας</t>
  </si>
  <si>
    <t>Ημαθίας</t>
  </si>
  <si>
    <t>Διαμέρισμα 78 τ.μ.</t>
  </si>
  <si>
    <t>Λαμία</t>
  </si>
  <si>
    <t>Στερεάς Ελλάδας</t>
  </si>
  <si>
    <t>Λαμιέων</t>
  </si>
  <si>
    <t>Φθιώτιδας</t>
  </si>
  <si>
    <t>Διαμέρισμα 75 τ.μ.</t>
  </si>
  <si>
    <t>Αθήνα</t>
  </si>
  <si>
    <t>Αθηναίων</t>
  </si>
  <si>
    <t>Frontier - Corporate</t>
  </si>
  <si>
    <t>Αγροτεμάχιο</t>
  </si>
  <si>
    <t>Μεγάλη Βρύση</t>
  </si>
  <si>
    <t>Mexico Corporate</t>
  </si>
  <si>
    <t>Μέγαρα</t>
  </si>
  <si>
    <t>Μεγαρέων</t>
  </si>
  <si>
    <t>Κάτω Αχαΐα</t>
  </si>
  <si>
    <t>Δυτικής Ελλάδας</t>
  </si>
  <si>
    <t>Δυτικής Αχαΐας</t>
  </si>
  <si>
    <t>Αχαΐας</t>
  </si>
  <si>
    <t>Χαλκηδόνος</t>
  </si>
  <si>
    <t>Παπαφλέσσα</t>
  </si>
  <si>
    <t>Cairo 3</t>
  </si>
  <si>
    <t>Θέση στάθμευσης 13 τ.μ.</t>
  </si>
  <si>
    <t>Μεταμόρφωση</t>
  </si>
  <si>
    <t>Μεταμορφώσεως</t>
  </si>
  <si>
    <t>Υπόγειο parking</t>
  </si>
  <si>
    <t>Διαμέρισμα 77 τ.μ.</t>
  </si>
  <si>
    <t>Τρίκαλα</t>
  </si>
  <si>
    <t>Θεσσαλίας</t>
  </si>
  <si>
    <t>Τρικκαίων</t>
  </si>
  <si>
    <t>Τρικάλων</t>
  </si>
  <si>
    <t>Frontier II - Retail</t>
  </si>
  <si>
    <t>Διαμέρισμα 107 τ.μ.</t>
  </si>
  <si>
    <t>Αχαρνές</t>
  </si>
  <si>
    <t>Αχαρνών</t>
  </si>
  <si>
    <t>Ιωάννινα</t>
  </si>
  <si>
    <t>Ιωαννιτών</t>
  </si>
  <si>
    <t>Ιωαννίνων</t>
  </si>
  <si>
    <t>Διαμέρισμα 47 τ.μ.</t>
  </si>
  <si>
    <t>Λάρισα</t>
  </si>
  <si>
    <t>Λαρισαίων</t>
  </si>
  <si>
    <t>Λάρισας</t>
  </si>
  <si>
    <t>ERB Retail</t>
  </si>
  <si>
    <t>Βέργα</t>
  </si>
  <si>
    <t>Πελοποννήσου</t>
  </si>
  <si>
    <t>Καλαμάτας</t>
  </si>
  <si>
    <t>Μεσσηνίας</t>
  </si>
  <si>
    <t>Κέρκυρα</t>
  </si>
  <si>
    <t>Ιονίων Νήσων</t>
  </si>
  <si>
    <t>Κέρκυρας</t>
  </si>
  <si>
    <t>Πεύκη</t>
  </si>
  <si>
    <t>Λυκόβρυσης - Πεύκης</t>
  </si>
  <si>
    <t>Parking πιλοτής</t>
  </si>
  <si>
    <t>Ψιλή κυριότητα</t>
  </si>
  <si>
    <t>Διαμέρισμα 71 τ.μ.</t>
  </si>
  <si>
    <t>Λιβαδειά</t>
  </si>
  <si>
    <t>Λεβαδέων</t>
  </si>
  <si>
    <t>Βοιωτίας</t>
  </si>
  <si>
    <t>Leon Retail</t>
  </si>
  <si>
    <t>Διαμέρισμα 80 τ.μ.</t>
  </si>
  <si>
    <t>Νέα Ιωνία</t>
  </si>
  <si>
    <t>Νέας Ιωνίας</t>
  </si>
  <si>
    <t>Ναύπλιο</t>
  </si>
  <si>
    <t>Ναυπλιέων</t>
  </si>
  <si>
    <t>Αργολίδας</t>
  </si>
  <si>
    <t>Χαλκίδα</t>
  </si>
  <si>
    <t>Χαλκιδέων</t>
  </si>
  <si>
    <t>Εύβοιας</t>
  </si>
  <si>
    <t>Γραφείο</t>
  </si>
  <si>
    <t>Οικόπεδο 500 τ.μ.</t>
  </si>
  <si>
    <t>Κάρυστος</t>
  </si>
  <si>
    <t>Καρύστου</t>
  </si>
  <si>
    <t>Λυγουριό</t>
  </si>
  <si>
    <t>Επιδαύρου</t>
  </si>
  <si>
    <t>Κτήριο</t>
  </si>
  <si>
    <t>Gemini A - Retail</t>
  </si>
  <si>
    <t>Ιστιαία</t>
  </si>
  <si>
    <t>Ιστιαίας - Αιδηψού</t>
  </si>
  <si>
    <t>Βιοτεχνικός Χώρος</t>
  </si>
  <si>
    <t>Καισαριανή</t>
  </si>
  <si>
    <t>Καισαριανής</t>
  </si>
  <si>
    <t>Ημιυπόγειο</t>
  </si>
  <si>
    <t>Δωρίδος</t>
  </si>
  <si>
    <t>Φωκίδας</t>
  </si>
  <si>
    <t>Επικαρπία</t>
  </si>
  <si>
    <t>Διαμέρισμα 94 τ.μ.</t>
  </si>
  <si>
    <t>Πειραιάς</t>
  </si>
  <si>
    <t>Πειραιώς</t>
  </si>
  <si>
    <t>Νοτίου Αιγαίου</t>
  </si>
  <si>
    <t>Άνδρου</t>
  </si>
  <si>
    <t>Κυκλάδων</t>
  </si>
  <si>
    <t>Αρτας</t>
  </si>
  <si>
    <t>Φιλοθέη Άρτας</t>
  </si>
  <si>
    <t>Αρταίων</t>
  </si>
  <si>
    <t>Διαμέρισμα 84 τ.μ.</t>
  </si>
  <si>
    <t>Σέρρες</t>
  </si>
  <si>
    <t>Σερρών</t>
  </si>
  <si>
    <t>Διαμέρισμα 57 τ.μ.</t>
  </si>
  <si>
    <t>Κερατσίνι</t>
  </si>
  <si>
    <t>Κερατσινίου - Δραπετσώνας</t>
  </si>
  <si>
    <t>Διαμέρισμα 55 τ.μ.</t>
  </si>
  <si>
    <t>Θέση στάθμευσης 12 τ.μ.</t>
  </si>
  <si>
    <t>Πέραμα</t>
  </si>
  <si>
    <t>Περάματος</t>
  </si>
  <si>
    <t>Διαμέρισμα 64 τ.μ.</t>
  </si>
  <si>
    <t>Heliopolis II - Retail</t>
  </si>
  <si>
    <t>Διαμέρισμα 83 τ.μ.</t>
  </si>
  <si>
    <t>Cairo 1</t>
  </si>
  <si>
    <t>Διαμέρισμα 104 τ.μ.</t>
  </si>
  <si>
    <t>Πτολεμαΐδα</t>
  </si>
  <si>
    <t>Εορδαίας</t>
  </si>
  <si>
    <t>Διαμέρισμα 101 τ.μ.</t>
  </si>
  <si>
    <t>Βέλου - Βόχας</t>
  </si>
  <si>
    <t>Κορινθίας</t>
  </si>
  <si>
    <t>Αμύνταιο</t>
  </si>
  <si>
    <t>Αμυνταίου</t>
  </si>
  <si>
    <t>Φλώρινας</t>
  </si>
  <si>
    <t>Βορείου Αιγαίου</t>
  </si>
  <si>
    <t>Χίου</t>
  </si>
  <si>
    <t>Κατερίνη</t>
  </si>
  <si>
    <t>Κατερίνης</t>
  </si>
  <si>
    <t>Καβάλα</t>
  </si>
  <si>
    <t>Ανατολικής Μακεδονίας &amp; Θράκης</t>
  </si>
  <si>
    <t>Καβάλας</t>
  </si>
  <si>
    <t>Χώρος</t>
  </si>
  <si>
    <t>Άγιος Νικόλαος Λασιθίου</t>
  </si>
  <si>
    <t>Αγίου Νικολάου</t>
  </si>
  <si>
    <t>Λασιθίου</t>
  </si>
  <si>
    <t>Μανιάκοι</t>
  </si>
  <si>
    <t>Καστοριάς</t>
  </si>
  <si>
    <t>Κιλκίς</t>
  </si>
  <si>
    <t>Πεδινό</t>
  </si>
  <si>
    <t>Διαμέρισμα 115 τ.μ.</t>
  </si>
  <si>
    <t>Βριλήσσια</t>
  </si>
  <si>
    <t>Βριλησσίων</t>
  </si>
  <si>
    <t>Αποθήκη 9 τ.μ.</t>
  </si>
  <si>
    <t>Καστοριά</t>
  </si>
  <si>
    <t>Πάρου</t>
  </si>
  <si>
    <t>Διαμέρισμα 128 τ.μ.</t>
  </si>
  <si>
    <t>Διαμέρισμα 123 τ.μ.</t>
  </si>
  <si>
    <t>Χαϊδάρι</t>
  </si>
  <si>
    <t>Χαϊδαρίου</t>
  </si>
  <si>
    <t>Παιανία</t>
  </si>
  <si>
    <t>Παιανίας</t>
  </si>
  <si>
    <t>Λευκάδος</t>
  </si>
  <si>
    <t>Λευκάδας</t>
  </si>
  <si>
    <t>Αγρίνιο</t>
  </si>
  <si>
    <t>Αγρινίου</t>
  </si>
  <si>
    <t>Αιτωλοακαρνανίας</t>
  </si>
  <si>
    <t>Αρκαλοχώρι</t>
  </si>
  <si>
    <t>Μινώα Πεδιάδας</t>
  </si>
  <si>
    <t>Δράμα</t>
  </si>
  <si>
    <t>Δράμας</t>
  </si>
  <si>
    <t>Αγία Βαρβάρα</t>
  </si>
  <si>
    <t>Αγίας Βαρβάρας</t>
  </si>
  <si>
    <t>Μαρούσι</t>
  </si>
  <si>
    <t>Αμαρουσίου</t>
  </si>
  <si>
    <t>Θέση στάθμευσης 11 τ.μ.</t>
  </si>
  <si>
    <t>Σαλαμίνας</t>
  </si>
  <si>
    <t>Νέο Ηράκλειο</t>
  </si>
  <si>
    <t>Νίκαια Λάρισας</t>
  </si>
  <si>
    <t>Κιλελέρ</t>
  </si>
  <si>
    <t>Διαμέρισμα 110 τ.μ.</t>
  </si>
  <si>
    <t>Διαμέρισμα 40 τ.μ.</t>
  </si>
  <si>
    <t>Γρεβενά</t>
  </si>
  <si>
    <t>Γρεβενών</t>
  </si>
  <si>
    <t>Άνω Λιόσια</t>
  </si>
  <si>
    <t>Φυλής</t>
  </si>
  <si>
    <t>Κόρινθος</t>
  </si>
  <si>
    <t>Κορινθίων</t>
  </si>
  <si>
    <t>Heliopolis I - Retail</t>
  </si>
  <si>
    <t>Στυλίδος</t>
  </si>
  <si>
    <t>Διαμέρισμα 87 τ.μ.</t>
  </si>
  <si>
    <t>Χαλάνδρι</t>
  </si>
  <si>
    <t>Χαλανδρίου</t>
  </si>
  <si>
    <t>Μονοκατοικία 100 τ.μ.</t>
  </si>
  <si>
    <t>Κορωπί</t>
  </si>
  <si>
    <t>Κρωπίας</t>
  </si>
  <si>
    <t>33.33</t>
  </si>
  <si>
    <t>Διαμέρισμα 90 τ.μ.</t>
  </si>
  <si>
    <t>Μεζονέτα</t>
  </si>
  <si>
    <t>Επαγγελματικό Κτίριο</t>
  </si>
  <si>
    <t>Διαμέρισμα 60 τ.μ.</t>
  </si>
  <si>
    <t>5ος</t>
  </si>
  <si>
    <t>Κατάστημα 58 τ.μ.</t>
  </si>
  <si>
    <t>Δραπετσώνα</t>
  </si>
  <si>
    <t>Συκάμινο</t>
  </si>
  <si>
    <t>Ωρωπού</t>
  </si>
  <si>
    <t>Αγίου Δημητρίου</t>
  </si>
  <si>
    <t>Διαμέρισμα 82 τ.μ.</t>
  </si>
  <si>
    <t>Ίλιον</t>
  </si>
  <si>
    <t>Ιλίου</t>
  </si>
  <si>
    <t>Νίκαια</t>
  </si>
  <si>
    <t>Νικαίας - Αγίου Ιωάννου Ρέντη</t>
  </si>
  <si>
    <t>Αποθήκη 12 τ.μ.</t>
  </si>
  <si>
    <t>Διαμέρισμα 74 τ.μ.</t>
  </si>
  <si>
    <t>Διαμέρισμα 59 τ.μ.</t>
  </si>
  <si>
    <t>Παλλήνης</t>
  </si>
  <si>
    <t>Πετρούπολη</t>
  </si>
  <si>
    <t>Πετρούπολης</t>
  </si>
  <si>
    <t>Άλιμος</t>
  </si>
  <si>
    <t>Αλίμου</t>
  </si>
  <si>
    <t>Κατάστημα 73 τ.μ.</t>
  </si>
  <si>
    <t>Πεντέλης</t>
  </si>
  <si>
    <t>Διαμέρισμα 85 τ.μ.</t>
  </si>
  <si>
    <t>Μελίσσια</t>
  </si>
  <si>
    <t>Διαμέρισμα 52 τ.μ.</t>
  </si>
  <si>
    <t>Άγιος Κωνσταντίνος Φθιώτιδας</t>
  </si>
  <si>
    <t>Καμένων Βούρλων</t>
  </si>
  <si>
    <t>Διονύσου</t>
  </si>
  <si>
    <t>Κύμη</t>
  </si>
  <si>
    <t>Κύμης - Αλιβερίου</t>
  </si>
  <si>
    <t>Αργοστόλι</t>
  </si>
  <si>
    <t>Κεφαλονιάς</t>
  </si>
  <si>
    <t>Κεφαλληνίας και Ιθάκης</t>
  </si>
  <si>
    <t>Βάρδα</t>
  </si>
  <si>
    <t>Ανδραβίδας - Κυλλήνης</t>
  </si>
  <si>
    <t>Ηλείας</t>
  </si>
  <si>
    <t>Αγροτεμάχιο 4.400 τ.μ.</t>
  </si>
  <si>
    <t>Δικαίωμα υψούν</t>
  </si>
  <si>
    <t>Διαμέρισμα 29 τ.μ.</t>
  </si>
  <si>
    <t>Διαμέρισμα 25 τ.μ.</t>
  </si>
  <si>
    <t>Φλώρινα</t>
  </si>
  <si>
    <t>Κτήρια Μεικτής Χρήσης</t>
  </si>
  <si>
    <t>Πλατανιά  </t>
  </si>
  <si>
    <t>Στυλίδα</t>
  </si>
  <si>
    <t>Αιγιαλείας</t>
  </si>
  <si>
    <t>Θερμαϊκού</t>
  </si>
  <si>
    <t>Διαμέρισμα 67 τ.μ. με θέση στάθμευσης</t>
  </si>
  <si>
    <t>Διαμέρισμα 42 τ.μ.</t>
  </si>
  <si>
    <t>Μονοκατοικία 184 τ.μ.</t>
  </si>
  <si>
    <t>Διαμέρισμα 69 τ.μ.</t>
  </si>
  <si>
    <t>Γλυφάδα</t>
  </si>
  <si>
    <t>Γλυφάδας</t>
  </si>
  <si>
    <t>Αποθήκη 8 τ.μ.</t>
  </si>
  <si>
    <t>Διαμέρισμα 109 τ.μ.</t>
  </si>
  <si>
    <t>Γραφείο 20 τ.μ.</t>
  </si>
  <si>
    <t>Αποθήκη 6 τ.μ.</t>
  </si>
  <si>
    <t>Διαμέρισμα 76 τ.μ.</t>
  </si>
  <si>
    <t>Δροσιά Ευβοίας</t>
  </si>
  <si>
    <t>Παιονίας</t>
  </si>
  <si>
    <t>Αίγινας</t>
  </si>
  <si>
    <t>Άγιοι Ανάργυροι</t>
  </si>
  <si>
    <t>Αγίων Αναργύρων - Καματερού</t>
  </si>
  <si>
    <t>Σελήνια</t>
  </si>
  <si>
    <t>Αριδαία</t>
  </si>
  <si>
    <t>Αλμωπίας</t>
  </si>
  <si>
    <t>Νεοχώρι</t>
  </si>
  <si>
    <t>Αλίαρτος</t>
  </si>
  <si>
    <t>Αλιάρτου - Θεσπιέων</t>
  </si>
  <si>
    <t>Διαμέρισμα 98 τ.μ.</t>
  </si>
  <si>
    <t>Σοφάδες</t>
  </si>
  <si>
    <t>Σοφάδων</t>
  </si>
  <si>
    <t>Καρδίτσας</t>
  </si>
  <si>
    <t>Αμφιλοχίας</t>
  </si>
  <si>
    <t>Ωραιοκάστρου</t>
  </si>
  <si>
    <t>Ιεράς Πόλης Μεσολογγίου</t>
  </si>
  <si>
    <t>Θέση στάθμευσης 10 τ.μ.</t>
  </si>
  <si>
    <t>Μονοκατοικία 85 τ.μ.</t>
  </si>
  <si>
    <t>Διαμέρισμα 49 τ.μ.</t>
  </si>
  <si>
    <t>Έδεσσα</t>
  </si>
  <si>
    <t>Έδεσσας</t>
  </si>
  <si>
    <t>Gemini A - Corporate</t>
  </si>
  <si>
    <t>Βιομηχανικός Χώρος</t>
  </si>
  <si>
    <t>Κρανίδι</t>
  </si>
  <si>
    <t>Ερμιονίδας</t>
  </si>
  <si>
    <t>Ηλιούπολη</t>
  </si>
  <si>
    <t>Ηλιουπόλεως</t>
  </si>
  <si>
    <t>Γραφείο 32 τ.μ.</t>
  </si>
  <si>
    <t>Λοκρών</t>
  </si>
  <si>
    <t>Λαύριο</t>
  </si>
  <si>
    <t>Λαυρεωτικής</t>
  </si>
  <si>
    <t>Διαμέρισμα 97 τ.μ.</t>
  </si>
  <si>
    <t>Αίγιο</t>
  </si>
  <si>
    <t>Σαλαμίνα</t>
  </si>
  <si>
    <t>Διαμέρισμα 92 τ.μ.</t>
  </si>
  <si>
    <t>Αιγάλεω</t>
  </si>
  <si>
    <t>Βάρη</t>
  </si>
  <si>
    <t>Βάρης - Βούλας - Βουλιαγμένης</t>
  </si>
  <si>
    <t>Νέα Καλλικράτεια</t>
  </si>
  <si>
    <t>Νέας Προποντίδας</t>
  </si>
  <si>
    <t>Χαλκιδικής</t>
  </si>
  <si>
    <t>Πολίχνη</t>
  </si>
  <si>
    <t>Παύλου Μελά</t>
  </si>
  <si>
    <t>Σταυρούπολη</t>
  </si>
  <si>
    <t>Μοσχάτο</t>
  </si>
  <si>
    <t>Μοσχάτου - Ταύρου</t>
  </si>
  <si>
    <t>Δικαίωμα κατασκευής</t>
  </si>
  <si>
    <t>Δωδεκανήσου</t>
  </si>
  <si>
    <t>Διαμέρισμα 89 τ.μ.</t>
  </si>
  <si>
    <t>Αστακός</t>
  </si>
  <si>
    <t>Ξηρομέρου</t>
  </si>
  <si>
    <t>Κριτσά</t>
  </si>
  <si>
    <t>Μελίκη</t>
  </si>
  <si>
    <t>Αλεξάνδρειας</t>
  </si>
  <si>
    <t>Διαμέρισμα 112 τ.μ.</t>
  </si>
  <si>
    <t>Πάτρα</t>
  </si>
  <si>
    <t>Πατρέων</t>
  </si>
  <si>
    <t>Μεσολόγγι</t>
  </si>
  <si>
    <t>Θάσος</t>
  </si>
  <si>
    <t>Θάσου</t>
  </si>
  <si>
    <t>Μονοκατοικία 136 τ.μ.</t>
  </si>
  <si>
    <t>Μονοκατοικία 185 τ.μ.</t>
  </si>
  <si>
    <t>Suez - Retail</t>
  </si>
  <si>
    <t>Προσοτσάνη</t>
  </si>
  <si>
    <t>Προσοτσάνης</t>
  </si>
  <si>
    <t>41.124879057429300,23.987021017436800</t>
  </si>
  <si>
    <t>090350411006/0/0</t>
  </si>
  <si>
    <t>Ερμιόνη</t>
  </si>
  <si>
    <t>Αποθήκη 4 τ.μ.</t>
  </si>
  <si>
    <t>Διαμέρισμα 86 τ.μ.</t>
  </si>
  <si>
    <t>Καλαμάτα</t>
  </si>
  <si>
    <t>Γέρακας</t>
  </si>
  <si>
    <t>Νάουσα</t>
  </si>
  <si>
    <t>Ηρωικής Πόλεως Νάουσας</t>
  </si>
  <si>
    <t>Ξυλοκάστρου - Ευρωστίνης</t>
  </si>
  <si>
    <t>Διαμέρισμα 88 τ.μ.</t>
  </si>
  <si>
    <t>Ξάνθη</t>
  </si>
  <si>
    <t>Ξάνθης</t>
  </si>
  <si>
    <t>Διαμέρισμα 63 τ.μ.</t>
  </si>
  <si>
    <t>Αποθήκη 41 τ.μ.</t>
  </si>
  <si>
    <t>Μονοκατοικία 165 τ.μ.</t>
  </si>
  <si>
    <t>Αξιούπολη</t>
  </si>
  <si>
    <t>Χολαργός</t>
  </si>
  <si>
    <t>Παπάγου - Χολαργού</t>
  </si>
  <si>
    <t>Αρχάνες</t>
  </si>
  <si>
    <t>Αρχανών - Αστερουσίων</t>
  </si>
  <si>
    <t>Διαμέρισμα 96 τ.μ.</t>
  </si>
  <si>
    <t>Διαμέρισμα 70 τ.μ.</t>
  </si>
  <si>
    <t>Αγία Παρασκευή</t>
  </si>
  <si>
    <t>Αγίας Παρασκευής</t>
  </si>
  <si>
    <t>Ρίο</t>
  </si>
  <si>
    <t>Μαλεσίνα</t>
  </si>
  <si>
    <t>Θέση στάθμευσης 27 τ.μ.</t>
  </si>
  <si>
    <t>Θήβα</t>
  </si>
  <si>
    <t>Θηβαίων</t>
  </si>
  <si>
    <t>Νεμέα</t>
  </si>
  <si>
    <t>Νεμέας</t>
  </si>
  <si>
    <t>Ζωγράφος</t>
  </si>
  <si>
    <t>Ζωγράφου</t>
  </si>
  <si>
    <t>Μυλοποτάμου</t>
  </si>
  <si>
    <t>Ρεθύμνου</t>
  </si>
  <si>
    <t>Βόλος</t>
  </si>
  <si>
    <t>Βόλου</t>
  </si>
  <si>
    <t>Μαγνησίας</t>
  </si>
  <si>
    <t>Ξυλόκαστρο</t>
  </si>
  <si>
    <t>Σητεία</t>
  </si>
  <si>
    <t>Σητείας</t>
  </si>
  <si>
    <t>Λαγκαδάς</t>
  </si>
  <si>
    <t>Λαγκαδά</t>
  </si>
  <si>
    <t>Μονοκατοικία 74 τ.μ.</t>
  </si>
  <si>
    <t>Ρέθυμνο</t>
  </si>
  <si>
    <t>Ρεθύμνης</t>
  </si>
  <si>
    <t>Διαμέρισμα 95 τ.μ.</t>
  </si>
  <si>
    <t>Αλεξανδρούπολη</t>
  </si>
  <si>
    <t>Αλεξανδρούπολης</t>
  </si>
  <si>
    <t>Έβρου</t>
  </si>
  <si>
    <t>Αποκορώνου </t>
  </si>
  <si>
    <t>Ιεράπετρα</t>
  </si>
  <si>
    <t>Ιεράπετρας</t>
  </si>
  <si>
    <t>Διαμέρισμα 91 τ.μ.</t>
  </si>
  <si>
    <t>Σορωνή</t>
  </si>
  <si>
    <t>Ρόδου</t>
  </si>
  <si>
    <t>Πύλη</t>
  </si>
  <si>
    <t>Πύλης</t>
  </si>
  <si>
    <t>Διαμέρισμα 83 τ.μ. με θέση στάθμευσης</t>
  </si>
  <si>
    <t>Ορεστιάδα</t>
  </si>
  <si>
    <t>Ορεστιάδας</t>
  </si>
  <si>
    <t>Κορινός</t>
  </si>
  <si>
    <t>Θέρμης</t>
  </si>
  <si>
    <t>Μαρτίνο</t>
  </si>
  <si>
    <t>Πύργος Ηλείας</t>
  </si>
  <si>
    <t>Πύργου</t>
  </si>
  <si>
    <t>Σταυρός</t>
  </si>
  <si>
    <t>Νέα Παλάτια</t>
  </si>
  <si>
    <t>Διαμέρισμα 79 τ.μ.</t>
  </si>
  <si>
    <t>Αμαλιάδα</t>
  </si>
  <si>
    <t>Ήλιδας</t>
  </si>
  <si>
    <t>Μονοκατοικία 81 τ.μ.</t>
  </si>
  <si>
    <t>Θέση στάθμευσης 31 τ.μ.</t>
  </si>
  <si>
    <t>Διαμέρισμα 66 τ.μ.</t>
  </si>
  <si>
    <t>Αποθήκη 7 τ.μ.</t>
  </si>
  <si>
    <t>Κασσάνδρεια</t>
  </si>
  <si>
    <t>Κασσάνδρας</t>
  </si>
  <si>
    <t>Αλεξάνδρεια</t>
  </si>
  <si>
    <t>Μακροχώρι Ημαθίας</t>
  </si>
  <si>
    <t>Πολύγυρος</t>
  </si>
  <si>
    <t>Πολυγύρου</t>
  </si>
  <si>
    <t>Διαμέρισμα 51 τ.μ.</t>
  </si>
  <si>
    <t>Αμπελόκηποι</t>
  </si>
  <si>
    <t>Αμπελοκήπων - Μενεμένης</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</si>
  <si>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</si>
  <si>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</si>
  <si>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</si>
  <si>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</si>
  <si>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</si>
  <si>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</si>
  <si>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</si>
  <si>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nEDd6ZsMwp</t>
  </si>
  <si>
    <t>Κτήριο διαμερισμάτων 439 τ.μ. με ημιτελές δώμα 68 τ.μ.</t>
  </si>
  <si>
    <t>38.00601434221660,23.72276656974000</t>
  </si>
  <si>
    <t>Πετροπουλάκη 51</t>
  </si>
  <si>
    <t>ΝΙΚΟΛΑΟΣ ΠΑΥΛΑΤΟΣ</t>
  </si>
  <si>
    <t>050091235015/0/0</t>
  </si>
  <si>
    <t>o87emZj4Ol-001</t>
  </si>
  <si>
    <t>o87emZj4Ol</t>
  </si>
  <si>
    <t>Αγροτεμάχιο 20.134 τ.μ.</t>
  </si>
  <si>
    <t>Ερυμάνθεια</t>
  </si>
  <si>
    <t>Ερυμάνθου</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</si>
  <si>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</si>
  <si>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</si>
  <si>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</si>
  <si>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</si>
  <si>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</si>
  <si>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</si>
  <si>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</si>
  <si>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</si>
  <si>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</si>
  <si>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L1JJktgCwJ</t>
  </si>
  <si>
    <t>Ρόδος</t>
  </si>
  <si>
    <t>36.41484,28.193399</t>
  </si>
  <si>
    <t>ΠΑΜΠΑΛΗ ΕΛΕΝΗ</t>
  </si>
  <si>
    <t>DrX3aBNiDv-002</t>
  </si>
  <si>
    <t>DrX3aBNiDv</t>
  </si>
  <si>
    <t>Χώρος στάθμευσης 34 τ.μ.</t>
  </si>
  <si>
    <t>37.32502476795660,23.14156495089250</t>
  </si>
  <si>
    <t>Πορτοχέλι</t>
  </si>
  <si>
    <t>ΦΩΤΕΙΝΗ ΜΙΡΟΝΟΒΙΔΟΥ</t>
  </si>
  <si>
    <t>020562103004/0/0</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</si>
  <si>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</si>
  <si>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</si>
  <si>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</si>
  <si>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</si>
  <si>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</si>
  <si>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</si>
  <si>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</si>
  <si>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</si>
  <si>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</si>
  <si>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</si>
  <si>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</si>
  <si>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</si>
  <si>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</si>
  <si>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</si>
  <si>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</si>
  <si>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</si>
  <si>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</si>
  <si>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</si>
  <si>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</si>
  <si>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</si>
  <si>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</si>
  <si>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Αποθήκη 3 τ.μ.</t>
  </si>
  <si>
    <t>37.99924129528430,23.724734160623200</t>
  </si>
  <si>
    <t>Αλκαμένους 119</t>
  </si>
  <si>
    <t>Δόσης Φώτιος</t>
  </si>
  <si>
    <t>050093075006/0/1</t>
  </si>
  <si>
    <t>IKg0K3Z9aa</t>
  </si>
  <si>
    <t>Διαμέρισμα 54 τ.μ.</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</si>
  <si>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</si>
  <si>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</si>
  <si>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</si>
  <si>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</si>
  <si>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</si>
  <si>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yioiAhqZPs</t>
  </si>
  <si>
    <t>Μονοκατοικία 132 τ.μ.</t>
  </si>
  <si>
    <t>Πλατανιάς</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</si>
  <si>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</si>
  <si>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</si>
  <si>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</si>
  <si>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</si>
  <si>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</si>
  <si>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</si>
  <si>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</si>
  <si>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</si>
  <si>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</si>
  <si>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</si>
  <si>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</si>
  <si>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</si>
  <si>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</si>
  <si>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</si>
  <si>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</si>
  <si>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</si>
  <si>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</si>
  <si>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</si>
  <si>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</si>
  <si>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</si>
  <si>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</si>
  <si>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</si>
  <si>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</si>
  <si>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</si>
  <si>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E0AoMsOMOp-002</t>
  </si>
  <si>
    <t>E0AoMsOMOp</t>
  </si>
  <si>
    <t>Δικαίωμα κατασκευής διαμερίσματος 48 τ.μ.</t>
  </si>
  <si>
    <t>Κιάτο</t>
  </si>
  <si>
    <t>Σικυωνίων</t>
  </si>
  <si>
    <t>38.004270478135700,22.756128396378800</t>
  </si>
  <si>
    <t>Πελλήνης 29</t>
  </si>
  <si>
    <t>ΣΠΗΛΙΩΤΗΣ ΒΑΣΙΛΕΙΟΣ</t>
  </si>
  <si>
    <t>280980460001/0/4</t>
  </si>
  <si>
    <t>9My7HbWvGn</t>
  </si>
  <si>
    <t>Διαμέρισμα 67 τ.μ.</t>
  </si>
  <si>
    <t>Λεωνίδι</t>
  </si>
  <si>
    <t>Νότιας Κυνουρίας</t>
  </si>
  <si>
    <t>Αρκαδίας</t>
  </si>
  <si>
    <t>37.23960203145950,22.860751236495600</t>
  </si>
  <si>
    <t>Επαρχιακή Οδός Λεωνιδίου-Άστρους, Σαπουνακέϊκα.</t>
  </si>
  <si>
    <t>ΤΣΟΥΚΑΤΟΣ ΓΕΩΡΓΙΟΣ ΤΟΥ ΒΑΣΙΛΕΙΟΥ ΚΑΙ ΤΗΣ ΣΤΑΜΑΤΙΑΣ</t>
  </si>
  <si>
    <t>032310241001/0/3</t>
  </si>
  <si>
    <t>I6grVHxdk6</t>
  </si>
  <si>
    <t>Μεζονέτα 89 τ.μ. - ψιλή κυριότητα</t>
  </si>
  <si>
    <t>37.941628045137000,22.92796300083090</t>
  </si>
  <si>
    <t>Κολιάτσου 82</t>
  </si>
  <si>
    <t>ΚΑΤΣΟΥΛΗΣ Μιχαήλ του Παύλου και της Αγγελικής</t>
  </si>
  <si>
    <t>280550505017/1/5</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</si>
  <si>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</si>
  <si>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</si>
  <si>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</si>
  <si>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</si>
  <si>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</si>
  <si>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</si>
  <si>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</si>
  <si>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LesdpU8nt1</t>
  </si>
  <si>
    <t>Σάπες</t>
  </si>
  <si>
    <t>Μαρωνείας - Σαπών</t>
  </si>
  <si>
    <t>Ροδόπης</t>
  </si>
  <si>
    <t>41.01171426885550,25.512562702507500</t>
  </si>
  <si>
    <t>Βέννα</t>
  </si>
  <si>
    <t>ΜΕΜΕΤ ΡΑΜΑΝΤΑΝ (ΕΠ) ΡΕΜΖΗ (ΟΝ) ΤΟΥ ΜΑΜΟΥΤ ΚΑΙ ΤΗΣ ΣΑΜΠΡΙΕ</t>
  </si>
  <si>
    <t>420230203002/0/0</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</si>
  <si>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</si>
  <si>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</si>
  <si>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</si>
  <si>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</si>
  <si>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</si>
  <si>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</si>
  <si>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</si>
  <si>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</si>
  <si>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</si>
  <si>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</si>
  <si>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</si>
  <si>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</si>
  <si>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</si>
  <si>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</si>
  <si>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</si>
  <si>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D5dfvygvvj-001</t>
  </si>
  <si>
    <t>D5dfvygvvj</t>
  </si>
  <si>
    <t>Κατάστημα 31 τ.μ. με αποθήκη - ψιλή κυριότητα</t>
  </si>
  <si>
    <t>39.233139,20.599500</t>
  </si>
  <si>
    <t>Αγίου Παντελεήμονος</t>
  </si>
  <si>
    <t>ΒΑΣΣΟΥ Παρασκευή του Θωμά</t>
  </si>
  <si>
    <t>D5dfvygvvj-002</t>
  </si>
  <si>
    <t>Κατάστημα 31 τ.μ. με αποθήκη - επικαρπία</t>
  </si>
  <si>
    <t>ΒΑΣΣΟΥ Ναυσικά του Παναγιώτη</t>
  </si>
  <si>
    <t>yEiApbJ7ty</t>
  </si>
  <si>
    <t>Οικόπεδο 2.906 τ.μ.</t>
  </si>
  <si>
    <t>37.84813606022140,22.6058859612313</t>
  </si>
  <si>
    <t>Θέση Λαχίδια, Πετρί</t>
  </si>
  <si>
    <t>ΚΑΤΣΟΡΙΝΗ Όλγα του Κωνσταντίνου και της Σοφίας</t>
  </si>
  <si>
    <t>280910106061/0/0</t>
  </si>
  <si>
    <t>1cJWRXFcI5-002</t>
  </si>
  <si>
    <t>1cJWRXFcI5</t>
  </si>
  <si>
    <t>Αγροτεμάχιο 1.252 τ.μ.</t>
  </si>
  <si>
    <t>Λουτράκι</t>
  </si>
  <si>
    <t>Λουτρακίου - Περαχώρας - Αγ. Θεοδώρων</t>
  </si>
  <si>
    <t>37.94616007964500,23.001795993833100</t>
  </si>
  <si>
    <t>Θέση Κατουνίστρα</t>
  </si>
  <si>
    <t>ΣΑΚΕΛΛΗΣ Παναγιώτης του Ιωάννη και της Μαρίνας</t>
  </si>
  <si>
    <t>280673627107/0/0</t>
  </si>
  <si>
    <t>vM2TyBgb13</t>
  </si>
  <si>
    <t>Κτήριο 300 τ.μ.</t>
  </si>
  <si>
    <t>Παραμυθιά</t>
  </si>
  <si>
    <t>Σουλίου</t>
  </si>
  <si>
    <t>Θεσπρωτίας</t>
  </si>
  <si>
    <t>39.364855,20.563732</t>
  </si>
  <si>
    <t>Θέση Αρκονάκι, Γαρδίκι</t>
  </si>
  <si>
    <t>Συμεών Τσιρώνης του Ιωάννη και της και της Αικατερίνης</t>
  </si>
  <si>
    <t>Gs6qrplqUG</t>
  </si>
  <si>
    <t>Νέα Ιωνία Βόλου</t>
  </si>
  <si>
    <t>39.3845684620392,22.93879277266870</t>
  </si>
  <si>
    <t>Θέση Ξηρόκαμπος</t>
  </si>
  <si>
    <t>ΦΙΛΙΤΣΑ ΤΣΑΜΠΟΥΡΗ ΤΟΥ ΠΑΡΙΣΗ ΚΑΙ ΤΗΣ ΕΥΦΡΟΣΥΝΗΣ</t>
  </si>
  <si>
    <t>350581404008/0/12</t>
  </si>
  <si>
    <t>qQQ8SB2A5r</t>
  </si>
  <si>
    <t>Ημιτελής μονοκατοικία 74 τ.μ.</t>
  </si>
  <si>
    <t>40.89965387797330,26.04098386214440</t>
  </si>
  <si>
    <t>Πεύκα</t>
  </si>
  <si>
    <t>ΑΜΠΟΥΚΕΛΗ ΣΟΦΙΑ||ΑΜΠΟΥΚΕΛΗΣ ΘΩΜΑΣ</t>
  </si>
  <si>
    <t>119269540||026195624</t>
  </si>
  <si>
    <t>110390110007/0/0</t>
  </si>
  <si>
    <t>NUuuKwBJiH</t>
  </si>
  <si>
    <t>Διαμέρισμα 50 τ.μ. - 50% εξ αδιαιρέτου</t>
  </si>
  <si>
    <t>38.0155278271024,23.70142110173690</t>
  </si>
  <si>
    <t>Ρούπελ 39</t>
  </si>
  <si>
    <t>ΦΑΛΗΡΕΑ ΚΑΤΙΝΑ</t>
  </si>
  <si>
    <t>051203703003/0/4</t>
  </si>
  <si>
    <t>P4RA0VVLl6-001</t>
  </si>
  <si>
    <t>P4RA0VVLl6</t>
  </si>
  <si>
    <t>Αγροτεμάχιο 4.002 τ.μ.</t>
  </si>
  <si>
    <t>Βάμος</t>
  </si>
  <si>
    <t>35.41217,24.15172</t>
  </si>
  <si>
    <t>Θέση Γαλανές, Παϊδοχώρι</t>
  </si>
  <si>
    <t>ΚΟΥΝΤΟΥΡΑΚΗΣ ΕΜΜΑΝΟΥΗΛ ΤΟΥ ΕΥΣΤΡΑΤΙΟΥ</t>
  </si>
  <si>
    <t>P4RA0VVLl6-002</t>
  </si>
  <si>
    <t>Αγροτεμάχιο 4.003 τ.μ.</t>
  </si>
  <si>
    <t>XxiFSNRbtA-003</t>
  </si>
  <si>
    <t>XxiFSNRbtA</t>
  </si>
  <si>
    <t>38.045058634278200,23.81937037638300</t>
  </si>
  <si>
    <t>Μεσογείων 87</t>
  </si>
  <si>
    <t>ΔΙΟΝΥΣΙΟΣ ΘΩΜΟΠΟΥΛΟΣ του Αντωνίου και της Αμαλίας</t>
  </si>
  <si>
    <t>050140751022/0/21</t>
  </si>
  <si>
    <t>P7dwoJ87I6</t>
  </si>
  <si>
    <t>Διαμέρισμα 72 τ.μ.</t>
  </si>
  <si>
    <t>38.01850606581570,23.73228777004000</t>
  </si>
  <si>
    <t>Νικολάου Πολίτη 7 - 9</t>
  </si>
  <si>
    <t>ΧΙΟΥ Αγγελική του Εμμανουήλ και της Ανθούλας</t>
  </si>
  <si>
    <t>050090766003/0/16</t>
  </si>
  <si>
    <t>MSMaBl0psJ-001</t>
  </si>
  <si>
    <t>MSMaBl0psJ</t>
  </si>
  <si>
    <t>Δικαίωμα κατασκευής μεζονέτας</t>
  </si>
  <si>
    <t>35.424097,24.216576</t>
  </si>
  <si>
    <t>Επαρχιακή οδός Αλμυρού-Ξηροστερνίου</t>
  </si>
  <si>
    <t>ΑΝΑΣΤΑΣΑΚΗΣ ΧΡΙΣΤΟΦΟΡΟΣ ΤΟΥ ΙΩΑΝΝΗ</t>
  </si>
  <si>
    <t>MSMaBl0psJ-002</t>
  </si>
  <si>
    <t>UrMGHfalZL</t>
  </si>
  <si>
    <t>Οικόπεδο 225 τ.μ.</t>
  </si>
  <si>
    <t>Νέα Ραιδεστός</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</si>
  <si>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</si>
  <si>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</si>
  <si>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</si>
  <si>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</si>
  <si>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</si>
  <si>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6v1yOZadNR</t>
  </si>
  <si>
    <t>Διαμέρισμα 53 τ.μ.</t>
  </si>
  <si>
    <t>37.95832531458230,23.72271438735120</t>
  </si>
  <si>
    <t>Λαγουμτζή &amp; Σφιγγός 13</t>
  </si>
  <si>
    <t>ΒΛΑΧΟΥ ΑΓΟΡΗ του Αθανασίου και της Χρυσούλας</t>
  </si>
  <si>
    <t>050097910002/0/59</t>
  </si>
  <si>
    <t>m6EQxYc258</t>
  </si>
  <si>
    <t>Άβδηρα</t>
  </si>
  <si>
    <t>Αβδήρων</t>
  </si>
  <si>
    <t>41.13439659873670,24.993437832751200</t>
  </si>
  <si>
    <t>Σέλερο</t>
  </si>
  <si>
    <t>Σεβεν-Σταύρου (ον) Αλημαν (επ) ||Κηϊμετ (ον) Λατηφογλου (επ) ||Ακαν (ον) Αλημαν (επ)</t>
  </si>
  <si>
    <t>049062234||114417354 ||137874654</t>
  </si>
  <si>
    <t>370320105301/0/0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</si>
  <si>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</si>
  <si>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</si>
  <si>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</si>
  <si>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</si>
  <si>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</si>
  <si>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</si>
  <si>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CSQRXyUhg1</t>
  </si>
  <si>
    <t>Ηγουμενίτσα</t>
  </si>
  <si>
    <t>Ηγουμενίτσας</t>
  </si>
  <si>
    <t>39.515611,20.385632</t>
  </si>
  <si>
    <t>Κορύτιανη, Παραπόταμος</t>
  </si>
  <si>
    <t>Γεώργιος ΠΑΝΤΕΛΗΣ του Δημοσθένη και της Αλεξάνδρας</t>
  </si>
  <si>
    <t>tiEbZ32iR8</t>
  </si>
  <si>
    <t>Οικόπεδο 4.017 τ.μ.</t>
  </si>
  <si>
    <t>Τσαγκαράδα</t>
  </si>
  <si>
    <t>Ζαγοράς - Μουρεσίου</t>
  </si>
  <si>
    <t>39.37437707532780,23.18066898846300</t>
  </si>
  <si>
    <t>Θέση Πλατανάκια</t>
  </si>
  <si>
    <t>ΔΡΟΣΙΑΔΗΣ ΔΗΜΗΤΡΙΟΣ του Βασιλείου και της Δέσποινας</t>
  </si>
  <si>
    <t>350781202059/0/0</t>
  </si>
  <si>
    <t>YyRx374NPR</t>
  </si>
  <si>
    <t>Αγροτεμάχιο 40.910 τ.μ. με αποθήκη 20 τ.μ.</t>
  </si>
  <si>
    <t>Σιταγροί</t>
  </si>
  <si>
    <t>Μικρόκαμπος</t>
  </si>
  <si>
    <t>ΓΕΩΡΓΙΑΔΗΣ ΕΛΕΥΘΕΡΙΟΣ του Ανέστη και της Αναστασίας</t>
  </si>
  <si>
    <t>dSfGOPS22G</t>
  </si>
  <si>
    <t>Διαμέρισμα 88 τ.μ. - 50% εξ αδιαιρέτου</t>
  </si>
  <si>
    <t>Άργος</t>
  </si>
  <si>
    <t>Άργους - Μυκηνών</t>
  </si>
  <si>
    <t>37.634174084741200,22.722247819400700</t>
  </si>
  <si>
    <t>Γούναρη 85</t>
  </si>
  <si>
    <t>ΣΠΑΝΟΣ ΑΘΑΝΑΣΙΟΣ</t>
  </si>
  <si>
    <t>020090512051/0/6</t>
  </si>
  <si>
    <t>nrTYnuIVdP-006</t>
  </si>
  <si>
    <t>nrTYnuIVdP</t>
  </si>
  <si>
    <t>38.37832234000140,21.451756082803900</t>
  </si>
  <si>
    <t>Ναυπάκτου 226</t>
  </si>
  <si>
    <t>ΑΝΝΑ - ΛΑΟΥΡΑ ΠΑΠΑΙΩΑΝΝΟΥ του Χρήστου|| ΧΡΗΣΤΟΣ ΠΑΠΑΙΩΑΝΝΟΥ του Νικολάου</t>
  </si>
  <si>
    <t>301930604||027256797</t>
  </si>
  <si>
    <t>011310611008/0/6</t>
  </si>
  <si>
    <t>NFTHMD5Dko</t>
  </si>
  <si>
    <t>Μονοκατοικία 100 τ.μ. - 50% εξ αδιαιρέτου</t>
  </si>
  <si>
    <t>Ορμύλια</t>
  </si>
  <si>
    <t>40.256395030842100,23.55383660000860</t>
  </si>
  <si>
    <t>Βατοπέδι</t>
  </si>
  <si>
    <t>Παντελής ΣΙΔΗΡΟΠΟΥΛΟΣ του Γεωργίου και της Παρασκευής</t>
  </si>
  <si>
    <t>490490216001/0/0</t>
  </si>
  <si>
    <t>Mp8VnkqqI1</t>
  </si>
  <si>
    <t>Διαμέρισμα σε οικόπεδο 284 τ.μ.</t>
  </si>
  <si>
    <t>40.992493235232900,22.86399238991760</t>
  </si>
  <si>
    <t>ΜΕΝΤΕΛΕΣ ΜΙΧΑΗΛ||ΧΙΩΤΕΡΗ ΑΙΚΑΤΕΡΙΝΗ</t>
  </si>
  <si>
    <t>042430905||041375662</t>
  </si>
  <si>
    <t>260354107005/0/3</t>
  </si>
  <si>
    <t>RIBCrn6dxK</t>
  </si>
  <si>
    <t>Μονοκατοικία 80 τ.μ. με βοηθητικούς χώρους 41 τ.μ., πισίνα και χώρο στάθμευσης - Ψιλή κυριότητα</t>
  </si>
  <si>
    <t>Τάλαντα</t>
  </si>
  <si>
    <t>Σύρου - Ερμούπολης</t>
  </si>
  <si>
    <t>37.4018059608935,24.88904912248680</t>
  </si>
  <si>
    <t>Θέση Βήσσα</t>
  </si>
  <si>
    <t>ΑΝΤΩΝΙΟΣ - ΑΝΑΡΓΥΡΟΣ ΡΟΥΣΣΟΣ του ΝΙΚΟΛΑΟΥ</t>
  </si>
  <si>
    <t>291130408031/2/0</t>
  </si>
  <si>
    <t>VxDwuvUAR8-002</t>
  </si>
  <si>
    <t>VxDwuvUAR8</t>
  </si>
  <si>
    <t>Αγροτεμάχιο 4.000 τ.μ. - ψιλή κυριότητα</t>
  </si>
  <si>
    <t>Άρτα</t>
  </si>
  <si>
    <t>39.336437322086200,21.037665421853700</t>
  </si>
  <si>
    <t>Θέση Παραπόταμος, Σούμεσι</t>
  </si>
  <si>
    <t>Αικατερίνη ΚΑΣΑΡΑ του Χαριλάου και της Πανάγιως</t>
  </si>
  <si>
    <t>dGNCWgP0c3-004</t>
  </si>
  <si>
    <t>dGNCWgP0c3</t>
  </si>
  <si>
    <t>38.04005634720130,23.7286539968364</t>
  </si>
  <si>
    <t>Στουρνάρα 47 &amp; Δωδεκανήσου</t>
  </si>
  <si>
    <t>Αικατερίνη ΣΚΟΥΔΡΙΑΝΟΥ του Αλεξάνδρου και της Ευγενίας, συζ. Μιχαήλ Σκολόγκα</t>
  </si>
  <si>
    <t>050072217014/0/5</t>
  </si>
  <si>
    <t>dGNCWgP0c3-002</t>
  </si>
  <si>
    <t>050072217014/0/3</t>
  </si>
  <si>
    <t>dGNCWgP0c3-001</t>
  </si>
  <si>
    <t>Διαμέρισμα 78 τ.μ. με θέση στάθμευσης</t>
  </si>
  <si>
    <t>050072217014/0/17</t>
  </si>
  <si>
    <t>dGNCWgP0c3-003</t>
  </si>
  <si>
    <t>Διαμέρισμα 69 τ.μ. με θέση στάθμευσης</t>
  </si>
  <si>
    <t>050072217014/0/18</t>
  </si>
  <si>
    <t>GQjV5ykTMf</t>
  </si>
  <si>
    <t>Κτήριο 95 τ.μ.</t>
  </si>
  <si>
    <t>Βαρθολομιό</t>
  </si>
  <si>
    <t>Πηνειού</t>
  </si>
  <si>
    <t>37.86220138583580,21.205706167205000</t>
  </si>
  <si>
    <t>Βασιλίσσης Αμαλίας</t>
  </si>
  <si>
    <t>Μαρία Βυτάνου του Σταματίου και της Αναστασίας, συζ. Ευάγγελου Παπαγεωργίου</t>
  </si>
  <si>
    <t>rGoB7Dp2Mw-002</t>
  </si>
  <si>
    <t>rGoB7Dp2Mw</t>
  </si>
  <si>
    <t>Kατάστημα 179 τ.μ.</t>
  </si>
  <si>
    <t>Μεσσήνη</t>
  </si>
  <si>
    <t>Μεσσήνης</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</si>
  <si>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</si>
  <si>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</si>
  <si>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</si>
  <si>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</si>
  <si>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</si>
  <si>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rGoB7Dp2Mw-001</t>
  </si>
  <si>
    <t>Κατάστημα 179 τ.μ.</t>
  </si>
  <si>
    <t>361660321004/0/3</t>
  </si>
  <si>
    <t>nPXKvRYdtR</t>
  </si>
  <si>
    <t>Μονοκατοικία 95 τ.μ. και αποθήκη 16 τ.μ.</t>
  </si>
  <si>
    <t>38.902217,22.459086</t>
  </si>
  <si>
    <t>Σαμψούντος 2, Νέα Μαγνησία</t>
  </si>
  <si>
    <t>ΜΠΑΤΖΑΚΑ ΠΑΝΑΓΙΟΥΛΑ του Βασιλείου και της Μαρίας</t>
  </si>
  <si>
    <t>eltgSkMCkF</t>
  </si>
  <si>
    <t>Κατάστημα 110 τ.μ.</t>
  </si>
  <si>
    <t>Φυτείες</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</si>
  <si>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</si>
  <si>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</si>
  <si>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</si>
  <si>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</si>
  <si>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M5RGwALPAd</t>
  </si>
  <si>
    <t>Μονοκατοικία 74 τ.μ. με θέση στάθμευσης</t>
  </si>
  <si>
    <t>Καλύβια Θορικού</t>
  </si>
  <si>
    <t>Σαρωνικού</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</si>
  <si>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</si>
  <si>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</si>
  <si>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</si>
  <si>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</si>
  <si>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</si>
  <si>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Gu1lmKTtOw</t>
  </si>
  <si>
    <t>Διαμέρισμα 58 τ.μ.</t>
  </si>
  <si>
    <t>40.624805908611200,22.446875913507100</t>
  </si>
  <si>
    <t>Αλεξάνδρου Παπάγου 66</t>
  </si>
  <si>
    <t>Φωτούλα ΔΑΝΙΗΛΙΔΟΥ του Δημητρίου και της Βαρβάρας</t>
  </si>
  <si>
    <t>160051902039/1/1</t>
  </si>
  <si>
    <t>qLFyQCvHe0</t>
  </si>
  <si>
    <t>Αποθήκες 64 τ.μ.</t>
  </si>
  <si>
    <t>40.84328871000920,22.91618171904060</t>
  </si>
  <si>
    <t>Νέα Σάντα</t>
  </si>
  <si>
    <t>Ελένη Ιακωβίδου του Θεοδώρου και της Παρθένας</t>
  </si>
  <si>
    <t>260530123010/0/0</t>
  </si>
  <si>
    <t>S3XHxDq8T2</t>
  </si>
  <si>
    <t>Διαμέρισμα 110 τ.μ. - 38% εξ αδιαιρέτου</t>
  </si>
  <si>
    <t>Νεάπολη Θεσσαλονίκης</t>
  </si>
  <si>
    <t>Νέαπολης - Συκεών</t>
  </si>
  <si>
    <t>40.656039393748300,22.94040460344500</t>
  </si>
  <si>
    <t>Αρχαγγέλου Ιατρού 1 &amp; Παναγή Τσαλδάρη 56</t>
  </si>
  <si>
    <t>37.5</t>
  </si>
  <si>
    <t>Χαράλαμπος Γολιδόπουλος του Χρήστου και της Σοφίας</t>
  </si>
  <si>
    <t>190741621001/1/2</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</si>
  <si>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</si>
  <si>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</si>
  <si>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</si>
  <si>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</si>
  <si>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</si>
  <si>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</si>
  <si>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</si>
  <si>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Μονοκατοικία 166 τ.μ.</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</si>
  <si>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</si>
  <si>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</si>
  <si>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</si>
  <si>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</si>
  <si>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LQWEr5gXfw</t>
  </si>
  <si>
    <t>Ημιτελής μονοκατοικία 117 τ.μ.</t>
  </si>
  <si>
    <t>35.435638,23.941091</t>
  </si>
  <si>
    <t>Θέση Λίμνη, Φουρνές</t>
  </si>
  <si>
    <t>ΜΟΥΧΣΙΔΗΣ ΑΛΜΠΕΡΤ ΤΟΥ ΘΕΟΔΩΡΟΥ</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</si>
  <si>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</si>
  <si>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</si>
  <si>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</si>
  <si>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</si>
  <si>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</si>
  <si>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</si>
  <si>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NLI3fgCp53</t>
  </si>
  <si>
    <t>Διαμέρισμα 44 τ.μ.</t>
  </si>
  <si>
    <t>37.96638821684830,23.64722279359000</t>
  </si>
  <si>
    <t>Ηλιουπόλεως 47-51</t>
  </si>
  <si>
    <t>ΠΑΣΧΑΛΙΔΟΥ-ΜΙΧΑΛΟΠΟΥΛΟΥ ΑΣΠΑΣΙΑ</t>
  </si>
  <si>
    <t>051094243006/0/15</t>
  </si>
  <si>
    <t>C0wEZonQbp-002</t>
  </si>
  <si>
    <t>C0wEZonQbp</t>
  </si>
  <si>
    <t>Διαμέρισμα 78 τ.μ. - 50% εξ αδιαιρέτου</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</si>
  <si>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</si>
  <si>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</si>
  <si>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</si>
  <si>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</si>
  <si>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</si>
  <si>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</si>
  <si>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</si>
  <si>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C0wEZonQbp-001</t>
  </si>
  <si>
    <t>Μεζονέτα 124 τ.μ. - 50% εξ αδιαιρέτου</t>
  </si>
  <si>
    <t>062320116031/0/6</t>
  </si>
  <si>
    <t>3eTCYr7MyQ</t>
  </si>
  <si>
    <t>Οικόπεδο 720 τ.μ.</t>
  </si>
  <si>
    <t>Κουβαράς</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</si>
  <si>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</si>
  <si>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</si>
  <si>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</si>
  <si>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</si>
  <si>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</si>
  <si>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</si>
  <si>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</si>
  <si>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</si>
  <si>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</si>
  <si>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</si>
  <si>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ml3aE7qI7X</t>
  </si>
  <si>
    <t>Διαμέρισμα 38 τ.μ.</t>
  </si>
  <si>
    <t>38.02871648709920,23.752354637994300</t>
  </si>
  <si>
    <t>Πανδοσίας 121</t>
  </si>
  <si>
    <t>ΚΑΛΑΝΤΖΗΣ Όθωνας</t>
  </si>
  <si>
    <t>051001509008/0/7</t>
  </si>
  <si>
    <t>mjOEQZtECU</t>
  </si>
  <si>
    <t>35.513081283092500,24.047829961200400</t>
  </si>
  <si>
    <t>Κωνσταντίνου Μητσοτάκη 130 &amp; Πάροδος Μυριδάκη</t>
  </si>
  <si>
    <t>ΒΙΚΤΩΡΙΑ ΛΥΓΕΡΑΚΗ του Γεωργίου</t>
  </si>
  <si>
    <t>501507824001/4/5</t>
  </si>
  <si>
    <t>HrWVXVmPTf</t>
  </si>
  <si>
    <t>Κατάστημα 36 τ.μ.</t>
  </si>
  <si>
    <t>40.63644265973300,22.942267616950800</t>
  </si>
  <si>
    <t>Σολωμού 37</t>
  </si>
  <si>
    <t>ΣΤΑΥΡΙΔΟΥ ΧΡΙΣΤΙΝΑ του Κωνσταντίνου και της Ναυσικάς</t>
  </si>
  <si>
    <t>190442101009/0/0</t>
  </si>
  <si>
    <t>o33odi2YML</t>
  </si>
  <si>
    <t>38.014767413798,23.73726686229250</t>
  </si>
  <si>
    <t>Νάξου 128</t>
  </si>
  <si>
    <t>ΡΟΥΧΩΤΑ - ΜΥΛΩΝΑ Ελευθερία</t>
  </si>
  <si>
    <t>050090860010/0/19</t>
  </si>
  <si>
    <t>C0wEZonQbp-004</t>
  </si>
  <si>
    <t>Αποθήκη 43 τ.μ. - 50% εξ αδιαιρέτου</t>
  </si>
  <si>
    <t>062320116031/0/1</t>
  </si>
  <si>
    <t>5QMclkr0lQ-002</t>
  </si>
  <si>
    <t>5QMclkr0lQ</t>
  </si>
  <si>
    <t>Κατάστημα 20 τ.μ. με αποθήκη 20 τ.μ.</t>
  </si>
  <si>
    <t>40.634466441519800,22.944646942605500</t>
  </si>
  <si>
    <t>Μητροπολίτου Γενναδίου &amp; Παπαμάρκου 37</t>
  </si>
  <si>
    <t>Δημήτριος Δανιηλίδης του Γεωργίου και της Αρετής</t>
  </si>
  <si>
    <t>190442125016/0/0</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</si>
  <si>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</si>
  <si>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</si>
  <si>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</si>
  <si>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</si>
  <si>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</si>
  <si>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yhFRU4ObXf-003</t>
  </si>
  <si>
    <t>yhFRU4ObXf</t>
  </si>
  <si>
    <t>Νέα Σμύρνη</t>
  </si>
  <si>
    <t>Νέας Σμύρνης</t>
  </si>
  <si>
    <t>37.942942632528100,23.723217966001900</t>
  </si>
  <si>
    <t>Κερασούντος 13</t>
  </si>
  <si>
    <t>ΤΕΤΡΑΔΗ Ειρήνη χήρα ΚΑΡΑΤΖΑ Γεωργίου</t>
  </si>
  <si>
    <t>051041006023/0/9</t>
  </si>
  <si>
    <t>blEPHd6tV5</t>
  </si>
  <si>
    <t>Κτήρια μεικτής χρήσης 435 τ.μ.</t>
  </si>
  <si>
    <t>37.841631,23.924156</t>
  </si>
  <si>
    <t>Χρήστου Φιλίππου &amp; Χρήστου Ράπτη</t>
  </si>
  <si>
    <t>Κόλλια Μαρία</t>
  </si>
  <si>
    <t>40dLx2Yh45-002</t>
  </si>
  <si>
    <t>40dLx2Yh45</t>
  </si>
  <si>
    <t>Αποθήκη 14 τ.μ.</t>
  </si>
  <si>
    <t>Υμηττός</t>
  </si>
  <si>
    <t>Δάφνης - Υμηττού</t>
  </si>
  <si>
    <t>37.949163283130200,23.753679965941600</t>
  </si>
  <si>
    <t>Ιωάννη Ρίτσου 14</t>
  </si>
  <si>
    <t>ΚΑΛΙΑΚΑΤΣΟΥ Ανθή</t>
  </si>
  <si>
    <t>051411017002/0/4</t>
  </si>
  <si>
    <t>40dLx2Yh45-005</t>
  </si>
  <si>
    <t>Ιωάννη Ρίτσου 14 &amp; Χάκα 2</t>
  </si>
  <si>
    <t>051411017002/0/11</t>
  </si>
  <si>
    <t>40dLx2Yh45-001</t>
  </si>
  <si>
    <t>Αποθήκη 35 τ.μ.</t>
  </si>
  <si>
    <t>051411017002/0/1</t>
  </si>
  <si>
    <t>40dLx2Yh45-004</t>
  </si>
  <si>
    <t>Χώρος 22 τ.μ.</t>
  </si>
  <si>
    <t>Ημιώροφος</t>
  </si>
  <si>
    <t>051411017002/0/9</t>
  </si>
  <si>
    <t>JbwKZwrqw3</t>
  </si>
  <si>
    <t>Αγροτεμάχιο 10.594 τ.μ.</t>
  </si>
  <si>
    <t>38.906062335480200,22.74186061244610</t>
  </si>
  <si>
    <t>Θέση Παλαιοπλάτανος, Αχινός</t>
  </si>
  <si>
    <t>ΤΑΣΟΥΛΑ ΕΥΑΝΘΙΑ του Χρήστου και της Άννας</t>
  </si>
  <si>
    <t>461351012012/0/0</t>
  </si>
  <si>
    <t>40dLx2Yh45-003</t>
  </si>
  <si>
    <t>051411017002/0/7</t>
  </si>
  <si>
    <t>q2jFxK2PbQ</t>
  </si>
  <si>
    <t>37.9549304125232,23.66190734104740</t>
  </si>
  <si>
    <t>Πέτρου Οριγώνη 21</t>
  </si>
  <si>
    <t>Διάννη Μαρία</t>
  </si>
  <si>
    <t>051163806021/0/4</t>
  </si>
  <si>
    <t>ABWoRN7w0j</t>
  </si>
  <si>
    <t>Μονοκατοικία 71 τ.μ.</t>
  </si>
  <si>
    <t>Κοπανός</t>
  </si>
  <si>
    <t>40.63700452302330,22.128970696361700</t>
  </si>
  <si>
    <t>ΔΗΜΗΤΡΙΟΣ ΠΑΠΑΝΤΩΝΙΟΥ</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</si>
  <si>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</si>
  <si>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</si>
  <si>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</si>
  <si>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</si>
  <si>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</si>
  <si>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</si>
  <si>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EAq1Zpqf7j</t>
  </si>
  <si>
    <t>Αγροτεμάχιο 16.636 τ.μ.</t>
  </si>
  <si>
    <t>Ασπρόχωμα</t>
  </si>
  <si>
    <t>37.049255510493300,22.056104506293000</t>
  </si>
  <si>
    <t>Θέση Βάλτος</t>
  </si>
  <si>
    <t>ΣΤΑΥΡΟΥΛΑ ΠΑΧΤΙΤΗ ΤΟΥ ΚΩΝ. ΚΑΙ ΤΗΣ ΕΥΣΤΑΘΙΑΣ ΣΥΖ. ΠΕΤΡΟΥ ΣΥΡΙΓΟΥ</t>
  </si>
  <si>
    <t>YJdaDFaw1D</t>
  </si>
  <si>
    <t>Αγροτεμάχιο 2.079 τ.μ.</t>
  </si>
  <si>
    <t>Γαλάτιστα</t>
  </si>
  <si>
    <t>40.46908652511350,23.26246675657690</t>
  </si>
  <si>
    <t>Θέση Σακαλού Ελιές ή Πτηνοτροφεία</t>
  </si>
  <si>
    <t>ΑΘΑΝΑΣΙΟΣ ΑΒΕΡΗΣ του Δημητρίου και της Μαρίας</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</si>
  <si>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</si>
  <si>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</si>
  <si>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</si>
  <si>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</si>
  <si>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</si>
  <si>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LiQw8pyoel</t>
  </si>
  <si>
    <t>Αγροτεμάχιο 5.761 τ.μ.</t>
  </si>
  <si>
    <t>40.29913480789140,23.137255820642900</t>
  </si>
  <si>
    <t>Θέση Σέρβικο</t>
  </si>
  <si>
    <t>ΑΓΑΘΑΓΓΕΛΟΣ ΜΙΣΙΡΛΗΣ ΤΟΥ ΑΝΤΩΝΙΟΥ ΚΑΙ ΤΗΣ ΛΕΜΟΝΙΑΣ</t>
  </si>
  <si>
    <t>490231301005/0/0</t>
  </si>
  <si>
    <t>QA08YPyZJe-003</t>
  </si>
  <si>
    <t>QA08YPyZJe</t>
  </si>
  <si>
    <t>Δικαίωμα υψούν -  ψιλή κυριότητα</t>
  </si>
  <si>
    <t>38.051056412529900,23.787422967166700</t>
  </si>
  <si>
    <t>Βύρωνος &amp; Καλύμνου 2</t>
  </si>
  <si>
    <t>Ψιλή κυριότητα||Δικαίωμα Υψούν</t>
  </si>
  <si>
    <t>100||100</t>
  </si>
  <si>
    <t>ΚΡΗΤΙΚΟΣ Μιχαήλ</t>
  </si>
  <si>
    <t>051220514004/0/9</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</si>
  <si>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</si>
  <si>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</si>
  <si>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</si>
  <si>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</si>
  <si>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</si>
  <si>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</si>
  <si>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</si>
  <si>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5FlxEPdKSH</t>
  </si>
  <si>
    <t>Μονοκατοικίες 186 τ.μ.</t>
  </si>
  <si>
    <t>37.89635616260160,23.875592631049000</t>
  </si>
  <si>
    <t>Νικολάου Γεωργίτση 7</t>
  </si>
  <si>
    <t>ΚΟΥΛΟΧΕΡΗΣ Δημήτριος</t>
  </si>
  <si>
    <t>050750261014/0/0</t>
  </si>
  <si>
    <t>2fOuIehQnP-002</t>
  </si>
  <si>
    <t>050012609014/0/5</t>
  </si>
  <si>
    <t>e9naZ3YcKf-001</t>
  </si>
  <si>
    <t>e9naZ3YcKf</t>
  </si>
  <si>
    <t>Διαμέρισμα 21 τ.μ.</t>
  </si>
  <si>
    <t>38.00641608072840,23.670936794625800</t>
  </si>
  <si>
    <t>Διγενή Ακρίτα 60</t>
  </si>
  <si>
    <t>ΓΚΟΥΝΤΕΛΙΑΣ Νικόλαος</t>
  </si>
  <si>
    <t>050110111012/0/3</t>
  </si>
  <si>
    <t>e9naZ3YcKf-006</t>
  </si>
  <si>
    <t>Διαμέρισμα 20 τ.μ.</t>
  </si>
  <si>
    <t>e9naZ3YcKf-004</t>
  </si>
  <si>
    <t>050110111012/0/6</t>
  </si>
  <si>
    <t>e9naZ3YcKf-002</t>
  </si>
  <si>
    <t>050110111012/0/4</t>
  </si>
  <si>
    <t>e9naZ3YcKf-003</t>
  </si>
  <si>
    <t>050110111012/0/5</t>
  </si>
  <si>
    <t>e9naZ3YcKf-005</t>
  </si>
  <si>
    <t>050110111012/0/7</t>
  </si>
  <si>
    <t>X2SFbdjkWA</t>
  </si>
  <si>
    <t>Οικόπεδο 1.048 τ.μ.</t>
  </si>
  <si>
    <t>Εύλαλο</t>
  </si>
  <si>
    <t>Τοπείρου</t>
  </si>
  <si>
    <t>40.95059928286110,24.87021654384600</t>
  </si>
  <si>
    <t>Μάγγανα</t>
  </si>
  <si>
    <t>ΑΛΗ ΤΖΕΜΗΛ του ΜΟΥΣΤΑΦΑ</t>
  </si>
  <si>
    <t>370190102001/0/0</t>
  </si>
  <si>
    <t>ZGrNUd3hcV</t>
  </si>
  <si>
    <t>38.04061470519660,23.72968004602340</t>
  </si>
  <si>
    <t>Πάρνωνος &amp; Ακροπόλεως</t>
  </si>
  <si>
    <t>Αντωνία ΚΑΤΡΑΔΗ του Νικολάου και της Ασπασίας</t>
  </si>
  <si>
    <t>050072501008/0/4</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</si>
  <si>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</si>
  <si>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</si>
  <si>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</si>
  <si>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</si>
  <si>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</si>
  <si>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</si>
  <si>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</si>
  <si>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</si>
  <si>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</si>
  <si>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</si>
  <si>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</si>
  <si>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gOY88lEfS7</t>
  </si>
  <si>
    <t>Μεζονέτα 150 τ.μ.</t>
  </si>
  <si>
    <t>Νέα Αρτάκη</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</si>
  <si>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</si>
  <si>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</si>
  <si>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</si>
  <si>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</si>
  <si>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HJMVUL8uSU</t>
  </si>
  <si>
    <t>Αγροτεμάχιο 12.151 τ.μ. - 33% εξ αδιαιρέτου</t>
  </si>
  <si>
    <t>Γιαννιτσά</t>
  </si>
  <si>
    <t>40.76382099788200,22.382717333167100</t>
  </si>
  <si>
    <t>ΣΤΥΛΙΑΝΟΣ ΚΟΙΛΙΑΣ ΤΟΥ ΜΙΧΑΗΛ</t>
  </si>
  <si>
    <t>380237813001/0/0</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</si>
  <si>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</si>
  <si>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</si>
  <si>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</si>
  <si>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</si>
  <si>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</si>
  <si>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</si>
  <si>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</si>
  <si>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</si>
  <si>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</si>
  <si>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</si>
  <si>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</si>
  <si>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XUMtIYKuWZ</t>
  </si>
  <si>
    <t>37.99569598774490,23.73477708317510</t>
  </si>
  <si>
    <t>Κυψέλης 2Α &amp; Τροίας</t>
  </si>
  <si>
    <t>Αντωνία ΤΣΟΥΜΗ του Παύλου - Πάϊκου και της Ουρανίας</t>
  </si>
  <si>
    <t>050093201014/0/68</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</si>
  <si>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</si>
  <si>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</si>
  <si>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</si>
  <si>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</si>
  <si>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</si>
  <si>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</si>
  <si>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</si>
  <si>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</si>
  <si>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</si>
  <si>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</si>
  <si>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</si>
  <si>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ylvUIUvJ7i</t>
  </si>
  <si>
    <t>Ημιτελής χώρος 13 τ.μ.</t>
  </si>
  <si>
    <t>Γαράζο</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</si>
  <si>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</si>
  <si>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</si>
  <si>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</si>
  <si>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</si>
  <si>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Μονοκατοικία 235 τ.μ.</t>
  </si>
  <si>
    <t>Λητή</t>
  </si>
  <si>
    <t>40.7470906572653,22.980511915636000</t>
  </si>
  <si>
    <t>Φιλελλήνων 2</t>
  </si>
  <si>
    <t>Γεώργιος Τόλας του Αθανασίου και της Παναγιώτας</t>
  </si>
  <si>
    <t>190630160001/0/0</t>
  </si>
  <si>
    <t>a6Vre56Bjh</t>
  </si>
  <si>
    <t>38.46098049600620,23.595339479961200</t>
  </si>
  <si>
    <t>Φαβιέρου 37</t>
  </si>
  <si>
    <t>ΚΑΠΝΙΣΗΣ ΝΙΚΟΛΑΟΣ του Στεφάνου και της Στυλιανής</t>
  </si>
  <si>
    <t>121623906010/0/2</t>
  </si>
  <si>
    <t>Rp57aDIFna</t>
  </si>
  <si>
    <t>Oικόπεδο 401 τ.μ.</t>
  </si>
  <si>
    <t>Μεγαλόπολη</t>
  </si>
  <si>
    <t>Μεγαλόπολης</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</si>
  <si>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</si>
  <si>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</si>
  <si>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</si>
  <si>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</si>
  <si>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</si>
  <si>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</si>
  <si>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</si>
  <si>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</si>
  <si>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</si>
  <si>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</si>
  <si>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</si>
  <si>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</si>
  <si>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</si>
  <si>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</si>
  <si>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</si>
  <si>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</si>
  <si>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</si>
  <si>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OK5aki7ypR</t>
  </si>
  <si>
    <t>Ημιτελές διαμέρισμα 192 τ.μ.</t>
  </si>
  <si>
    <t>37.99953049947350,23.33582349339900</t>
  </si>
  <si>
    <t>Δογάνη 3</t>
  </si>
  <si>
    <t>Ιωάννης ΟΙΚΟΝΟΜΑΚΗΣ του Νικολάου και της Ελένης</t>
  </si>
  <si>
    <t>050913629011/0/0</t>
  </si>
  <si>
    <t>iRDHQ3weVD</t>
  </si>
  <si>
    <t>38.89468486588190,22.43064301260210</t>
  </si>
  <si>
    <t>Γοργοποτάμου 75</t>
  </si>
  <si>
    <t>ΚΑΡΑΪΣΚΟΥ ΚΩΝΣΤΑΝΤΙΑ του ΔΗΜΗΤΡΙΟΥ και της ΕΥΑΓΓΕΛΙΑΣ</t>
  </si>
  <si>
    <t>460842032022/1/3</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</si>
  <si>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</si>
  <si>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</si>
  <si>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</si>
  <si>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</si>
  <si>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</si>
  <si>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</si>
  <si>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</si>
  <si>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</si>
  <si>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</si>
  <si>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</si>
  <si>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</si>
  <si>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</si>
  <si>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</si>
  <si>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</si>
  <si>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</si>
  <si>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</si>
  <si>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DNVT5nindi</t>
  </si>
  <si>
    <t>Ωρωπός</t>
  </si>
  <si>
    <t>38.28091861912820,23.795309070303600</t>
  </si>
  <si>
    <t>Θέση Μηλέσι, Μαλακάσα</t>
  </si>
  <si>
    <t>ΓΕΩΡΓΙΟΣ ΑΝΑΣΤΑΣΟΠΟΥΛΟΣ</t>
  </si>
  <si>
    <t>050851017002/2/1</t>
  </si>
  <si>
    <t>nYeEntgJLJ</t>
  </si>
  <si>
    <t>Διαμέρισμα 148 τ.μ.</t>
  </si>
  <si>
    <t>37.63006672930650,22.7262926598848</t>
  </si>
  <si>
    <t>Μπουμπουλίνας 14 &amp; Σπυρίδωνος Μπουσουλόπουλου</t>
  </si>
  <si>
    <t>Ευάγγελος ΜΠΑΒΕΛΑΣ του Παναγιώτη και της Χριστίνας</t>
  </si>
  <si>
    <t>020091808002/2/3</t>
  </si>
  <si>
    <t>a9sUqB6hRY</t>
  </si>
  <si>
    <t>Διαμέρισμα 43 τ.μ.</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</si>
  <si>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</si>
  <si>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</si>
  <si>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</si>
  <si>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</si>
  <si>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</si>
  <si>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</si>
  <si>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</si>
  <si>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</si>
  <si>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</si>
  <si>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</si>
  <si>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</si>
  <si>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</si>
  <si>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</si>
  <si>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</si>
  <si>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</si>
  <si>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</si>
  <si>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</si>
  <si>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</si>
  <si>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ameZAZbspv</t>
  </si>
  <si>
    <t>37.96976091855690,23.644910525574300</t>
  </si>
  <si>
    <t>Μαγνησίας 36-38</t>
  </si>
  <si>
    <t>ΑΓΓΕΛΗΣ Πολύδωρος του Νικόλαου και της Δήμητρας</t>
  </si>
  <si>
    <t>051094142024/0/4</t>
  </si>
  <si>
    <t>eDdmCWOkNv</t>
  </si>
  <si>
    <t>Πυλαία</t>
  </si>
  <si>
    <t>40.5670877030182,22.982076174077200</t>
  </si>
  <si>
    <t>Θέση Βουλγαρική Τούμπα</t>
  </si>
  <si>
    <t>Θ.Α.ΣΠΟΝΤΗΣ ΚΑΤΑΣΚΕΥΑΣΤΙΚΗ Ε.Π.Ε.</t>
  </si>
  <si>
    <t>191043109125/0/30</t>
  </si>
  <si>
    <t>5prWvh7kyx</t>
  </si>
  <si>
    <t>Οικόπεδο 455 τ.μ.</t>
  </si>
  <si>
    <t>Χαλάστρα</t>
  </si>
  <si>
    <t>40.630515699466100,22.727211542020300</t>
  </si>
  <si>
    <t>Πετσικόπουλος Δημήτριος του Αναστασίου</t>
  </si>
  <si>
    <t>191215912003/0/0</t>
  </si>
  <si>
    <t>IiFnqiVuGI</t>
  </si>
  <si>
    <t>Άγιος Ιωάννης Ρέντης</t>
  </si>
  <si>
    <t>37.9615208037635,23.670901000930900</t>
  </si>
  <si>
    <t>Παπανικολή 19</t>
  </si>
  <si>
    <t>ΓΙΑΝΤΣΙΔΗΣ Χαράλαμπος του Θεοδώρου και της Βέρας</t>
  </si>
  <si>
    <t>050041804033/2/3</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</si>
  <si>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</si>
  <si>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</si>
  <si>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</si>
  <si>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</si>
  <si>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</si>
  <si>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</si>
  <si>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T1mN4R5gWu</t>
  </si>
  <si>
    <t>Διαμέρισμα 137 τ.μ.</t>
  </si>
  <si>
    <t>Γαλάτσι</t>
  </si>
  <si>
    <t>Γαλατσίου</t>
  </si>
  <si>
    <t>38.02002076436370,23.757054385227700</t>
  </si>
  <si>
    <t>Βεΐκου &amp; Φαρρών 1</t>
  </si>
  <si>
    <t>ΜΑΡΚΟΛΕΦΑΣ Ηλίας του Ιωάννη και της Αναστασίας,</t>
  </si>
  <si>
    <t>050380501002/0/8</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</si>
  <si>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</si>
  <si>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</si>
  <si>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</si>
  <si>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</si>
  <si>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</si>
  <si>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</si>
  <si>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</si>
  <si>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</si>
  <si>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</si>
  <si>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</si>
  <si>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</si>
  <si>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NEaPkan1Ow</t>
  </si>
  <si>
    <t>40.66996539870660,22.913386397826200</t>
  </si>
  <si>
    <t>Μάρκου Μπότσαρη 29</t>
  </si>
  <si>
    <t>6ος</t>
  </si>
  <si>
    <t>ΔΕΛΗΓΙΩΡΓΗ ΛΕΜΟΝΙΑ του ΑΘΑΝΑΣΙΟΥ</t>
  </si>
  <si>
    <t>190405010010/0/17</t>
  </si>
  <si>
    <t>VR49L6aHaX</t>
  </si>
  <si>
    <t>Νέα Φιλαδέλφεια</t>
  </si>
  <si>
    <t>Φιλαδέλφειας - Χαλκηδόνος</t>
  </si>
  <si>
    <t>38.03934371603690,23.735887564478000</t>
  </si>
  <si>
    <t>Ανακούς 96</t>
  </si>
  <si>
    <t>ΜΙΜΙΔΗ-ΑΠΟΣΤΟΛΙΔΗ ΚΑΛΛΙΟΠΗ</t>
  </si>
  <si>
    <t>051051528004/0/2</t>
  </si>
  <si>
    <t>VZdPb50dQx</t>
  </si>
  <si>
    <t>Οικόπεδο 1.190 τ.μ. - 13% εξ αδιαιρέτου</t>
  </si>
  <si>
    <t>39.50128644137620,22.639937862763200</t>
  </si>
  <si>
    <t>12.50</t>
  </si>
  <si>
    <t>ΑΠΟΣΤΟΛΙΑ ΚΟΚΟΤΣΙΚΑ</t>
  </si>
  <si>
    <t>310690120001/0/0</t>
  </si>
  <si>
    <t>bHSeZqDgG1</t>
  </si>
  <si>
    <t>Ημιτελής μονοκατοικία 73 τ.μ.</t>
  </si>
  <si>
    <t>35.07465666487120,24.770242449456300</t>
  </si>
  <si>
    <t>ΝΙΚΟΛΑΟΣ ΧΡΙΣΤΑΚΗΣ ΤΟΥ ΑΝΤΩΝΙΟΥ ΚΑΙ ΤΗΣ ΠΕΛΑΓΙΑΣ</t>
  </si>
  <si>
    <t>EsPrrQKrXm</t>
  </si>
  <si>
    <t>Ημιτελές διαμέρισμα 100 τ.μ.</t>
  </si>
  <si>
    <t>38.32514510505430,23.30801570276490</t>
  </si>
  <si>
    <t>Μακαρίου 37, Πυρί</t>
  </si>
  <si>
    <t>ΝΙΚΟΛΑΟΣ ΚΑΡΑΓΙΩΡΓΟΣ του ΘΕΟΔΩΡΟΥ</t>
  </si>
  <si>
    <t>070301145009/0/0</t>
  </si>
  <si>
    <t>vDmvf0DmBa</t>
  </si>
  <si>
    <t>41.502833906624500,26.527845976700500</t>
  </si>
  <si>
    <t>Σοφοκλέους</t>
  </si>
  <si>
    <t>ΘΕΟΔΩΡΑ ΝΑΚΟΥ του ΦΩΤΙΟΥ και της ΜΑΡΙΑΣ</t>
  </si>
  <si>
    <t>110542178002/1/3</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</si>
  <si>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</si>
  <si>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</si>
  <si>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</si>
  <si>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</si>
  <si>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</si>
  <si>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</si>
  <si>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</si>
  <si>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</si>
  <si>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XZSfbvJSUC-001</t>
  </si>
  <si>
    <t>Κατάστημα 53 τ.μ. με αποθήκη 53 τ.μ.</t>
  </si>
  <si>
    <t>050090223002/0/1</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</si>
  <si>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</si>
  <si>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</si>
  <si>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</si>
  <si>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</si>
  <si>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</si>
  <si>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</si>
  <si>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</si>
  <si>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fG9akuMilV-002</t>
  </si>
  <si>
    <t>fG9akuMilV</t>
  </si>
  <si>
    <t>Καλαμπάκα</t>
  </si>
  <si>
    <t>Μετεώρων</t>
  </si>
  <si>
    <t>39.70477812267280,21.62489985129100</t>
  </si>
  <si>
    <t>Σιδηροδρόμου &amp; Αβέρωφ</t>
  </si>
  <si>
    <t>Παπακώστας Βασίλειος του Γεωργίου και της  Ελένης</t>
  </si>
  <si>
    <t>450470315021/0/7</t>
  </si>
  <si>
    <t>fG9akuMilV-003</t>
  </si>
  <si>
    <t>Θέση στάθμευσης 15 τ.μ.</t>
  </si>
  <si>
    <t>450470315021/0/8</t>
  </si>
  <si>
    <t>fG9akuMilV-001</t>
  </si>
  <si>
    <t>450470315021/0/6</t>
  </si>
  <si>
    <t>fG9akuMilV-004</t>
  </si>
  <si>
    <t>Κατάστημα 79 τ.μ.</t>
  </si>
  <si>
    <t>450470315021/0/16</t>
  </si>
  <si>
    <t>hPEyt7fFxh</t>
  </si>
  <si>
    <t>39.631494,19.763094</t>
  </si>
  <si>
    <t>Θέση Γιουλή, Γιαννάδες, Παρέλια</t>
  </si>
  <si>
    <t>ΑΡΒΑΝΙΤΗΣ ΣΠΥΡΙΔΩΝ του ΤΡΙΑΝΤΑΦΥΛΛΟΥ και της ΑΛΕΞΑΝΔΡΑΣ</t>
  </si>
  <si>
    <t>uywMNGDUvu</t>
  </si>
  <si>
    <t>Διαμέρισμα 56 τ.μ.</t>
  </si>
  <si>
    <t>39.675567,19.713871</t>
  </si>
  <si>
    <t>Εθνική Οδός 24</t>
  </si>
  <si>
    <t>Μιχαλάς Σπυρίδων του Μιλτιάδη και της Αικατερίνης</t>
  </si>
  <si>
    <t>9MntgjswCF</t>
  </si>
  <si>
    <t>40.650879532630300,22.924613252155600</t>
  </si>
  <si>
    <t>Αριστάτου, Παναγοπούλου &amp; Πατρόκλου</t>
  </si>
  <si>
    <t>Ευφροσύνη ΑΡΒΑΝΙΤΙΔΟΥ του Γεωργίου και της Ελισσάβετ</t>
  </si>
  <si>
    <t>190111102010/0/7</t>
  </si>
  <si>
    <t>2gDAaFMqsw</t>
  </si>
  <si>
    <t>Δικαίωμα κατασκευής διαμερίσματος 36 τ.μ.</t>
  </si>
  <si>
    <t>Νάξος</t>
  </si>
  <si>
    <t>Νάξου &amp; Μικρών Κυκλάδων</t>
  </si>
  <si>
    <t>37.03824145413300,25.430462412621200</t>
  </si>
  <si>
    <t>Θέση Καμάρι ή Σταυρωτή, Σαγκρί</t>
  </si>
  <si>
    <t>ΦΥΤΡΟΥ ΕΥΑΓΓΕΛΙΑ</t>
  </si>
  <si>
    <t>JCsIIUDyVH-001</t>
  </si>
  <si>
    <t>JCsIIUDyVH</t>
  </si>
  <si>
    <t>Αγροτεμάχιο 4.068 τ.μ.</t>
  </si>
  <si>
    <t>Νέα Βύσσα</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</si>
  <si>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</si>
  <si>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</si>
  <si>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</si>
  <si>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</si>
  <si>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</si>
  <si>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</si>
  <si>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</si>
  <si>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</si>
  <si>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</si>
  <si>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</si>
  <si>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</si>
  <si>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</si>
  <si>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</si>
  <si>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</si>
  <si>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JCsIIUDyVH-002</t>
  </si>
  <si>
    <t>Αγροτεμάχιο 8.528 τ.μ.</t>
  </si>
  <si>
    <t>41.59985068992250,26.538761085056300</t>
  </si>
  <si>
    <t>110502709005/0/0</t>
  </si>
  <si>
    <t>JCsIIUDyVH-006</t>
  </si>
  <si>
    <t>Αγροτεμάχιο 1.008 τ.μ.</t>
  </si>
  <si>
    <t>41.59761878114220,26.506798327103000</t>
  </si>
  <si>
    <t>110503515033/0/0</t>
  </si>
  <si>
    <t>JCsIIUDyVH-004</t>
  </si>
  <si>
    <t>Αγροτεμάχιο 3.947 τ.μ.</t>
  </si>
  <si>
    <t>41.55744050127110,26.569087482375700</t>
  </si>
  <si>
    <t>Θέση Λάκκος</t>
  </si>
  <si>
    <t>110501306015/0/0</t>
  </si>
  <si>
    <t>9XyVZmBgKZ</t>
  </si>
  <si>
    <t>Διαμέρισμα 65 τ.μ.</t>
  </si>
  <si>
    <t>35.15491613590700,25.648089089546100</t>
  </si>
  <si>
    <t>Αγία Φωτεινή</t>
  </si>
  <si>
    <t>ΜΑΡΙΑ ΜΠΡΟΚΟΥ ΤΟΥ ΔΗΜΗΤΡΙΟΥ ΚΑΙ ΤΗΣ ΔΕΣΠΟΙΝΑΣ</t>
  </si>
  <si>
    <t>320370611008/0/4</t>
  </si>
  <si>
    <t>Y3QZSAHqLw</t>
  </si>
  <si>
    <t>Κατοχή</t>
  </si>
  <si>
    <t>38.414535865006400,21.261504985422100</t>
  </si>
  <si>
    <t>Θέση Παναγία</t>
  </si>
  <si>
    <t>ΙΩΑΝΝΗΣ ΔΙΑΜΑΝΤΗΣ του Αθανασίου και της Αναστασίας</t>
  </si>
  <si>
    <t>010910146029/0/3</t>
  </si>
  <si>
    <t>XEg7mQKnpE</t>
  </si>
  <si>
    <t>Διαμέρισμα 106 τ.μ.</t>
  </si>
  <si>
    <t>Συκιές</t>
  </si>
  <si>
    <t>40.64673860695480,22.947133260994700</t>
  </si>
  <si>
    <t>Ούλωφ Πάλμε 18</t>
  </si>
  <si>
    <t>Αριστοτέλης Παπαδόπουλος του Κωνσταντίνου και της Ελένης</t>
  </si>
  <si>
    <t>191140314008/0/3</t>
  </si>
  <si>
    <t>YqSVkYQuSS</t>
  </si>
  <si>
    <t>Δάφνη</t>
  </si>
  <si>
    <t>37.952495953735100,23.73436484733130</t>
  </si>
  <si>
    <t>Διστόμου 14</t>
  </si>
  <si>
    <t>ΝΙΚΑ Μαρίνα</t>
  </si>
  <si>
    <t>050431503002/0/1</t>
  </si>
  <si>
    <t>HgwYdJTNnP</t>
  </si>
  <si>
    <t>Μονοκατοικία 350 τ.μ.</t>
  </si>
  <si>
    <t>35.01085859237910,25.751131920697400</t>
  </si>
  <si>
    <t>Ηροδότου 2</t>
  </si>
  <si>
    <t>ΧΛΩΜΟΥ ΜΑΡΙΑ</t>
  </si>
  <si>
    <t>320264354003/9/0</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</si>
  <si>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</si>
  <si>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</si>
  <si>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</si>
  <si>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</si>
  <si>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</si>
  <si>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</si>
  <si>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3YGEErgrcu-001</t>
  </si>
  <si>
    <t>3YGEErgrcu</t>
  </si>
  <si>
    <t>Αγροτεμάχιο 29.608 τ.μ.</t>
  </si>
  <si>
    <t>Ορχομενός</t>
  </si>
  <si>
    <t>Ορχομενού</t>
  </si>
  <si>
    <t>38.481379974039800,23.005296914527800</t>
  </si>
  <si>
    <t>Θέση Βουρνάδες</t>
  </si>
  <si>
    <t>ΜΠΑΜΠΛΕΚΟΣ ΧΡΗΣΤΟΣ ΤΟΥ ΣΕΡΑΦΕΙΜ ΚΑΙ ΤΗΣ ΑΙΚΑΤΕΡΙΝΗΣ</t>
  </si>
  <si>
    <t>070554409004/0/0</t>
  </si>
  <si>
    <t>nq3n20Fy6D</t>
  </si>
  <si>
    <t>Οικόπεδο 481 τ.μ.</t>
  </si>
  <si>
    <t>38.01405601526100,23.86004138342020</t>
  </si>
  <si>
    <t>Γέρακα</t>
  </si>
  <si>
    <t>MEDITRUST Ε.Π.Ε.</t>
  </si>
  <si>
    <t>050390662009/0/0</t>
  </si>
  <si>
    <t>3YGEErgrcu-002</t>
  </si>
  <si>
    <t>Κτήριο κατοικιών 173 τ.μ. - 43% εξ αδιαιρέτου</t>
  </si>
  <si>
    <t>38.49372075173020,22.982668965447100</t>
  </si>
  <si>
    <t>Παλαιών Πατρών Γερμανού</t>
  </si>
  <si>
    <t>42.50</t>
  </si>
  <si>
    <t>070550607001/1/0</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</si>
  <si>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</si>
  <si>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</si>
  <si>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</si>
  <si>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</si>
  <si>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</si>
  <si>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</si>
  <si>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</si>
  <si>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</si>
  <si>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</si>
  <si>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</si>
  <si>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</si>
  <si>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</si>
  <si>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</si>
  <si>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Διαμέρισμα 113 τ.μ.</t>
  </si>
  <si>
    <t>070421217012/0/60</t>
  </si>
  <si>
    <t>hfAFlfN8d0-002</t>
  </si>
  <si>
    <t>070421217012/0/11</t>
  </si>
  <si>
    <t>QJixwIORUX-001</t>
  </si>
  <si>
    <t>Οικόπεδο 79 τ.μ.</t>
  </si>
  <si>
    <t>Θεοδώρου Μουστρούφα, Δαύλεια</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</si>
  <si>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</si>
  <si>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</si>
  <si>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</si>
  <si>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</si>
  <si>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</si>
  <si>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</si>
  <si>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kTyOqv1u8H</t>
  </si>
  <si>
    <t>Αγροτεμάχιο 17.331 τ.μ.</t>
  </si>
  <si>
    <t>Διαβολίτσι</t>
  </si>
  <si>
    <t>Οιχαλίας</t>
  </si>
  <si>
    <t>37.2890633910181,21.955631363972800</t>
  </si>
  <si>
    <t>Θέση Νερούλες, Κωνσταντίνοι</t>
  </si>
  <si>
    <t>CONSTRUCTION ΕΠΕ</t>
  </si>
  <si>
    <t>361320204087/0/0</t>
  </si>
  <si>
    <t>AJsh6C0ILM</t>
  </si>
  <si>
    <t>Οικόπεδο 1.800 τ.μ.</t>
  </si>
  <si>
    <t>39.680205,19.700715</t>
  </si>
  <si>
    <t>Θέση Ποταμάκια, Λάκωνες</t>
  </si>
  <si>
    <t>ΤΣΑΠΟΚΥΡΙΑΚΑΣ ΑΛΕΞΑΝΔΡΟΣ του ΣΠΥΡΙΔΩΝΟΣ και της ΔΙΑΜΑΝΤΙΝΑΣ</t>
  </si>
  <si>
    <t>X0vhM0Z2mU</t>
  </si>
  <si>
    <t>Μονοκατοικία 50 τ.μ.</t>
  </si>
  <si>
    <t>Γουβιά</t>
  </si>
  <si>
    <t>39.74413,19.818638</t>
  </si>
  <si>
    <t>Σγουράδων - Επίσκεψης, Ομαλή</t>
  </si>
  <si>
    <t>ΣΑΛΒΑΝΟΣ ΑΙΜΙΛΙΟΣ ΤΟΥ ΕΥΑΓΓΕΛΟΥ ΚΑΙ ΤΗΣ ΜΑΡΙΑΣ</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</si>
  <si>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</si>
  <si>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</si>
  <si>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</si>
  <si>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</si>
  <si>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</si>
  <si>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</si>
  <si>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</si>
  <si>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</si>
  <si>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</si>
  <si>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</si>
  <si>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</si>
  <si>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</si>
  <si>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</si>
  <si>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</si>
  <si>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51dUb5NhLX</t>
  </si>
  <si>
    <t>Λιδορίκι</t>
  </si>
  <si>
    <t>38.642770392653200,22.218858908882300</t>
  </si>
  <si>
    <t>Συκέα</t>
  </si>
  <si>
    <t>ΓΕΩΡΓΙΟΣ ΠΑΠΑΘΑΝΑΣΙΟΥ</t>
  </si>
  <si>
    <t>480810101010/0/0</t>
  </si>
  <si>
    <t>UMEWfq6bfl-002</t>
  </si>
  <si>
    <t>Αποθήκη 90 τ.μ.</t>
  </si>
  <si>
    <t>38.328259081683000,23.319860555090400</t>
  </si>
  <si>
    <t>Μαγνησίας &amp; Ελευθερίου Βενιζέλου</t>
  </si>
  <si>
    <t>070300433007/0/0</t>
  </si>
  <si>
    <t>G0WejJrFH3</t>
  </si>
  <si>
    <t>Ημιτελές διαμέρισμα 129 τ.μ. και θέση στάθμευσης</t>
  </si>
  <si>
    <t>38.32227059307710,23.3254357344753</t>
  </si>
  <si>
    <t>Αντιόπης 1</t>
  </si>
  <si>
    <t>ΛΑΜΠΡΟΥ ΙΩΑΝΝΗΣ ΤΟΥ ΔΗΜΗΤΡΙΟΥ</t>
  </si>
  <si>
    <t>070300809006/0/0</t>
  </si>
  <si>
    <t>7jFwTOltjf</t>
  </si>
  <si>
    <t>Αγροτεμάχιο 12.859 τ.μ.</t>
  </si>
  <si>
    <t>Οινόφυτα</t>
  </si>
  <si>
    <t>Τανάγρας</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</si>
  <si>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</si>
  <si>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</si>
  <si>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</si>
  <si>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</si>
  <si>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</si>
  <si>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wQ9WrBcYqT</t>
  </si>
  <si>
    <t>Κατάστημα 13 τ.μ.</t>
  </si>
  <si>
    <t>38.034994115075,23.79700899124</t>
  </si>
  <si>
    <t>Λεωφόρος Κηφισίας 10-12</t>
  </si>
  <si>
    <t>ΔΗΜΗΤΡΙΑΔΟΥ - ΠΙΣΙΜΙΣΗ Σεβαστή</t>
  </si>
  <si>
    <t>050142217001/0/169</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</si>
  <si>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</si>
  <si>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</si>
  <si>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</si>
  <si>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</si>
  <si>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</si>
  <si>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</si>
  <si>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CPvuDYnXj6-003</t>
  </si>
  <si>
    <t>CPvuDYnXj6</t>
  </si>
  <si>
    <t>Φυλή</t>
  </si>
  <si>
    <t>38.0976860204723,23.66388146117160</t>
  </si>
  <si>
    <t>Ευόσμου &amp; Αμαρυλλίδος 8</t>
  </si>
  <si>
    <t>QEMAL SHEHAJ</t>
  </si>
  <si>
    <t>051450324004/0/6</t>
  </si>
  <si>
    <t>3RUwARJIR6</t>
  </si>
  <si>
    <t>Κατάστημα 38 τ.μ.</t>
  </si>
  <si>
    <t>38.17480076112120,20.48980124483520</t>
  </si>
  <si>
    <t>Λιθοστρώτου 27</t>
  </si>
  <si>
    <t>ΠΟΛΛΑΤΟΥ ΣΤΑΥΡΟΥΛΑ ΤΟΥ ΝΙΚΟΛΑΟΥ ΚΑΙ ΤΗΣ ΠΡΑΞΙΘΕΑΣ</t>
  </si>
  <si>
    <t>250090714011/0/2</t>
  </si>
  <si>
    <t>offau3i3bU</t>
  </si>
  <si>
    <t>Οικόπεδο 714 τ.μ.</t>
  </si>
  <si>
    <t>38.177650,20.587339</t>
  </si>
  <si>
    <t>Θέση Περδικοφωλιά, Βαλσαμάτα</t>
  </si>
  <si>
    <t>ΛΑΛΗΣ ΔΙΟΝΥΣΙΟΣ ΤΟΥ ΒΑΣΙΛΕΙΟΥ ΚΑΙ ΤΗΣ ΧΑΡΙΚΛΕΙΑΣ</t>
  </si>
  <si>
    <t>3ZEf3NkLWi</t>
  </si>
  <si>
    <t>37.90388068631400,23.866510610646800</t>
  </si>
  <si>
    <t>Λυκούργου &amp; Θησέως 64</t>
  </si>
  <si>
    <t>ΖΩΗ ΡΑΡΗ</t>
  </si>
  <si>
    <t>050750421001/0/27</t>
  </si>
  <si>
    <t>Hrgp4vAJXP</t>
  </si>
  <si>
    <t>Δικαίωμα κατασκευής διαμερίσματος</t>
  </si>
  <si>
    <t>37.96874137531780,23.565135839103000</t>
  </si>
  <si>
    <t>Αγίου Νεκταρίου 3</t>
  </si>
  <si>
    <t>ΒΑΡΒΑΤΑΚΟΥ-ΧΑΔΙΑΡΗ ΠΑΣΧΑΛΙΑ</t>
  </si>
  <si>
    <t>051181330013/0/3</t>
  </si>
  <si>
    <t>2KD0LLQqeu</t>
  </si>
  <si>
    <t>40.430419723663600,23.493664168948000</t>
  </si>
  <si>
    <t>Θέση λειβάδι, Ταξιάρχης</t>
  </si>
  <si>
    <t>ΒΑΣΙΛΕΙΟΣ ΛΟΚΟΒΙΤΗΣ ΤΟΥ ΘΕΟΧΑΡΗ</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</si>
  <si>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</si>
  <si>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</si>
  <si>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</si>
  <si>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</si>
  <si>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</si>
  <si>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</si>
  <si>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Nq07pfxjOL</t>
  </si>
  <si>
    <t>Κατάστημα 40 τ.μ. με πατάρι 21 τ.μ.</t>
  </si>
  <si>
    <t>37.04349188412330,22.11356805105990</t>
  </si>
  <si>
    <t>Μπενάκη 8</t>
  </si>
  <si>
    <t>ΔΗΜΗΤΡΟΠΟΥΛΟΣ ΧΑΡΑΛΑΜΠΟΣ του Πολυζώη</t>
  </si>
  <si>
    <t>360881416006/0/1</t>
  </si>
  <si>
    <t>uThHEFB4CU</t>
  </si>
  <si>
    <t>Κατάστημα 177 τ.μ.</t>
  </si>
  <si>
    <t>40.999371879982200,22.8803680429582</t>
  </si>
  <si>
    <t>Διονυσίου 4Α</t>
  </si>
  <si>
    <t>Αθανάσιος Τσιτσόγλου του Κωνσταντίνου</t>
  </si>
  <si>
    <t>260353127011/0/2</t>
  </si>
  <si>
    <t>46UpDkmbhC</t>
  </si>
  <si>
    <t>Οικόπεδο 1.357 τ.μ.</t>
  </si>
  <si>
    <t>Ζεφύρι</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</si>
  <si>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</si>
  <si>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</si>
  <si>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</si>
  <si>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</si>
  <si>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M35NKSYugw</t>
  </si>
  <si>
    <t>Κατάστημα 64 τ.μ.</t>
  </si>
  <si>
    <t>37.950010,23.705163</t>
  </si>
  <si>
    <t>Μυκηνών 16 &amp; Τραπεζούντος</t>
  </si>
  <si>
    <t>ΤΣΑΚΥΡΑΚΗΣ ΠΑΡΑΣΧΟΣ του Βασιλείου και της Χαραλαμπίας</t>
  </si>
  <si>
    <t>32.097.16.012.002.01.00-0.006</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</si>
  <si>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</si>
  <si>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</si>
  <si>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</si>
  <si>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</si>
  <si>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</si>
  <si>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</si>
  <si>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</si>
  <si>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</si>
  <si>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Διαμέρισμα 81 τ.μ.</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</si>
  <si>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</si>
  <si>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</si>
  <si>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</si>
  <si>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</si>
  <si>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</si>
  <si>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</si>
  <si>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</si>
  <si>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</si>
  <si>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</si>
  <si>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</si>
  <si>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</si>
  <si>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Παλαιό Φάληρο</t>
  </si>
  <si>
    <t>Παλαιού Φαλήρου</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</si>
  <si>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</si>
  <si>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</si>
  <si>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</si>
  <si>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</si>
  <si>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</si>
  <si>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Διαμέρισμα 95 τ.μ. - 50% εξ αδιαιρέτου</t>
  </si>
  <si>
    <t>37.953884,23.705512</t>
  </si>
  <si>
    <t>Ανδρομάχης 132</t>
  </si>
  <si>
    <t>Ευστάθιος ΓΕΩΡΓΙΑΔΗΣ του Νικολάου και της Γαλήνης</t>
  </si>
  <si>
    <t>32/097/11/033/007/01/03-0/003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</si>
  <si>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</si>
  <si>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</si>
  <si>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</si>
  <si>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</si>
  <si>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</si>
  <si>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</si>
  <si>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</si>
  <si>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</si>
  <si>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</si>
  <si>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</si>
  <si>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</si>
  <si>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</si>
  <si>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</si>
  <si>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</si>
  <si>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</si>
  <si>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</si>
  <si>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</si>
  <si>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</si>
  <si>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</si>
  <si>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</si>
  <si>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</si>
  <si>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</si>
  <si>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</si>
  <si>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</si>
  <si>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</si>
  <si>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</si>
  <si>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Ms38aLm8jq-002</t>
  </si>
  <si>
    <t>Ms38aLm8jq</t>
  </si>
  <si>
    <t>Αγροτεμάχιο 10.965 τ.μ.</t>
  </si>
  <si>
    <t>Φαρκαδώνα</t>
  </si>
  <si>
    <t>Φαρκαδόνας</t>
  </si>
  <si>
    <t>39.531949914348200,22.05555916450310</t>
  </si>
  <si>
    <t>Θέση Ντερμπίνια</t>
  </si>
  <si>
    <t>ΠΑΣΧΟΣ ΑΧΙΛΛΕΑΣ ΤΟΥ ΙΩΑΝΝΗ ΚΑΙ ΤΗΣ ΧΑΙΔΩΣ</t>
  </si>
  <si>
    <t>451331103004/0/0</t>
  </si>
  <si>
    <t>g5LF3dPvBX</t>
  </si>
  <si>
    <t>Κύρια</t>
  </si>
  <si>
    <t>Δοξάτου</t>
  </si>
  <si>
    <t>41.101154952614300,24.301804776789100</t>
  </si>
  <si>
    <t>Αγάπη - Οργάτζη</t>
  </si>
  <si>
    <t>Κωνσταντίνος Τσαβδαρίδης</t>
  </si>
  <si>
    <t>090302506016/0/0</t>
  </si>
  <si>
    <t>FhKQXWWl9W</t>
  </si>
  <si>
    <t>Οικόπεδο 1.009 τ.μ.</t>
  </si>
  <si>
    <t>37.894634954101200,22.929510981096000</t>
  </si>
  <si>
    <t>Εξαμίλια</t>
  </si>
  <si>
    <t>Ιωάννης ΓΚΟΤΣΗΣ του Κωνσταντίνου και της Σοφίας</t>
  </si>
  <si>
    <t>280300109078/0/0</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</si>
  <si>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</si>
  <si>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</si>
  <si>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</si>
  <si>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</si>
  <si>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</si>
  <si>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</si>
  <si>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</si>
  <si>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</si>
  <si>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</si>
  <si>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</si>
  <si>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</si>
  <si>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</si>
  <si>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So5LBBkccC-001</t>
  </si>
  <si>
    <t>So5LBBkccC</t>
  </si>
  <si>
    <t>Θέση στάθμευσης 34 τ.μ.</t>
  </si>
  <si>
    <t>40.08625119166920,21.42079449210700</t>
  </si>
  <si>
    <t>Μπουσίου &amp; Καπετάν Λουκά</t>
  </si>
  <si>
    <t>Ανοιχτό Parking</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</si>
  <si>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</si>
  <si>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</si>
  <si>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</si>
  <si>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</si>
  <si>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</si>
  <si>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</si>
  <si>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</si>
  <si>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</si>
  <si>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</si>
  <si>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</si>
  <si>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</si>
  <si>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</si>
  <si>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</si>
  <si>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</si>
  <si>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</si>
  <si>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</si>
  <si>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So5LBBkccC-007</t>
  </si>
  <si>
    <t>080100407001/0/7</t>
  </si>
  <si>
    <t>So5LBBkccC-008</t>
  </si>
  <si>
    <t>Θέση στάθμευσης 47 τ.μ.</t>
  </si>
  <si>
    <t>080100407001/0/8</t>
  </si>
  <si>
    <t>JlnkxFnCox</t>
  </si>
  <si>
    <t>Διαμέρισμα 139 τ.μ.</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</si>
  <si>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</si>
  <si>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</si>
  <si>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</si>
  <si>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</si>
  <si>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</si>
  <si>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</si>
  <si>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</si>
  <si>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</si>
  <si>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</si>
  <si>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</si>
  <si>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</si>
  <si>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</si>
  <si>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</si>
  <si>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</si>
  <si>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4nbbK0WGrV</t>
  </si>
  <si>
    <t>38.46919823308860,23.606234695890700</t>
  </si>
  <si>
    <t>Ηλία Αφεντάκη &amp; Λεωφόρο2 Γεωργίου Χαϊνά</t>
  </si>
  <si>
    <t>ΒΑΣΙΛΙΚΗ ΚΑΜΑΡΙΩΤΗ του Αθανασίου και της Αθηνάς</t>
  </si>
  <si>
    <t>121625401002/0/3</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</si>
  <si>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</si>
  <si>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</si>
  <si>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</si>
  <si>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</si>
  <si>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</si>
  <si>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</si>
  <si>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5me0Qvnnm3</t>
  </si>
  <si>
    <t>Οικόπεδο 566 τ.μ.</t>
  </si>
  <si>
    <t>Καμμένα Βούρλα</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</si>
  <si>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</si>
  <si>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</si>
  <si>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</si>
  <si>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</si>
  <si>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</si>
  <si>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DZkRFdDWgu</t>
  </si>
  <si>
    <t>Μονοκατοικία 102 τ.μ.</t>
  </si>
  <si>
    <t>38.567910761566300,23.220559556996200</t>
  </si>
  <si>
    <t>ΤΣΑΜΑΤΗΣ ΙΩΑΝΝΗΣ του ΑΘΑΝΑΣΙΟΥ και της Δήμητρας</t>
  </si>
  <si>
    <t>461022213003/0/0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</si>
  <si>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</si>
  <si>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</si>
  <si>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</si>
  <si>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</si>
  <si>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</si>
  <si>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</si>
  <si>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</si>
  <si>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</si>
  <si>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Γόρτυνας</t>
  </si>
  <si>
    <t>34.9892380075799,25.019709194021900</t>
  </si>
  <si>
    <t>Λούκια</t>
  </si>
  <si>
    <t>ΔΙΟΝΥΣΙΟΣ ΓΕΩΡΓΟΠΟΥΛΟΣ ΤΟΥ ΛΕΩΝΙΔΑ ΚΑΙ ΤΗΣ ΕΙΡΗΝΗΣ</t>
  </si>
  <si>
    <t>PdFOxgi7Lb</t>
  </si>
  <si>
    <t>Διαμέρισμα 28 τ.μ.</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</si>
  <si>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</si>
  <si>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</si>
  <si>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</si>
  <si>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</si>
  <si>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</si>
  <si>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</si>
  <si>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</si>
  <si>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</si>
  <si>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</si>
  <si>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</si>
  <si>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</si>
  <si>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</si>
  <si>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Κερατέα</t>
  </si>
  <si>
    <t>37.80601166889310,24.007804044993900</t>
  </si>
  <si>
    <t>Θέση Καμίνι</t>
  </si>
  <si>
    <t>ΦΑΡΛΕΚΑΣ Πέτρος</t>
  </si>
  <si>
    <t>050670957008/1/0</t>
  </si>
  <si>
    <t>eYetL9vTqI</t>
  </si>
  <si>
    <t>Μεζονέτα 276 τ.μ.</t>
  </si>
  <si>
    <t>38.2239202954293,21.79047003532350</t>
  </si>
  <si>
    <t>Αγίου Ανδρέα 2, Ελεκίστρα</t>
  </si>
  <si>
    <t>ΒΕΑΤΡΙΚΗ ΤΖΟΥΡΑΜΑΝΗ του ΕΥΘΥΜΙΟΥ και της ΕΥΓΕΝΙΑΣ</t>
  </si>
  <si>
    <t>060720703012/0/0</t>
  </si>
  <si>
    <t>IjWauTJ39i</t>
  </si>
  <si>
    <t>Οικόπεδο 3.707 τ.μ.</t>
  </si>
  <si>
    <t>Κουτσοπόδι</t>
  </si>
  <si>
    <t>37.70558175862850,22.755797976819100</t>
  </si>
  <si>
    <t>Μοναστηράκι</t>
  </si>
  <si>
    <t>ΧΡΗΣΤΟΣ ΤΣΙΤΟΣ</t>
  </si>
  <si>
    <t>020450503065/0/0</t>
  </si>
  <si>
    <t>kvJ6g3N8MZ</t>
  </si>
  <si>
    <t>Μονοκατοικία 54 τ.μ. και αποθήκη 10 τ.μ.</t>
  </si>
  <si>
    <t>37.61248298427250,22.945093383388700</t>
  </si>
  <si>
    <t>Θέση Λόγγος, Άγιος Δημήτριος</t>
  </si>
  <si>
    <t>ΓΕΩΡΓΙΟΣ ΟΙΚΟΝΟΜΟΥ του ΧΑΡΑΛΑΜΠΟΥΣ</t>
  </si>
  <si>
    <t>020020603013/0/0</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</si>
  <si>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</si>
  <si>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</si>
  <si>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</si>
  <si>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</si>
  <si>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</si>
  <si>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</si>
  <si>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TmCVLrVjM3</t>
  </si>
  <si>
    <t>Οικόπεδο 1.364 τ.μ.</t>
  </si>
  <si>
    <t>Ωρεοί</t>
  </si>
  <si>
    <t>38.94522863756170,23.090981355931700</t>
  </si>
  <si>
    <t>Θέση Περιβολάκια</t>
  </si>
  <si>
    <t>ΘΕΟΔΩΡΟΣ ΒΟΣΚΟΠΟΥΛΟΣ του Λεωνίδα και της Στυλιανής, κάτοικος Αιγάλεω Αττικής (Κυλλήνης 81)</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</si>
  <si>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</si>
  <si>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</si>
  <si>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</si>
  <si>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</si>
  <si>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</si>
  <si>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</si>
  <si>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</si>
  <si>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</si>
  <si>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</si>
  <si>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</si>
  <si>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</si>
  <si>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</si>
  <si>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</si>
  <si>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</si>
  <si>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</si>
  <si>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</si>
  <si>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</si>
  <si>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</si>
  <si>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</si>
  <si>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</si>
  <si>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</si>
  <si>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</si>
  <si>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</si>
  <si>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</si>
  <si>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</si>
  <si>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LcEILw9Xa6</t>
  </si>
  <si>
    <t>40.61432964177830,22.95931268135150</t>
  </si>
  <si>
    <t>Δίωνος 1 &amp; Αθανασίου Διάκου</t>
  </si>
  <si>
    <t>Σπύρος ΚΑΚΚΟΣ του Γεωργίου και της Μαρίας</t>
  </si>
  <si>
    <t>190445408001/0/10</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</si>
  <si>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</si>
  <si>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</si>
  <si>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</si>
  <si>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</si>
  <si>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</si>
  <si>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</si>
  <si>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I58qULYoiG</t>
  </si>
  <si>
    <t>Οικόπεδο 1.090 τ.μ.</t>
  </si>
  <si>
    <t>38.65507133081270,23.219807546602900</t>
  </si>
  <si>
    <t>ΟΣΜΑΕΣ</t>
  </si>
  <si>
    <t>ΜΠΑΡΔΗΣ ΧΑΡΗΣ του Νικολάου και της Σαντέτας</t>
  </si>
  <si>
    <t>460991209020/0/0</t>
  </si>
  <si>
    <t>tq3KQbKwRr</t>
  </si>
  <si>
    <t>Οικόπεδο 701 τ.μ.</t>
  </si>
  <si>
    <t>40.557067334887900,22.46913078739160</t>
  </si>
  <si>
    <t>Αγκαθιά</t>
  </si>
  <si>
    <t>Αναστασίου Δημήτριος του Παναγιώτη</t>
  </si>
  <si>
    <t>160040756007/0/0</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</si>
  <si>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</si>
  <si>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</si>
  <si>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</si>
  <si>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</si>
  <si>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</si>
  <si>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</si>
  <si>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</si>
  <si>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</si>
  <si>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</si>
  <si>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</si>
  <si>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</si>
  <si>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QrrwAddwlC</t>
  </si>
  <si>
    <t>Μονοκατοικία 390 τ.μ.</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</si>
  <si>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</si>
  <si>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</si>
  <si>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</si>
  <si>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</si>
  <si>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</si>
  <si>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icYdo8wpTF-004</t>
  </si>
  <si>
    <t>icYdo8wpTF</t>
  </si>
  <si>
    <t>Δικαίωμα κατασκευής διαμερίσματος 59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</si>
  <si>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</si>
  <si>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</si>
  <si>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</si>
  <si>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</si>
  <si>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</si>
  <si>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280552004018/0/6</t>
  </si>
  <si>
    <t>Διαμέρισμα 86 τ.μ. – 50% ψιλή κυριότητα</t>
  </si>
  <si>
    <t>ΜΠΟΥΦΗΣ ΝΙΚΟΛΑΟΣ</t>
  </si>
  <si>
    <t>280552004018/0/1</t>
  </si>
  <si>
    <t>YYCTSFoRO2</t>
  </si>
  <si>
    <t>Κατάστημα 680 τ.μ. με υπόγειο 628 και θέσεις στάθμευσης</t>
  </si>
  <si>
    <t>Χαλκείο</t>
  </si>
  <si>
    <t>37.882414,22.726020</t>
  </si>
  <si>
    <t>Επαρχιακή οδός Χαλκείου - Μονής</t>
  </si>
  <si>
    <t>ΚΟΥΤΕΛΙΕΡΗΣ ΓΕΩΡΓΙΟΣ του ΒΑΣΙΛΕΙΟΥ και της ΕΙΡΗΝΗΣ</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</si>
  <si>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</si>
  <si>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</si>
  <si>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</si>
  <si>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</si>
  <si>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</si>
  <si>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</si>
  <si>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4GZImLrI6I</t>
  </si>
  <si>
    <t>38.21603104438990,21.730642537489800</t>
  </si>
  <si>
    <t>Ευφήμου 39</t>
  </si>
  <si>
    <t>ΓΕΩΡΓΙΟΣ ΚΑΡΠΗΣ του Δημητρίου και της Λαμπρινής</t>
  </si>
  <si>
    <t>061671172010/0/2</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</si>
  <si>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</si>
  <si>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</si>
  <si>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</si>
  <si>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</si>
  <si>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</si>
  <si>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</si>
  <si>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</si>
  <si>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</si>
  <si>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</si>
  <si>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</si>
  <si>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</si>
  <si>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</si>
  <si>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</si>
  <si>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gNvuGPu4si</t>
  </si>
  <si>
    <t>Μονοκατοικία 1.016 τ.μ.</t>
  </si>
  <si>
    <t>40.733545021732,22.991039894351200</t>
  </si>
  <si>
    <t>Θέση Βαλιάνη Μπαχτσέ</t>
  </si>
  <si>
    <t>Χρηστίδης Δημήτριος του Χρήστου</t>
  </si>
  <si>
    <t>190630222012/0/0</t>
  </si>
  <si>
    <t>D0U6M4jDfb</t>
  </si>
  <si>
    <t>Διαμέρισμα 93 τ.μ. με θέση στάθμευσης</t>
  </si>
  <si>
    <t>Σπάρτη</t>
  </si>
  <si>
    <t>Σπάρτης</t>
  </si>
  <si>
    <t>Λακωνίας</t>
  </si>
  <si>
    <t>37.071155975430100,22.426676088377000</t>
  </si>
  <si>
    <t>Λεωνίδου 13</t>
  </si>
  <si>
    <t>Ηλίας ΧΑΝΤΖΗΣ του Γεωργίου και της Σταυρούλας</t>
  </si>
  <si>
    <t>301341409012/0/48</t>
  </si>
  <si>
    <t>di8puavNZW</t>
  </si>
  <si>
    <t>38.251750809580600,22.084206637587600</t>
  </si>
  <si>
    <t>Μελετοπούλων &amp; 1ης Μάη 1886 2</t>
  </si>
  <si>
    <t>ΓΕΩΡΓΙΟΣ ΔΗΜΗΤΡΙΑΔΗΣ</t>
  </si>
  <si>
    <t>wb7XjxyCsV</t>
  </si>
  <si>
    <t>Μονοκατοικίες 230 τ.μ.</t>
  </si>
  <si>
    <t>Σκύδρα</t>
  </si>
  <si>
    <t>Σκύδρας</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</si>
  <si>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</si>
  <si>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</si>
  <si>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</si>
  <si>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</si>
  <si>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</si>
  <si>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</si>
  <si>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</si>
  <si>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</si>
  <si>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</si>
  <si>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</si>
  <si>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</si>
  <si>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</si>
  <si>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</si>
  <si>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4rJI1YIdqS-001</t>
  </si>
  <si>
    <t>Αγροτεμάχιο 4.050 τ.μ.</t>
  </si>
  <si>
    <t>lU5bWmgPYJ</t>
  </si>
  <si>
    <t>Διαμέρισμα 80 τ.μ. - επικαρπία</t>
  </si>
  <si>
    <t>Ηράκλειο</t>
  </si>
  <si>
    <t>Ηρακλείου ΚΡΗΤΗΣ</t>
  </si>
  <si>
    <t>35.324076386589000,25.13105607263680</t>
  </si>
  <si>
    <t>Χαλέπας</t>
  </si>
  <si>
    <t>Πλαϊτάκη Άννα το γένος Σωκράτη και Μαρίας Φραντζεσκάκη</t>
  </si>
  <si>
    <t>170632105012/0/1</t>
  </si>
  <si>
    <t>2R2pCDR2mC</t>
  </si>
  <si>
    <t>Οικόπεδο 1.007 τ.μ.</t>
  </si>
  <si>
    <t>35.06128013391590,24.964513559573800</t>
  </si>
  <si>
    <t>Θέση Μαραγκάκη</t>
  </si>
  <si>
    <t>Γεώργιο ΤΖΑΓΚΑΡΑΚΗ του Ιωάννη και της Μαρίας</t>
  </si>
  <si>
    <t>SxLkm8T8kd</t>
  </si>
  <si>
    <t>Μονοκατοικία 66 τ.μ.</t>
  </si>
  <si>
    <t>38.328776100705400,23.321058373670000</t>
  </si>
  <si>
    <t>Βασιλική ΚΡΕΑΤΣΕΛΗ του Ευσταθίου</t>
  </si>
  <si>
    <t>APHAkXUbZ3</t>
  </si>
  <si>
    <t>Οικόπεδο 5.333 τ.μ.</t>
  </si>
  <si>
    <t>Αγία Παρασκευή Αχαΐας</t>
  </si>
  <si>
    <t>38.12317478902900,21.733929850522300</t>
  </si>
  <si>
    <t>Θέση Δημοσιά, Κυδωνιές</t>
  </si>
  <si>
    <t>ΓΕΡΑΣΙΜΟΣ ΚΑΒΒΑΔΙΑΣ</t>
  </si>
  <si>
    <t>3TkgxiPfGL</t>
  </si>
  <si>
    <t>Λευκάδα</t>
  </si>
  <si>
    <t>38.799660633880500,20.7138991462494</t>
  </si>
  <si>
    <t>Καριώτες</t>
  </si>
  <si>
    <t>ΣΤΕΦΑΝΟΣ ΡΟΜΠΟΤΗΣ του Μιχάηλ</t>
  </si>
  <si>
    <t>340190104001/0/1</t>
  </si>
  <si>
    <t>GFCNhTeMWU-006</t>
  </si>
  <si>
    <t>GFCNhTeMWU</t>
  </si>
  <si>
    <t>Διαμέρισμα 18 τ.μ.</t>
  </si>
  <si>
    <t>35.21941220052700,26.071381671529000</t>
  </si>
  <si>
    <t>Θέση Λίμνη - Χαλικιά - Σκοπή</t>
  </si>
  <si>
    <t>ΚΟΣΚΙΝΗΣ ΙΩΑΝΝΗΣ</t>
  </si>
  <si>
    <t>320750606014/0/1</t>
  </si>
  <si>
    <t>GFCNhTeMWU-009</t>
  </si>
  <si>
    <t>Διαμέρισμα 45 τ.μ.</t>
  </si>
  <si>
    <t>320750606014/0/4</t>
  </si>
  <si>
    <t>GFCNhTeMWU-003</t>
  </si>
  <si>
    <t>320750606014/0/9</t>
  </si>
  <si>
    <t>GFCNhTeMWU-008</t>
  </si>
  <si>
    <t>Διαμέρισμα 33 τ.μ.</t>
  </si>
  <si>
    <t>320750606014/0/5</t>
  </si>
  <si>
    <t>GFCNhTeMWU-002</t>
  </si>
  <si>
    <t>Κατάστημα 35 τ.μ.</t>
  </si>
  <si>
    <t>35.206370087947300,26.102756515423800</t>
  </si>
  <si>
    <t>Παπαναστασίου &amp; Ανθέων</t>
  </si>
  <si>
    <t>320730949015/0/9</t>
  </si>
  <si>
    <t>GFCNhTeMWU-005</t>
  </si>
  <si>
    <t>Μεζονέτα 54 τ.μ.</t>
  </si>
  <si>
    <t>320750606014/0/10</t>
  </si>
  <si>
    <t>GFCNhTeMWU-007</t>
  </si>
  <si>
    <t>Μεζονέτα 39 τ.μ.</t>
  </si>
  <si>
    <t>320750606014/0/6</t>
  </si>
  <si>
    <t>GFCNhTeMWU-001</t>
  </si>
  <si>
    <t>Κατάστημα 46 τ.μ.</t>
  </si>
  <si>
    <t>320730949015/0/8</t>
  </si>
  <si>
    <t>GFCNhTeMWU-004</t>
  </si>
  <si>
    <t>320750606014/0/7</t>
  </si>
  <si>
    <t>TymkeAESrA-002</t>
  </si>
  <si>
    <t>TymkeAESrA</t>
  </si>
  <si>
    <t>Αγροτεμάχιο - ελαιώνας 4.455 τ.μ.</t>
  </si>
  <si>
    <t>35.3461395691158,24.60738805676500</t>
  </si>
  <si>
    <t>Θέση Μπαλά, Κυριάννα</t>
  </si>
  <si>
    <t>ΓΡΗΓΟΡΙΟΣ ΜΑΣΑΛΗΣ του Αποστόλου</t>
  </si>
  <si>
    <t>TymkeAESrA-001</t>
  </si>
  <si>
    <t>Μονοκατοικία 175 τ.μ. με αποθήκη</t>
  </si>
  <si>
    <t>Θέση Παναγιά, Κυριάννα</t>
  </si>
  <si>
    <t>aKHqDjvDdu</t>
  </si>
  <si>
    <t>Αγροτεμάχιο 5.778 τ.μ.</t>
  </si>
  <si>
    <t>35.18509801775190,26.15225658973290</t>
  </si>
  <si>
    <t>Θέση Ροβιές, Ρούσσα Εκκλησιά</t>
  </si>
  <si>
    <t>ΓΙΑΝΝΑΚΑΚΗΣ ΔΗΜΗΤΡΙΟΣ</t>
  </si>
  <si>
    <t>320720401015/0/0</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</si>
  <si>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</si>
  <si>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</si>
  <si>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</si>
  <si>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</si>
  <si>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P0dsb2tn7u</t>
  </si>
  <si>
    <t>Κατάστημα 107 τ.μ.</t>
  </si>
  <si>
    <t>Ακταίο</t>
  </si>
  <si>
    <t>38.311002500351000,21.797899880950900</t>
  </si>
  <si>
    <t>Ελευθερίας</t>
  </si>
  <si>
    <t>ΜΙΧΑΗΛ ΠΑΝΑΓΟΠΟΥΛΟΣ</t>
  </si>
  <si>
    <t>060160136004/0/0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</si>
  <si>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</si>
  <si>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</si>
  <si>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</si>
  <si>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</si>
  <si>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</si>
  <si>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</si>
  <si>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</si>
  <si>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</si>
  <si>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</si>
  <si>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Hy5daG7Yn8-001</t>
  </si>
  <si>
    <t>Αγροτεμάχιο 5.258 τ.μ.</t>
  </si>
  <si>
    <t>38.86322187220040,20.79344797694820</t>
  </si>
  <si>
    <t>011631804017/0/0</t>
  </si>
  <si>
    <t>J0s7pKcogN</t>
  </si>
  <si>
    <t>Γραφείο 95 τ.μ.</t>
  </si>
  <si>
    <t>41.13286239674930,24.90448053145990</t>
  </si>
  <si>
    <t>Ευάγγελου Λάμπρου, Δροσερό</t>
  </si>
  <si>
    <t>Ραμαδάν (ον) Μερτζάν (επ)</t>
  </si>
  <si>
    <t>370262703022/0/2</t>
  </si>
  <si>
    <t>gMI9f0kK2d</t>
  </si>
  <si>
    <t>Διαμέρισμα 50 τ.μ.</t>
  </si>
  <si>
    <t>37.988867382272600,23.7431110255395</t>
  </si>
  <si>
    <t>Ζωναρά 11 &amp; Θεόδωρου Λασκάρεως 41</t>
  </si>
  <si>
    <t>ΝΙΚΟΛΑΟΣ ΚΟΥΦΟΠΟΥΛΟΣ του Δημητρίου και της Μερόπης</t>
  </si>
  <si>
    <t>050095174002/0/10</t>
  </si>
  <si>
    <t>T2fxDyeFlj</t>
  </si>
  <si>
    <t>37.93691935090240,23.628859267835800</t>
  </si>
  <si>
    <t>Αθανασίου Μιαούλη 5</t>
  </si>
  <si>
    <t>Γεώργιος ΧΙΩΤΗΣ του Νικολάου και της Αικατερίνης</t>
  </si>
  <si>
    <t>051167409010/0/8</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</si>
  <si>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</si>
  <si>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</si>
  <si>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</si>
  <si>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</si>
  <si>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</si>
  <si>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</si>
  <si>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</si>
  <si>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</si>
  <si>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</si>
  <si>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</si>
  <si>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</si>
  <si>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</si>
  <si>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</si>
  <si>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</si>
  <si>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yAlUx50TaH</t>
  </si>
  <si>
    <t>Οικόπεδο 395 τ.μ.</t>
  </si>
  <si>
    <t>38.07267053758700,23.723263914993300</t>
  </si>
  <si>
    <t>Αναγεννήσεως 2</t>
  </si>
  <si>
    <t>ΜΑΡΤΖΕΛΟΣ ΧΡΗΣΤΟΣ ΤΟΥ ΙΩΑΝΝΗ</t>
  </si>
  <si>
    <t>050281324006/0/0</t>
  </si>
  <si>
    <t>JaXJ6A8B7t</t>
  </si>
  <si>
    <t>38.00791223397280,23.73376852476080</t>
  </si>
  <si>
    <t>Μιχαήλ Νομικού 11-15 &amp; Πάτμου 26</t>
  </si>
  <si>
    <t>MEHMOOD (ΜΕΧΜΟΥΝΤ) TARIQ (ΤΑΡΙΚ) ΤΟΥ RAJA KHAN (ΡΑΖΑ ΧΑΝ)</t>
  </si>
  <si>
    <t>050092247010/0/22</t>
  </si>
  <si>
    <t>1oloAQGcLx</t>
  </si>
  <si>
    <t>Κτήριο κατοικιών 396 τ.μ.</t>
  </si>
  <si>
    <t>35.14017887548440,25.267619794723000</t>
  </si>
  <si>
    <t>Θέση Καυκάρια</t>
  </si>
  <si>
    <t>Σαμωνάκη Μιχαήλ του Γεωργίου και της Νίκης</t>
  </si>
  <si>
    <t>8vAxO6ZOmJ</t>
  </si>
  <si>
    <t>Οικόπεδο 980 τ.μ.</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</si>
  <si>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</si>
  <si>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</si>
  <si>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</si>
  <si>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</si>
  <si>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</si>
  <si>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</si>
  <si>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</si>
  <si>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</si>
  <si>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</si>
  <si>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</si>
  <si>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</si>
  <si>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</si>
  <si>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</si>
  <si>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</si>
  <si>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</si>
  <si>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</si>
  <si>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</si>
  <si>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</si>
  <si>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</si>
  <si>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</si>
  <si>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</si>
  <si>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</si>
  <si>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</si>
  <si>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</si>
  <si>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ETibcfolUV-001</t>
  </si>
  <si>
    <t>070420703003/0/6</t>
  </si>
  <si>
    <t>DctUjQEdrt-001</t>
  </si>
  <si>
    <t>Κατάστημα 27 τ.μ. με πατάρι 14 τ.μ.</t>
  </si>
  <si>
    <t>190446604012/0/1</t>
  </si>
  <si>
    <t>DctUjQEdrt-002</t>
  </si>
  <si>
    <t>Κατάστημα 65 τ.μ. με πατάρι 33 τ.μ.</t>
  </si>
  <si>
    <t>190446604012/0/2</t>
  </si>
  <si>
    <t>ipxkR8L7ja-002</t>
  </si>
  <si>
    <t>ipxkR8L7ja</t>
  </si>
  <si>
    <t>39.67035313279110,20.841488186922400</t>
  </si>
  <si>
    <t>Μεγάλου Αλεξάνδρου 36 - 38</t>
  </si>
  <si>
    <t>ΓΕΩΡΓΙΟΣ ΒΡΑΝΟΣ του ΚΩΝΣΤΑΝΤΝΟΥ</t>
  </si>
  <si>
    <t>201191313024/0/12</t>
  </si>
  <si>
    <t>qZAeMLpBMG</t>
  </si>
  <si>
    <t>Μονοκατοικία 134 τ.μ.</t>
  </si>
  <si>
    <t>41.09279195719140,23.53966143431070</t>
  </si>
  <si>
    <t>Καραϊσκάκη 52</t>
  </si>
  <si>
    <t>ΜΙΝΤΖΙΡΙΚΗ ΣΤΥΛΙΑΝΗ ΤΟΥ ΑΛΕΞΑΝΔΡΟΥ</t>
  </si>
  <si>
    <t>441211863002/0/0</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</si>
  <si>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</si>
  <si>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</si>
  <si>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</si>
  <si>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</si>
  <si>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</si>
  <si>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</si>
  <si>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</si>
  <si>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</si>
  <si>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</si>
  <si>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</si>
  <si>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</si>
  <si>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</si>
  <si>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</si>
  <si>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</si>
  <si>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</si>
  <si>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</si>
  <si>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</si>
  <si>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</si>
  <si>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</si>
  <si>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</si>
  <si>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</si>
  <si>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</si>
  <si>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</si>
  <si>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</si>
  <si>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</si>
  <si>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</si>
  <si>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</si>
  <si>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</si>
  <si>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</si>
  <si>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</si>
  <si>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</si>
  <si>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</si>
  <si>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</si>
  <si>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</si>
  <si>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Μονοκατοικία 70 τ.μ.</t>
  </si>
  <si>
    <t>35.18948139954180,25.27983302975430</t>
  </si>
  <si>
    <t>Θραψανό</t>
  </si>
  <si>
    <t>BJD433vX4E-010</t>
  </si>
  <si>
    <t>Αγροτεμάχιο – ελαιώνας 2.740 τ.μ.</t>
  </si>
  <si>
    <t>35.173974532746300,25.262269323573500</t>
  </si>
  <si>
    <t>Θέση Δρακόνερο, Θραψανό</t>
  </si>
  <si>
    <t>lXXweq4GqA</t>
  </si>
  <si>
    <t>Οικόπεδο 2.360 τ.μ.</t>
  </si>
  <si>
    <t>Γραικοχώρι</t>
  </si>
  <si>
    <t>39.50524290750900,20.305936939574600</t>
  </si>
  <si>
    <t>Αμπελιά</t>
  </si>
  <si>
    <t>ΑΛΕΞΙΟΣ ΔΗΜΑΣ του Λεωνίδα και της Αικατερίνης</t>
  </si>
  <si>
    <t>180262312002/0/0</t>
  </si>
  <si>
    <t>BJD433vX4E-013</t>
  </si>
  <si>
    <t>Οικόπεδο 96 τ.μ.</t>
  </si>
  <si>
    <t>35.18976311805530,25.27976831783680</t>
  </si>
  <si>
    <t>BJD433vX4E-005</t>
  </si>
  <si>
    <t>Αγροτεμάχιο – ελαιώνας 446 τ.μ.</t>
  </si>
  <si>
    <t>35.18821008656010,25.267807627675200</t>
  </si>
  <si>
    <t>Θέση Βονιανά, Θραψανό</t>
  </si>
  <si>
    <t>6OTBerwVNa</t>
  </si>
  <si>
    <t>37.97289289596310,23.641100762633800</t>
  </si>
  <si>
    <t>Αϊδινίου 34</t>
  </si>
  <si>
    <t>Χρήστος ΝΤΙΜΤΣΑΣ του Χαρίλαου και της Δέσποινας</t>
  </si>
  <si>
    <t>051091401010/0/0</t>
  </si>
  <si>
    <t>ScXw9jt3ld</t>
  </si>
  <si>
    <t>Μονοκατοικία 176 τ.μ.</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</si>
  <si>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</si>
  <si>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</si>
  <si>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</si>
  <si>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</si>
  <si>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</si>
  <si>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</si>
  <si>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</si>
  <si>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Jhmh3ECO2x</t>
  </si>
  <si>
    <t>Οικόπεδο 204 τ.μ.</t>
  </si>
  <si>
    <t>37.79007083125970,21.34565946244000</t>
  </si>
  <si>
    <t>Γεωργίου Παπανδρέου</t>
  </si>
  <si>
    <t>ΚΩΝΣΤΑΝΤΙΝΑ ΣΥΖ. ΑΝΤΩΝΙΟΥ ΓΟΥΛΙΑΡΗ ΤΟ ΓΕΝΟΣ ΔΗΜΗΤΡΙΟΥ ΚΑΙ ΓΕΩΡΓΙΑΣ ΠΑΠΑΔΑΤΟΥ</t>
  </si>
  <si>
    <t>150191225005/1/0</t>
  </si>
  <si>
    <t>JcdCR0l9iv-002</t>
  </si>
  <si>
    <t>JcdCR0l9iv</t>
  </si>
  <si>
    <t>Διαμέρισμα 32 τ.μ.</t>
  </si>
  <si>
    <t>Μυτιλήνη</t>
  </si>
  <si>
    <t>Λέσβου</t>
  </si>
  <si>
    <t>39.090328147516000,26.557453310600400</t>
  </si>
  <si>
    <t>Χρυσομαλλούσα</t>
  </si>
  <si>
    <t>ΣΙΜΩΝΑΣ ΦΙΛΙΠΠΟΥ</t>
  </si>
  <si>
    <t>330561208006/0/8</t>
  </si>
  <si>
    <t>PyCZbB26kU</t>
  </si>
  <si>
    <t>Αγροτεμάχιο 10.750 τ.μ.</t>
  </si>
  <si>
    <t>Ωραιόκαστρο</t>
  </si>
  <si>
    <t>40.78383990751980,22.8233014401139</t>
  </si>
  <si>
    <t>ΒΑΛΑΣΑΚΗΣ ΒΑΣΙΛΕΙΟΣ του ΒΑΛΑΣΗ</t>
  </si>
  <si>
    <t>190800803009/0/0</t>
  </si>
  <si>
    <t>vyhNe4TIxS</t>
  </si>
  <si>
    <t>Ημιτελές διαμέρισμα 87 τ.μ.</t>
  </si>
  <si>
    <t>40.66824163221370,22.931380135410800</t>
  </si>
  <si>
    <t>Γ πάροδος Δημοσθένους 1</t>
  </si>
  <si>
    <t>ΒΑΣΙΛΕΙΟΣ ΚΑΡΑΤΖΑΣ του Δημητρίου</t>
  </si>
  <si>
    <t>191114101007/0/3</t>
  </si>
  <si>
    <t>YMjVK9sRUe-001</t>
  </si>
  <si>
    <t>YMjVK9sRUe</t>
  </si>
  <si>
    <t>Διαμέρισμα 127 τ.μ.</t>
  </si>
  <si>
    <t>38.31758715206180,23.31694167880230</t>
  </si>
  <si>
    <t>Επαμεινώνδα &amp; Παναγιώτη Δράκου</t>
  </si>
  <si>
    <t>ΜΠΕΤΟΦΙΛ ΑΒΕ ΠΡΟΚΑΤΑΣΚΕΥΑΣΜΕΝΟΥ ΜΠΕΤΟΝ</t>
  </si>
  <si>
    <t>070301320010/0/0</t>
  </si>
  <si>
    <t>YMjVK9sRUe-002</t>
  </si>
  <si>
    <t>Q7gEKZb6Eh</t>
  </si>
  <si>
    <t>Ημιτελής μονοκατοικία 312 τ.μ.</t>
  </si>
  <si>
    <t>Νέο Πετρίτσι</t>
  </si>
  <si>
    <t>Σιντικής</t>
  </si>
  <si>
    <t>41.26955625611440,23.25063359096630</t>
  </si>
  <si>
    <t>Βυρώνεια</t>
  </si>
  <si>
    <t>ΜΑΡΙΝΑ ΚΕΤΣΕΤΖΙΔΟΥ ΤΟΥ ΠΕΤΡΟΥ ΚΑΙ ΤΗΣ ΑΝΘΟΥΛΑΣ</t>
  </si>
  <si>
    <t>440310119007/0/0</t>
  </si>
  <si>
    <t>198sSAJPyU</t>
  </si>
  <si>
    <t>Μεζονέτα 127 τ.μ.</t>
  </si>
  <si>
    <t>Νάουσα Πάρου</t>
  </si>
  <si>
    <t>37.11484,25.20356</t>
  </si>
  <si>
    <t>Θέση Ασπριές</t>
  </si>
  <si>
    <t>ΠΑΝΤΕΛΕΗΜΩΝ ΚΑΡΠΟΥΖΟΓΛΟΥ</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</si>
  <si>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</si>
  <si>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</si>
  <si>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</si>
  <si>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</si>
  <si>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</si>
  <si>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</si>
  <si>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</si>
  <si>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</si>
  <si>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</si>
  <si>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</si>
  <si>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</si>
  <si>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</si>
  <si>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</si>
  <si>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GKr6npj5NB-001</t>
  </si>
  <si>
    <t>Ημιτελής χώρος 120 τ.μ.</t>
  </si>
  <si>
    <t>330091201165/0/3</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</si>
  <si>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</si>
  <si>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</si>
  <si>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</si>
  <si>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</si>
  <si>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</si>
  <si>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</si>
  <si>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</si>
  <si>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EXl2TLGDuV</t>
  </si>
  <si>
    <t>Μονοκατοικία 80 τ.μ.</t>
  </si>
  <si>
    <t>Μύρινα</t>
  </si>
  <si>
    <t>Λήμνου</t>
  </si>
  <si>
    <t>39.89050,25.07530</t>
  </si>
  <si>
    <t>Θέση Μελαγγάς</t>
  </si>
  <si>
    <t>ΣΕΒΑΣΤΙΔΗΣ ΕΝΤΟΥΑΡΝΤ</t>
  </si>
  <si>
    <t>UWd2nuytPw-002</t>
  </si>
  <si>
    <t>UWd2nuytPw</t>
  </si>
  <si>
    <t>Οικόπεδο 51 τ.μ.</t>
  </si>
  <si>
    <t>37.71278971036590,24.049925015905900</t>
  </si>
  <si>
    <t>Γερασιμίδη 16</t>
  </si>
  <si>
    <t>ΝΙΚΟΛΑΟΣ ΔΕΛΗΓΙΑΝΝΗΣ</t>
  </si>
  <si>
    <t>050790924018/0/0</t>
  </si>
  <si>
    <t>SgMUX4bWx8</t>
  </si>
  <si>
    <t>37.931829,23.705195</t>
  </si>
  <si>
    <t>Ευριπίδου 8</t>
  </si>
  <si>
    <t>Eliada (Ηλιάδα) Lazoura (Λαζούρα)||Θεοχάρης Νικόλαος</t>
  </si>
  <si>
    <t>146962086||129526242</t>
  </si>
  <si>
    <t>4HDkBinwC7</t>
  </si>
  <si>
    <t>Ημιτελές διαμέρισμα 101 τ.μ.</t>
  </si>
  <si>
    <t>37.95008766179680,23.62735651351570</t>
  </si>
  <si>
    <t>Αγίου Παντελεήμονος 67</t>
  </si>
  <si>
    <t>Παπαδοπούλου Βαρβάρα</t>
  </si>
  <si>
    <t>050450154011/0/2</t>
  </si>
  <si>
    <t>XeJ6BugcvL</t>
  </si>
  <si>
    <t>37.99991117410520,23.727254697056300</t>
  </si>
  <si>
    <t>Αχαρνών 151 &amp; Σωζοπόλεως 1</t>
  </si>
  <si>
    <t>ΓΕΩΡΓΙΤΣΑΣ ΚΩΝΣΤΑΝΤΙΝΟΣ</t>
  </si>
  <si>
    <t>050093079017/0/39</t>
  </si>
  <si>
    <t>UWd2nuytPw-001</t>
  </si>
  <si>
    <t>37.71278416837460,24.049815639574400</t>
  </si>
  <si>
    <t>Παλαμιδίου 1</t>
  </si>
  <si>
    <t>050790924017/0/0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</si>
  <si>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</si>
  <si>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</si>
  <si>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</si>
  <si>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</si>
  <si>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</si>
  <si>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</si>
  <si>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sUnvNWHHrh-001</t>
  </si>
  <si>
    <t>sUnvNWHHrh</t>
  </si>
  <si>
    <t>Λέχαιο</t>
  </si>
  <si>
    <t>37.936779932853600,22.85969734803490</t>
  </si>
  <si>
    <t>Θέση Άγιος Γεράσιμος ή Αμυγδαλιές</t>
  </si>
  <si>
    <t>ΧΑΛΚΙΑΣ Κωνσταντίνος του Βασιλείου και της Ελευθερίας</t>
  </si>
  <si>
    <t>280660106008/0/1</t>
  </si>
  <si>
    <t>sUnvNWHHrh-002</t>
  </si>
  <si>
    <t>280660106008/0/2</t>
  </si>
  <si>
    <t>sUnvNWHHrh-003</t>
  </si>
  <si>
    <t>280660106008/0/3</t>
  </si>
  <si>
    <t>sTa2wEAlJt</t>
  </si>
  <si>
    <t>Διαμέρισμα 26 τ.μ.</t>
  </si>
  <si>
    <t>40.853699498461600,25.889053466342600</t>
  </si>
  <si>
    <t>Ξενοπούλου</t>
  </si>
  <si>
    <t>ΕΦΡΑΙΜΙΔΗΣ ΠΑΥΛΟΣ ΤΟΥ ΛΑΖΑΡΟΥ ΚΑΙ ΤΗΣ ΒΑΛΕΝΤΙΝΑΣ</t>
  </si>
  <si>
    <t>110031730009/0/2</t>
  </si>
  <si>
    <t>Vh1SxEdVjV</t>
  </si>
  <si>
    <t>Μονοκατοικία 95 τ.μ. με αποθήκες 183 τ.μ.</t>
  </si>
  <si>
    <t>41.01458328771520,22.817796373675600</t>
  </si>
  <si>
    <t>Μεταλλικό</t>
  </si>
  <si>
    <t>Ζάϊκος Φώτιος του Πέτρου και της Δέσποινας</t>
  </si>
  <si>
    <t>260352904007/0/0</t>
  </si>
  <si>
    <t>KgQIiMjaPq-002</t>
  </si>
  <si>
    <t>KgQIiMjaPq</t>
  </si>
  <si>
    <t>Δικαίωμα υψούν 18 τ.μ.</t>
  </si>
  <si>
    <t>37.92823805783200,23.64171564742270</t>
  </si>
  <si>
    <t>Κωλέττη 89 &amp; Ακτή Θεμιστοκλέους 104</t>
  </si>
  <si>
    <t>ΚΑΣΚΟΥΡΑΣ ΕΛΕΥΘΕΡΙΟΣ</t>
  </si>
  <si>
    <t>051166331009/0/13</t>
  </si>
  <si>
    <t>1wN8X7VWaf</t>
  </si>
  <si>
    <t>Αγροτεμάχιο 13.880 τ.μ. - 50% εξ αδιαιρέτου</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</si>
  <si>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</si>
  <si>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</si>
  <si>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</si>
  <si>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</si>
  <si>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</si>
  <si>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</si>
  <si>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</si>
  <si>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</si>
  <si>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</si>
  <si>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</si>
  <si>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</si>
  <si>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</si>
  <si>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</si>
  <si>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</si>
  <si>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</si>
  <si>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</si>
  <si>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</si>
  <si>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</si>
  <si>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</si>
  <si>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</si>
  <si>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</si>
  <si>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</si>
  <si>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</si>
  <si>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</si>
  <si>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</si>
  <si>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</si>
  <si>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</si>
  <si>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</si>
  <si>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6M7VmAE9VI</t>
  </si>
  <si>
    <t>Οικόπεδο 344 τ.μ. - 38% εξ αδιαιρέτου</t>
  </si>
  <si>
    <t>Άγιος Κωνσταντίνος</t>
  </si>
  <si>
    <t>38.63368454817910,21.405043493939900</t>
  </si>
  <si>
    <t>Απόστολου Φαφούτη</t>
  </si>
  <si>
    <t>37.50</t>
  </si>
  <si>
    <t>Τραγόμαλλου Ουρανία του Ιωάννη &amp; Ευθυμίας</t>
  </si>
  <si>
    <t>010130728011/0/0</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</si>
  <si>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</si>
  <si>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</si>
  <si>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</si>
  <si>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</si>
  <si>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</si>
  <si>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</si>
  <si>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</si>
  <si>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</si>
  <si>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</si>
  <si>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</si>
  <si>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</si>
  <si>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</si>
  <si>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</si>
  <si>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</si>
  <si>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</si>
  <si>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</si>
  <si>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</si>
  <si>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</si>
  <si>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</si>
  <si>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</si>
  <si>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</si>
  <si>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</si>
  <si>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Μονοκατοικία 215 τ.μ.</t>
  </si>
  <si>
    <t>Φάρσαλα</t>
  </si>
  <si>
    <t>Φαρσάλων</t>
  </si>
  <si>
    <t>39.29393956291480,22.38891442774390</t>
  </si>
  <si>
    <t>Καναδά 31</t>
  </si>
  <si>
    <t>ΔΗΜΟΣΘΕΝΗΣ ΣΥΡΟΠΟΥΛΟΣ</t>
  </si>
  <si>
    <t>311550719003/0/0</t>
  </si>
  <si>
    <t>376pCOO437</t>
  </si>
  <si>
    <t>Μονοκατοικία 247 τ.μ.</t>
  </si>
  <si>
    <t>40.750603445660100,22.4577162887213</t>
  </si>
  <si>
    <t>Παραλίμνη</t>
  </si>
  <si>
    <t>Κεσσίδης Χριστόφορος του Μακεδώνος και της Αλεξάνδρας</t>
  </si>
  <si>
    <t>380232161007/0/0</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</si>
  <si>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</si>
  <si>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</si>
  <si>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</si>
  <si>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</si>
  <si>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</si>
  <si>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</si>
  <si>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</si>
  <si>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</si>
  <si>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</si>
  <si>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</si>
  <si>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</si>
  <si>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</si>
  <si>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</si>
  <si>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Κως</t>
  </si>
  <si>
    <t>Κώ</t>
  </si>
  <si>
    <t>36.887538,27.225475</t>
  </si>
  <si>
    <t>Θέση Πλατίτση</t>
  </si>
  <si>
    <t>Βασιλείος ΓΙΑΟΥΡΔΗΜΟΣ του Ανδρέα</t>
  </si>
  <si>
    <t>NKOA1CQMZJ</t>
  </si>
  <si>
    <t>Ενοικιαζόμενα διαμερίσματα 207 τ.μ.</t>
  </si>
  <si>
    <t>37.3844757130246,23.250283453341500</t>
  </si>
  <si>
    <t>Ξενοδοχειακή Μονάδα</t>
  </si>
  <si>
    <t>ΑΝΤΩΝΙΟΣ ΓΕΩΡΓΙΟΥ ΤΟΥ ΓΕΩΡΓΙΟΥ ΚΑΙ ΤΗΣ ΓΕΩΡΓΙΑΣ</t>
  </si>
  <si>
    <t>020224061003/0/0</t>
  </si>
  <si>
    <t>rvfo1DBWpu</t>
  </si>
  <si>
    <t>Αλιβέρι</t>
  </si>
  <si>
    <t>38.44304768181800,24.11547836638350</t>
  </si>
  <si>
    <t>KOLEVA STEFKA (ΚΟΛΕΒΑ ΣΤΕΦΚΑ) του VELICO (ΒΕΛΙΚΟ)</t>
  </si>
  <si>
    <t>121200118016/0/0</t>
  </si>
  <si>
    <t>reVvLMZyHx</t>
  </si>
  <si>
    <t>Αγροτεμάχιο 4.700 τ.μ.</t>
  </si>
  <si>
    <t>40.313919,23.062987</t>
  </si>
  <si>
    <t>Εθνική Οδός Θεσσαλονίκης-Μουδανίων</t>
  </si>
  <si>
    <t>ΜΩΥΣΙΔΗΣ ΝΙΚΟΛΑΟΣ ΤΟΥ ΠΑΝΑΓΙΩΤΗ</t>
  </si>
  <si>
    <t>5frs8Wd4Mg</t>
  </si>
  <si>
    <t>38.89465250850980,22.42994492814300</t>
  </si>
  <si>
    <t>Σόλωνος 7</t>
  </si>
  <si>
    <t>Βασιλική ΛΕΜΟΝΗ του Αλεξάνδρου και της Ευαγγελίας</t>
  </si>
  <si>
    <t>460842032015/1/4</t>
  </si>
  <si>
    <t>cj5VhTIROC-001</t>
  </si>
  <si>
    <t>cj5VhTIROC</t>
  </si>
  <si>
    <t>37.95875832566130,23.655171092014300</t>
  </si>
  <si>
    <t>Αγίων Αναργύρων 2 &amp; Μαυρογένους</t>
  </si>
  <si>
    <t>Γκάγκικ (Gagik) Χοβανισιάν (Hovhannisyah)</t>
  </si>
  <si>
    <t>051163104011/0/381</t>
  </si>
  <si>
    <t>cj5VhTIROC-002</t>
  </si>
  <si>
    <t>051163104011/0/76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</si>
  <si>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</si>
  <si>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</si>
  <si>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</si>
  <si>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</si>
  <si>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</si>
  <si>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</si>
  <si>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</si>
  <si>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</si>
  <si>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</si>
  <si>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</si>
  <si>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</si>
  <si>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</si>
  <si>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</si>
  <si>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</si>
  <si>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</si>
  <si>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</si>
  <si>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</si>
  <si>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</si>
  <si>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</si>
  <si>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</si>
  <si>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</si>
  <si>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37.93594962854630,23.528675119168800</t>
  </si>
  <si>
    <t>Αγίας Παρασκευής &amp; Δάφνης</t>
  </si>
  <si>
    <t>Joanna Kontou</t>
  </si>
  <si>
    <t>051311112023/0/0</t>
  </si>
  <si>
    <t>AUj6hPpEnK</t>
  </si>
  <si>
    <t>Οικόπεδο 751 τ.μ.</t>
  </si>
  <si>
    <t>38.76367219631860,22.91357182259720</t>
  </si>
  <si>
    <t>Θέση Λάκκα, Λόγγος</t>
  </si>
  <si>
    <t>ΙΩΑΝΝΗΣ ΤΣΑΚΑΛΟΣ του Λάμπρου και της Μαρίας</t>
  </si>
  <si>
    <t>460076045005/0/0</t>
  </si>
  <si>
    <t>AiloAZcdUH</t>
  </si>
  <si>
    <t>Οικόπεδο 310 τ.μ.</t>
  </si>
  <si>
    <t>37.80646972990140,23.984039715209400</t>
  </si>
  <si>
    <t>Βασιλείου Παπανικολάου</t>
  </si>
  <si>
    <t>ΛΙΟΥΜΗΣ Δημήτριος</t>
  </si>
  <si>
    <t>050670103028/0/0</t>
  </si>
  <si>
    <t>ZTBJWYlJIj</t>
  </si>
  <si>
    <t>Αγροτεμάχιο 18.088 τ.μ.</t>
  </si>
  <si>
    <t>Καλιάνοι</t>
  </si>
  <si>
    <t>37.85004795405710,22.439336400880500</t>
  </si>
  <si>
    <t>Θέση Βίγκλιζα, Δροσοπηγή</t>
  </si>
  <si>
    <t>ΓΕΩΡΓΑΝΤΑΣ ΗΛΙΑΣ</t>
  </si>
  <si>
    <t>280270110005/0/0</t>
  </si>
  <si>
    <t>QAkwQwk4t4</t>
  </si>
  <si>
    <t>Κατάστημα 120 τ.μ.</t>
  </si>
  <si>
    <t>37.03058874721960,22.112981923137300</t>
  </si>
  <si>
    <t>Φαρών 158</t>
  </si>
  <si>
    <t>ΜΠΑΖΙΩΤΟΠΟΥΛΟΥ ΑΡΓΥΡΩ του ΠΑΝΑΓΙΩΤΗ</t>
  </si>
  <si>
    <t>360881929005/0/2</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</si>
  <si>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</si>
  <si>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</si>
  <si>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</si>
  <si>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</si>
  <si>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</si>
  <si>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Nm7kRsZsPp</t>
  </si>
  <si>
    <t>Καλλιθέα Πιερίας</t>
  </si>
  <si>
    <t>40.274078955431500,22.57261672800590</t>
  </si>
  <si>
    <t>Κωνσταντίνος ΚΟΥΡΤΑΡΑΣ του Βασιλείου και της Μαρίας</t>
  </si>
  <si>
    <t>390140102023/2/8</t>
  </si>
  <si>
    <t>HJtuVetlXK</t>
  </si>
  <si>
    <t>Μονοκατοικία 120 τ.μ.</t>
  </si>
  <si>
    <t>Ακράτα</t>
  </si>
  <si>
    <t>38.15402115161920,22.317179695714000</t>
  </si>
  <si>
    <t>Θέση Καψιακού</t>
  </si>
  <si>
    <t>ΧΑΛΚΙΑΔΑΚΗ ΟΥΡΑΝΙΑ</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</si>
  <si>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</si>
  <si>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</si>
  <si>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</si>
  <si>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</si>
  <si>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</si>
  <si>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</si>
  <si>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</si>
  <si>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</si>
  <si>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</si>
  <si>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</si>
  <si>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</si>
  <si>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</si>
  <si>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</si>
  <si>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</si>
  <si>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</si>
  <si>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</si>
  <si>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</si>
  <si>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954wjhqevb</t>
  </si>
  <si>
    <t>Μονοκατοικία σε οικόπεδο 150 τ.μ.</t>
  </si>
  <si>
    <t>Βλαχιώτης</t>
  </si>
  <si>
    <t>Ευρώτα</t>
  </si>
  <si>
    <t>36.880890838108400,22.69381921123650</t>
  </si>
  <si>
    <t>Μυρτιά</t>
  </si>
  <si>
    <t>ΧΡΗΣΤΟΣ ΜΑΡΚΑΚΟΣ του Λεωνίδα και της Πηνελ΄όπης</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</si>
  <si>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</si>
  <si>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</si>
  <si>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</si>
  <si>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</si>
  <si>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</si>
  <si>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</si>
  <si>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</si>
  <si>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</si>
  <si>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</si>
  <si>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</si>
  <si>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</si>
  <si>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</si>
  <si>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</si>
  <si>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</si>
  <si>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3EOQMkfGt1-003</t>
  </si>
  <si>
    <t>Διαμέρισμα 117 τ.μ.</t>
  </si>
  <si>
    <t>40.68907314706680,21.687477144877200</t>
  </si>
  <si>
    <t>Μακεδονομάχου Αλέξη Γεωργιάδη 5</t>
  </si>
  <si>
    <t>ΕΥΑΓΓΕΛΟΣ ΘΩΜΑΣ ΤΟΥ ΝΙΚΟΛΑΟΥ ΚΑΙ ΤΗΣ ΤΡΙΑΝΤΑΦΥΛΛΙΑΣ</t>
  </si>
  <si>
    <t>470110406006/0/3</t>
  </si>
  <si>
    <t>3EOQMkfGt1-002</t>
  </si>
  <si>
    <t>Αποθήκη 59 τ.μ.</t>
  </si>
  <si>
    <t>470110406006/0/1</t>
  </si>
  <si>
    <t>HbCSwH1MUU</t>
  </si>
  <si>
    <t>Κουνουπιδιανά</t>
  </si>
  <si>
    <t>35.53207385131460,24.075011414047600</t>
  </si>
  <si>
    <t>Θέση Ρυάκι</t>
  </si>
  <si>
    <t>ΝΙΚΟΛΑΟΣ ΚΟΡΩΝΑΚΗΣ του Κωνσταντίνου</t>
  </si>
  <si>
    <t>500742920025/1/4</t>
  </si>
  <si>
    <t>tZmDjUVD9V</t>
  </si>
  <si>
    <t>Διαμέρισμα 60 τ.μ. και θέση στάθμευσης</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</si>
  <si>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</si>
  <si>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</si>
  <si>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</si>
  <si>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</si>
  <si>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</si>
  <si>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</si>
  <si>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</si>
  <si>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</si>
  <si>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1U5tuHPCr7</t>
  </si>
  <si>
    <t>40.657284315183300,22.92493576605680</t>
  </si>
  <si>
    <t>Μεγάλου Αλεξάνδρου &amp; Αλεξάνδρου Σβώλου 32</t>
  </si>
  <si>
    <t>Βασίλειος ΣΕΒΑΣΤΙΔΗΣ του Νικολάου και της Άννας</t>
  </si>
  <si>
    <t>190111311003/0/4</t>
  </si>
  <si>
    <t>N8dvXPiV7N-002</t>
  </si>
  <si>
    <t>N8dvXPiV7N</t>
  </si>
  <si>
    <t>37.67869707475370,21.443313772042500</t>
  </si>
  <si>
    <t>Ιερολοχιτών</t>
  </si>
  <si>
    <t>Κωνσταντίνος Τοπιντζής του Νικολάου</t>
  </si>
  <si>
    <t>151775119029/0/4</t>
  </si>
  <si>
    <t>ADSFZ8OpMW-001</t>
  </si>
  <si>
    <t>ADSFZ8OpMW</t>
  </si>
  <si>
    <t>Αποθήκη 75 τ.μ.</t>
  </si>
  <si>
    <t>Σχηματάρι</t>
  </si>
  <si>
    <t>38.34899492791420,23.579802458542600</t>
  </si>
  <si>
    <t>ΓΛΥΝΟΣ ΚΩΝΣΤΑΝΤΙΝΟΣ ΤΟΥ ΝΙΚΟΛΑΟΥ</t>
  </si>
  <si>
    <t>070690818003/1/1</t>
  </si>
  <si>
    <t>N8dvXPiV7N-001</t>
  </si>
  <si>
    <t>151775119029/0/3</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</si>
  <si>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</si>
  <si>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</si>
  <si>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</si>
  <si>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</si>
  <si>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</si>
  <si>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</si>
  <si>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</si>
  <si>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qRxdYfI5SE</t>
  </si>
  <si>
    <t>Αγροτεμάχιο 5.699 τ.μ.</t>
  </si>
  <si>
    <t>Τρίπολη</t>
  </si>
  <si>
    <t>Τρίπολης</t>
  </si>
  <si>
    <t>37.53832329282360,22.381214940807700</t>
  </si>
  <si>
    <t>Θέση Πλατύ Πηγάδι, Μερκοβούνι</t>
  </si>
  <si>
    <t>ΚΡΟΥΜΠΟΥΖΟΣ ΑΝΔΡΙΑΝΟΣ ΤΟΥ ΘΕΟΔΩΡΟΥ ΚΑΙ ΤΗΣ ΓΙΑΝΝΟΥΛΑΣ</t>
  </si>
  <si>
    <t>031440603013/0/0</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</si>
  <si>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</si>
  <si>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</si>
  <si>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</si>
  <si>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</si>
  <si>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</si>
  <si>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</si>
  <si>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</si>
  <si>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</si>
  <si>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</si>
  <si>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</si>
  <si>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</si>
  <si>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</si>
  <si>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sRXCtfX3YV</t>
  </si>
  <si>
    <t>Πάνορμος</t>
  </si>
  <si>
    <t>35.383349,24.678735</t>
  </si>
  <si>
    <t>Θέση Παπαδιανά, Αγγελιανά</t>
  </si>
  <si>
    <t>ΑΝΤΙΓΟΝΗ χα Νικολάου ΚΑΛΑΦΑΤΗ, το γένος Εμμανουήλ και Ρούσσας ΜΟΝΙΑΚΗ</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</si>
  <si>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</si>
  <si>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</si>
  <si>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</si>
  <si>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</si>
  <si>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</si>
  <si>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</si>
  <si>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</si>
  <si>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</si>
  <si>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</si>
  <si>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</si>
  <si>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</si>
  <si>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</si>
  <si>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</si>
  <si>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</si>
  <si>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</si>
  <si>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</si>
  <si>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</si>
  <si>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Επισκοπή</t>
  </si>
  <si>
    <t>410500618029/0/0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</si>
  <si>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</si>
  <si>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</si>
  <si>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</si>
  <si>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</si>
  <si>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</si>
  <si>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</si>
  <si>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</si>
  <si>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6dbVQsdCQ4</t>
  </si>
  <si>
    <t>Μεζονέτα 110 τ.μ.</t>
  </si>
  <si>
    <t>Πρέβεζα</t>
  </si>
  <si>
    <t>38.95466107892280,20.744730690234100</t>
  </si>
  <si>
    <t>Μασσαλίας 19</t>
  </si>
  <si>
    <t>ΠΛΕΟΥΡΑ ΑΝΔΡΟΝΙΚΗ ΤΟΥ ΑΠΟΣΤΟΛΟΥ ΜΙΧΑΗΛ ΚΑΙ ΤΗΣ ΕΛΕΥΘΕΡΙΑΣ</t>
  </si>
  <si>
    <t>400500703001/0/9</t>
  </si>
  <si>
    <t>Msr6WpTet2</t>
  </si>
  <si>
    <t>Μονοκατοικία 164 τ.μ.</t>
  </si>
  <si>
    <t>Πλωμάρι</t>
  </si>
  <si>
    <t>38.980177,26.373285</t>
  </si>
  <si>
    <t>Άγιος Ιωάννης</t>
  </si>
  <si>
    <t>Βαρβάρας ΤΣΑΚΙΡΗ του Παναγιώτη και της Γεωργίας κάτοικος Παλαιοκήπου Γέρας Λέσβου</t>
  </si>
  <si>
    <t>qR8Dg6PjRS-001</t>
  </si>
  <si>
    <t>qR8Dg6PjRS</t>
  </si>
  <si>
    <t>Αποθήκη 21 τ.μ.</t>
  </si>
  <si>
    <t>35.50595173477850,24.03108106417820</t>
  </si>
  <si>
    <t>Κωνσταντίνου Μάνου 88-89</t>
  </si>
  <si>
    <t>ΣΟΦΙΑ ΚΛΑΡΙΔΟΠΟΥΛΟΥ του Αντωνίου</t>
  </si>
  <si>
    <t>501503913024/0/2</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</si>
  <si>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</si>
  <si>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</si>
  <si>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</si>
  <si>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</si>
  <si>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</si>
  <si>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qin4amIjDT</t>
  </si>
  <si>
    <t>Κοσκινού</t>
  </si>
  <si>
    <t>36.390090,28.209171</t>
  </si>
  <si>
    <t>ΓΙΑΝΝΑΡΑΣ ΦΙΛΗΜΩΝΑΣ  του Εμμανουήλ</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</si>
  <si>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</si>
  <si>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</si>
  <si>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</si>
  <si>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</si>
  <si>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</si>
  <si>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</si>
  <si>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</si>
  <si>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</si>
  <si>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</si>
  <si>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</si>
  <si>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</si>
  <si>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</si>
  <si>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</si>
  <si>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</si>
  <si>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Περιβόλια Κυδωνίας</t>
  </si>
  <si>
    <t>35.476528,23.969583</t>
  </si>
  <si>
    <t>Θέση Ποτιστήρια, Βαρύπετρο</t>
  </si>
  <si>
    <t>ΑΡΖΙΔΗΣ ΙΩΑΝΝΗΣ ΤΟΥ ΗΛΙΑ ΤΣΑΚΟΥΡΙΔΗ ΚΑΙ ΤΗΣ ΗΛΕΚΤΡΑΣ</t>
  </si>
  <si>
    <t>Qk0UUpNR61</t>
  </si>
  <si>
    <t>38.37816727142860,22.634462602502700</t>
  </si>
  <si>
    <t>25ης Μαρτίου &amp; Αρτέμιδος</t>
  </si>
  <si>
    <t>ΚΟΥΤΟΥΛΑ ΛΟΥΚΙΑ του ΝΙΚΟΛΑΟΥ και της ΔΡΟΣΟΥΛΑΣ</t>
  </si>
  <si>
    <t>070140119014/0/3</t>
  </si>
  <si>
    <t>ers7AogiQR</t>
  </si>
  <si>
    <t>Αποθήκη 70 τ.μ.</t>
  </si>
  <si>
    <t>38.53283963542900,23.09345030883240</t>
  </si>
  <si>
    <t>Παύλος</t>
  </si>
  <si>
    <t>ΓΡΗΓΟΡΙΟΣ ΤΖΑΒΑΡΑΣ του ΙΩΑΝΝΗ και της ΕΛΕΝΗΣ</t>
  </si>
  <si>
    <t>070570215002/0/0</t>
  </si>
  <si>
    <t>lA4wWS7Vja</t>
  </si>
  <si>
    <t>Διαμέρισμα 112 τ.μ. - 38% εξ αδιαιρέτου</t>
  </si>
  <si>
    <t>Κομοτηνή</t>
  </si>
  <si>
    <t>Κομοτηνής</t>
  </si>
  <si>
    <t>41.11925753029230,25.398888863617000</t>
  </si>
  <si>
    <t>Στουκοπούλου &amp; Νέστορος Τσανακλή 4</t>
  </si>
  <si>
    <t>ΠΑΠΑΘΕΟΔΩΡΟΥ ΕΥΤΥΧΙΟΣ</t>
  </si>
  <si>
    <t>420170503001/0/10</t>
  </si>
  <si>
    <t>JrPyMmU6lJ</t>
  </si>
  <si>
    <t>Αγροτεμάχιo 4.125 τ.μ.</t>
  </si>
  <si>
    <t>Ξυλαγανή</t>
  </si>
  <si>
    <t>40.90237272861080,25.448214085963500</t>
  </si>
  <si>
    <t>Θέση Τυφλό Πηγάδι, Προσκυνητές .</t>
  </si>
  <si>
    <t>ΦΩΤΑΚΗΣ ΚΩΝΣΤΑΝΤΙΝΟΣ</t>
  </si>
  <si>
    <t>420322601028/0/2</t>
  </si>
  <si>
    <t>TbmKDfGFVv-001</t>
  </si>
  <si>
    <t>TbmKDfGFVv</t>
  </si>
  <si>
    <t>Αγροτεμάχιo 9.030 τ.μ.</t>
  </si>
  <si>
    <t>Φιλιππιάδα</t>
  </si>
  <si>
    <t>Ζηρού</t>
  </si>
  <si>
    <t>39.16091299880090,20.81707399431020</t>
  </si>
  <si>
    <t>Θέση Φράξιας, Πέτρα</t>
  </si>
  <si>
    <t>Παναγιώτης ΓΑΛΑΝΟΣ του Γεωργίου και της Αρετής</t>
  </si>
  <si>
    <t>400480308011/0/0</t>
  </si>
  <si>
    <t>jR8vt5sQ18</t>
  </si>
  <si>
    <t>Ημιτελής μονοκατοικία 160 τ.μ. με αποθήκη 19 τ.μ.</t>
  </si>
  <si>
    <t>Ροδόπολη</t>
  </si>
  <si>
    <t>41.26238464513890,23.001714585480700</t>
  </si>
  <si>
    <t>Χρίστος Ευθυμιάδης του Ιωάννη και της Φωτεινής</t>
  </si>
  <si>
    <t>441200104006/0/0</t>
  </si>
  <si>
    <t>36GGbTUTZC</t>
  </si>
  <si>
    <t>Οικόπεδο 1.283 τ.μ.</t>
  </si>
  <si>
    <t>39.517916,20.606281</t>
  </si>
  <si>
    <t>Επαρχιακή Οδός Πετουσίου - Παραμυθιάς</t>
  </si>
  <si>
    <t>Πηνελόπη ΠΑΠΠΑ του Σταύρου και της Αικατερίνης</t>
  </si>
  <si>
    <t>f0PFy4qUKs</t>
  </si>
  <si>
    <t>Πλαταμώνας</t>
  </si>
  <si>
    <t>39.99599005001690,22.56672276509640</t>
  </si>
  <si>
    <t>Θέση Παλιάμπελα, Παλαιός Παντελεήμονας</t>
  </si>
  <si>
    <t>Β. ΒΑΣΙΛΕΙΑΔΗΣ Μ. ΕΠΕ</t>
  </si>
  <si>
    <t>390421001004/0/0</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</si>
  <si>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</si>
  <si>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</si>
  <si>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</si>
  <si>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</si>
  <si>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</si>
  <si>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</si>
  <si>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</si>
  <si>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36hDqFhxHj</t>
  </si>
  <si>
    <t>Οικόπεδο 35 τ.μ.</t>
  </si>
  <si>
    <t>38.46146256883150,23.592609654885000</t>
  </si>
  <si>
    <t>Κωτσοπούλου 16</t>
  </si>
  <si>
    <t>ΑΝΑΣΤΑΣΙΟΣ ΤΡΙΑΝΤΑΦΥΛΛΟΥ του ΚΥΡΙΑΚΟΥ</t>
  </si>
  <si>
    <t>121624007012/0/0</t>
  </si>
  <si>
    <t>bWeirptPTS</t>
  </si>
  <si>
    <t>37.0419537747719,22.12244683320590</t>
  </si>
  <si>
    <t>4η πάροδος Καλλιπάτειρας 77</t>
  </si>
  <si>
    <t>Παναγιώτης Παπαμικρούλης του Γεωργίου και της Καλλιόπης</t>
  </si>
  <si>
    <t>360881132004/0/3</t>
  </si>
  <si>
    <t>0qvmNsd9fk</t>
  </si>
  <si>
    <t>37.95017416122390,23.625802949329300</t>
  </si>
  <si>
    <t>Σωκράτους 107</t>
  </si>
  <si>
    <t>ΓΕΩΡΓΙΟΣ ΣΤΑΘΟΥΛΙΑΣ</t>
  </si>
  <si>
    <t>050450145016/0/1</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</si>
  <si>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</si>
  <si>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</si>
  <si>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</si>
  <si>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</si>
  <si>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</si>
  <si>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</si>
  <si>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</si>
  <si>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</si>
  <si>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</si>
  <si>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</si>
  <si>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</si>
  <si>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</si>
  <si>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</si>
  <si>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9Nbrv36pB1</t>
  </si>
  <si>
    <t>Μονοκατοικία 183 τ.μ.</t>
  </si>
  <si>
    <t>40.686632495107100,22.3059522894872</t>
  </si>
  <si>
    <t>25ης Μαρτίου 66</t>
  </si>
  <si>
    <t>ΠΑΝΑΓΙΩΤΗΣ ΠΑΥΛΙΔΗΣ ΤΟΥ ΙΩΑΝΝΗ ΚΑΙ ΤΗΣ ΑΝΑΣΤΑΣΙΑΣ</t>
  </si>
  <si>
    <t>380411106002/1/0</t>
  </si>
  <si>
    <t>nYtTVh3kZW</t>
  </si>
  <si>
    <t>Διαμέρισμα 122 τ.μ.</t>
  </si>
  <si>
    <t>Παπάγος</t>
  </si>
  <si>
    <t>37.979021322194600,23.79165917851880</t>
  </si>
  <si>
    <t>Βερσή 47</t>
  </si>
  <si>
    <t>ΚΟΤΣΙΔΑΣ Ιωάννης του Νικολάου και της Παρασκευής</t>
  </si>
  <si>
    <t>051150528003/0/3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</si>
  <si>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</si>
  <si>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</si>
  <si>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</si>
  <si>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</si>
  <si>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</si>
  <si>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</si>
  <si>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</si>
  <si>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</si>
  <si>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</si>
  <si>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</si>
  <si>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yhDLSgQcEW</t>
  </si>
  <si>
    <t>Διαμέρισμα 108 τ.μ.</t>
  </si>
  <si>
    <t>38.05883749267710,23.82728241602170</t>
  </si>
  <si>
    <t>Σαπφούς 84</t>
  </si>
  <si>
    <t>ΦΕΤΣΗΣ Αλκιβιάδης του Σπυρίδωνα και της Θεώνης</t>
  </si>
  <si>
    <t>050140510017/0/26</t>
  </si>
  <si>
    <t>6p0byGiu82</t>
  </si>
  <si>
    <t>Οικόπεδο 50 τ.μ. - 50% εξ αδιαιρέτου</t>
  </si>
  <si>
    <t>37.96548251964240,23.646096376288700</t>
  </si>
  <si>
    <t>Καραολή &amp; Δημητρίου 36Β</t>
  </si>
  <si>
    <t>ΧΑΤΖΗΣΤΑΜΑΤΟΓΛΟΥ ΠΑΝΤΕΛΕΗΜΩΝ</t>
  </si>
  <si>
    <t>051094249001/0/1</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</si>
  <si>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</si>
  <si>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</si>
  <si>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</si>
  <si>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</si>
  <si>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</si>
  <si>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</si>
  <si>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</si>
  <si>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</si>
  <si>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</si>
  <si>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</si>
  <si>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</si>
  <si>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</si>
  <si>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</si>
  <si>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</si>
  <si>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</si>
  <si>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</si>
  <si>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</si>
  <si>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</si>
  <si>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</si>
  <si>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</si>
  <si>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QlfR6AKDjV-004</t>
  </si>
  <si>
    <t>Αποθήκη 65 τ.μ.</t>
  </si>
  <si>
    <t>051163115007/0/4</t>
  </si>
  <si>
    <t>QlfR6AKDjV-001</t>
  </si>
  <si>
    <t>051163115007/0/1</t>
  </si>
  <si>
    <t>gWDlK6Vojv</t>
  </si>
  <si>
    <t>Ημιτελές διαμέρισμα 58 τ.μ.</t>
  </si>
  <si>
    <t>39.15711194875160,20.99181829219370</t>
  </si>
  <si>
    <t>Αριστοτέλους 41, Άγιος Γεώργιος</t>
  </si>
  <si>
    <t>Ευτέρπη ΠΑΠΑΡΟΥΝΗ του Χρήστου και της Ανθούλας</t>
  </si>
  <si>
    <t>040101111031/0/4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</si>
  <si>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</si>
  <si>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</si>
  <si>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</si>
  <si>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</si>
  <si>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</si>
  <si>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</si>
  <si>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wRwx2SKiZH</t>
  </si>
  <si>
    <t>Διαμέρισμα 103 τ.μ.</t>
  </si>
  <si>
    <t>41.12207162599740,25.403910839297200</t>
  </si>
  <si>
    <t>Ιώνων 17</t>
  </si>
  <si>
    <t>ΤΑΣΚΗΝ (ΕΠ) ΙΣΜΑΗΛ (ΟΝ) ΤΟΥ ΧΑΣΑΝ ΚΑΙ ΤΗΣ ΑΙΣΕ</t>
  </si>
  <si>
    <t>420170435007/0/3</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</si>
  <si>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</si>
  <si>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</si>
  <si>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</si>
  <si>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</si>
  <si>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</si>
  <si>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</si>
  <si>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3yURvu6kos</t>
  </si>
  <si>
    <t>38.02027257113910,23.644005867039300</t>
  </si>
  <si>
    <t>Παπαναστασίου 64</t>
  </si>
  <si>
    <t>ΠΑΝΑΓΙΩΤΑ ΚΑΒΟΥΡΗ του Αναστασίου και της Νίκης συζ. Διονυσίου ΚΟΥΤΑΒΑ</t>
  </si>
  <si>
    <t>051460506010/0/3</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</si>
  <si>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</si>
  <si>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</si>
  <si>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</si>
  <si>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</si>
  <si>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</si>
  <si>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</si>
  <si>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</si>
  <si>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</si>
  <si>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</si>
  <si>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</si>
  <si>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</si>
  <si>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OKpr0uf5Cw</t>
  </si>
  <si>
    <t>37.97832809169780,23.76973041770170</t>
  </si>
  <si>
    <t>Τραυλαντώνη 9</t>
  </si>
  <si>
    <t>ΕΜΜΑΝΟΥΗΛ ΣΩΠΑΣΟΥΔΑΚΗΣ</t>
  </si>
  <si>
    <t>050530909008/0/3</t>
  </si>
  <si>
    <t>WuIrmWA0J2</t>
  </si>
  <si>
    <t>Μεζονέτα 119 τ.μ.</t>
  </si>
  <si>
    <t>37.89829636017840,23.765252018476900</t>
  </si>
  <si>
    <t>Βυζαντίου 58</t>
  </si>
  <si>
    <t>ΚΑΝΕΛΑ ή ΚΑΝΕΛΛΑ ΔΗΜΟΠΟΥΛΟΥ</t>
  </si>
  <si>
    <t>050410217021/0/2</t>
  </si>
  <si>
    <t>HpnJbdOWLC</t>
  </si>
  <si>
    <t>Διαμέρισμα 66 τ.μ. και αποθήκη</t>
  </si>
  <si>
    <t>37.9894372475533,23.726974043957100</t>
  </si>
  <si>
    <t>Αχαρνών 28</t>
  </si>
  <si>
    <t>ΚΑΡΑΚΟΥΣΗ ΜΑΡΙΑ</t>
  </si>
  <si>
    <t>050096070007/0/4</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</si>
  <si>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</si>
  <si>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</si>
  <si>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</si>
  <si>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</si>
  <si>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</si>
  <si>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</si>
  <si>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</si>
  <si>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</si>
  <si>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tgXGYhqwgM</t>
  </si>
  <si>
    <t>Διαμέρισμα 50 τ.μ. με θέση στάθμευσης</t>
  </si>
  <si>
    <t>38.011118226167200,23.693973798631200</t>
  </si>
  <si>
    <t>Μυκηνών 18</t>
  </si>
  <si>
    <t>ΜΑΝΘΟΠΟΥΛΟΣ Βασίλειος του Ελευθερίου και της Αλτάνας</t>
  </si>
  <si>
    <t>051205218008/0/9</t>
  </si>
  <si>
    <t>eeSUwsP6PH</t>
  </si>
  <si>
    <t>Διαμέρισμα 52 τ.μ. - ψιλή κυριότητα</t>
  </si>
  <si>
    <t>39.37664295449370,22.928565122251100</t>
  </si>
  <si>
    <t>Κυρίλλου 5</t>
  </si>
  <si>
    <t>ΕΛΜΑΣΟΓΛΟΥ ΒΑΣΙΛΕΙΟΣ</t>
  </si>
  <si>
    <t>350580912010/0/1</t>
  </si>
  <si>
    <t>TxCw0BpaHT</t>
  </si>
  <si>
    <t>Διαμέρισμα 39 τ.μ.</t>
  </si>
  <si>
    <t>Καρπενήσι</t>
  </si>
  <si>
    <t>Καρπενησίου</t>
  </si>
  <si>
    <t>Ευρυτανίας</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</si>
  <si>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</si>
  <si>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</si>
  <si>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</si>
  <si>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</si>
  <si>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</si>
  <si>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</si>
  <si>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</si>
  <si>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</si>
  <si>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</si>
  <si>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</si>
  <si>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</si>
  <si>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</si>
  <si>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</si>
  <si>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</si>
  <si>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</si>
  <si>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</si>
  <si>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</si>
  <si>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ZOKR7ILaYK</t>
  </si>
  <si>
    <t>Διαμέρισμα 57 τ.μ. - ψιλή κυριότητα</t>
  </si>
  <si>
    <t>Άγιος Δημήτριος</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</si>
  <si>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</si>
  <si>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</si>
  <si>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</si>
  <si>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</si>
  <si>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</si>
  <si>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</si>
  <si>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</si>
  <si>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</si>
  <si>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</si>
  <si>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</si>
  <si>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</si>
  <si>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</si>
  <si>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</si>
  <si>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</si>
  <si>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</si>
  <si>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RjZxRN5sVN-001</t>
  </si>
  <si>
    <t>RjZxRN5sVN</t>
  </si>
  <si>
    <t>Διαμέρισμα 129 τ.μ.</t>
  </si>
  <si>
    <t>37.941655437299800,23.71468124038690</t>
  </si>
  <si>
    <t>Ικονίου 53</t>
  </si>
  <si>
    <t>7ος</t>
  </si>
  <si>
    <t>ΑΛΕΞΙΑ ΗΛΙΑΔΟΥ</t>
  </si>
  <si>
    <t>051040717002/0/34</t>
  </si>
  <si>
    <t>RjZxRN5sVN-003</t>
  </si>
  <si>
    <t>051040717002/0/8</t>
  </si>
  <si>
    <t>RjZxRN5sVN-002</t>
  </si>
  <si>
    <t>051040717002/0/20</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</si>
  <si>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</si>
  <si>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</si>
  <si>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</si>
  <si>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</si>
  <si>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</si>
  <si>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</si>
  <si>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</si>
  <si>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</si>
  <si>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</si>
  <si>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</si>
  <si>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</si>
  <si>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</si>
  <si>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</si>
  <si>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foWyTCUwcM-002</t>
  </si>
  <si>
    <t>32.097.03.034.024.01.01-9.003</t>
  </si>
  <si>
    <t>mRuuZ5okkh-002</t>
  </si>
  <si>
    <t>mRuuZ5okkh</t>
  </si>
  <si>
    <t>37.99452886749800,23.670359824538400</t>
  </si>
  <si>
    <t>Κωνσταντίνου Παλαιολόγου 6</t>
  </si>
  <si>
    <t>ΓΕΡΑΡΔΗ - ΚΑΚΟΛΥΡΗ Παναγιώτα</t>
  </si>
  <si>
    <t>050112408001/1/3</t>
  </si>
  <si>
    <t>bRrGmEPEdt</t>
  </si>
  <si>
    <t>Διαμέρισμα 28 τ.μ. και θέση στάθμευσης</t>
  </si>
  <si>
    <t>35.515385202449200,24.036990916900300</t>
  </si>
  <si>
    <t>Μανούσου Κούνδουρου 58 &amp; Φλωρεντίνης Καλούτση</t>
  </si>
  <si>
    <t>ΧΡΥΣΑΝΘΗ ΚΑΡΑΚΩΣΤΑ του Χρήστου</t>
  </si>
  <si>
    <t>501504902062/0/5</t>
  </si>
  <si>
    <t>Q0JI6OjvO9</t>
  </si>
  <si>
    <t>41.084814663644900,23.542214532874600</t>
  </si>
  <si>
    <t>Παλλαδαρίου 16-18</t>
  </si>
  <si>
    <t>Σταύρος ΛΟΥΛΟΥΔΑΣ του Δημητρίου και της Ελένης</t>
  </si>
  <si>
    <t>441211409016/0/4</t>
  </si>
  <si>
    <t>qlD8nnr6vs</t>
  </si>
  <si>
    <t>Οικόπεδο 381 τ.μ. με αποθήκη</t>
  </si>
  <si>
    <t>37.451852482605900,22.399143525974500</t>
  </si>
  <si>
    <t>Στρίγκος</t>
  </si>
  <si>
    <t>Θεόδωρος ΝΟΤΟΠΟΥΛΟΣ του Αναστασίου και της Κυριακής</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</si>
  <si>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</si>
  <si>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</si>
  <si>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</si>
  <si>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</si>
  <si>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</si>
  <si>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VLnK02PYjG</t>
  </si>
  <si>
    <t>Μονοκατοικία 90 τ.μ. - 50% εξ αδιαιρέτου</t>
  </si>
  <si>
    <t>37.98772591412060,23.632757539117100</t>
  </si>
  <si>
    <t>Κρυστάλλη 130</t>
  </si>
  <si>
    <t>Κωνσταντίνος Καραθανάσης</t>
  </si>
  <si>
    <t>051090117005/0/0</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</si>
  <si>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</si>
  <si>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</si>
  <si>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</si>
  <si>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</si>
  <si>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</si>
  <si>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</si>
  <si>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</si>
  <si>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</si>
  <si>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</si>
  <si>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tQn1yalqUT-003</t>
  </si>
  <si>
    <t>310811119011/0/3</t>
  </si>
  <si>
    <t>dLQBXo9HCl</t>
  </si>
  <si>
    <t>Οικόπεδο 813 τ.μ. - 50% εξ αδιαιρέτου</t>
  </si>
  <si>
    <t>Ανθηδώνα</t>
  </si>
  <si>
    <t>38.50563123378300,23.374558561323500</t>
  </si>
  <si>
    <t>Θέση Σκροπονέρι</t>
  </si>
  <si>
    <t>ΚΩΝΣΤΑΝΤΟΣ Τόνυς του Κωνσταντίνου</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</si>
  <si>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</si>
  <si>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</si>
  <si>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</si>
  <si>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</si>
  <si>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</si>
  <si>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</si>
  <si>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</si>
  <si>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</si>
  <si>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</si>
  <si>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</si>
  <si>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</si>
  <si>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</si>
  <si>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</si>
  <si>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nYpDg8cuX1</t>
  </si>
  <si>
    <t>Μονοκατοικία 233 τ.μ. με θέση στάθμευσης</t>
  </si>
  <si>
    <t>37.838544,23.815008</t>
  </si>
  <si>
    <t>Παλαιών Αθηναίων 7</t>
  </si>
  <si>
    <t>ΓΡΑΜΜΑΤΙΚΑΚΗΣ ΕΛΙΣΣΑΙΟΣ</t>
  </si>
  <si>
    <t>050300704051/4/0</t>
  </si>
  <si>
    <t>ySdInSaPXN</t>
  </si>
  <si>
    <t>Διαμέρισμα 35 τ.μ.</t>
  </si>
  <si>
    <t>35.188284,25.716890</t>
  </si>
  <si>
    <t>Σοφοκλή Βενιζέλου 26</t>
  </si>
  <si>
    <t>ΒΕΡΓΕΤΑΚΗ ΓΕΩΡΓΙΟ ΤΟΥ ΑΝΤΩΝΙΟΥ ΚΑΙ ΤΗΣ ΡΟΔΑΝΘΗΣ</t>
  </si>
  <si>
    <t>320080416006/0/5</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</si>
  <si>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</si>
  <si>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</si>
  <si>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</si>
  <si>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</si>
  <si>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</si>
  <si>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</si>
  <si>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</si>
  <si>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</si>
  <si>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</si>
  <si>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</si>
  <si>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</si>
  <si>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</si>
  <si>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</si>
  <si>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</si>
  <si>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8Qd8lGMZaZ</t>
  </si>
  <si>
    <t>38.008917205474400,23.78945188268470</t>
  </si>
  <si>
    <t>Ηρώων Πολυτεχνείου 88-90 &amp; Αρκαδίου 22</t>
  </si>
  <si>
    <t>Αντώνιος ΖΑΝΝΑΚΗΣ του Ελευθερίου και της Αργυρώς</t>
  </si>
  <si>
    <t>051470875005/0/4</t>
  </si>
  <si>
    <t>nl95YI2toG</t>
  </si>
  <si>
    <t>Μεζονέτα 79 τ.μ.</t>
  </si>
  <si>
    <t>Γαύριο</t>
  </si>
  <si>
    <t>37.840508,24.802733</t>
  </si>
  <si>
    <t>Θέση Ραπανά, Κάτω Απρόβατο</t>
  </si>
  <si>
    <t>ΜΟΥΤΣΑΚΗΣ ΠΑΝΑΓΙΩΤΗΣ του ΚΩΝΣΤΑΝΤΙΝΟΥ</t>
  </si>
  <si>
    <t>0C4pjdnKmy</t>
  </si>
  <si>
    <t>Μονοκατοικία 110 τ.μ.</t>
  </si>
  <si>
    <t>39.10955469200400,26.55578858380500</t>
  </si>
  <si>
    <t>Αγίου Γεωργίου 30</t>
  </si>
  <si>
    <t>ΠΕΤΡΑΚΗΣ ΣΩΤΗΡΙΟΣ του Σπυρίδωνα – Ξενοφώντα και της Δήμητρας</t>
  </si>
  <si>
    <t>330564301017/0/0</t>
  </si>
  <si>
    <t>aimNiJ0Pgd</t>
  </si>
  <si>
    <t>40.6605587278987,22.962209451432800</t>
  </si>
  <si>
    <t>Αγίου Αντωνίου 23</t>
  </si>
  <si>
    <t>ΧΡΗΣΤΟΣ ΠΑΤΣΙΑΣ του Αχιλλέα και της Σταυρούλας</t>
  </si>
  <si>
    <t>191012513001/0/3</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</si>
  <si>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</si>
  <si>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</si>
  <si>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</si>
  <si>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</si>
  <si>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</si>
  <si>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</si>
  <si>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g8aqxOCg0K</t>
  </si>
  <si>
    <t>Γραφείο 60 τ.μ.</t>
  </si>
  <si>
    <t>38.248778215680900,22.08787569453390</t>
  </si>
  <si>
    <t>Ανδρέα Λόντου 46</t>
  </si>
  <si>
    <t>ΓΕΩΡΓΙΟΣ ΤΡΑΝΟΥΛΗΣ</t>
  </si>
  <si>
    <t>060132313016/0/15</t>
  </si>
  <si>
    <t>Hn091C4dyI-003</t>
  </si>
  <si>
    <t>Hn091C4dyI</t>
  </si>
  <si>
    <t>40.300582875212800,21.79464871888120</t>
  </si>
  <si>
    <t>Προύσσης 9</t>
  </si>
  <si>
    <t>Νικόλαος Ατματσίδης του Κων/νου και της Σοφίας||Χαρίκλεια Χατζηπαυλίδου του Νικολάου και της Παρθένας</t>
  </si>
  <si>
    <t>055902060||047690650</t>
  </si>
  <si>
    <t>270572904004/0/4</t>
  </si>
  <si>
    <t>Hn091C4dyI-002</t>
  </si>
  <si>
    <t>270572904004/0/16</t>
  </si>
  <si>
    <t>lnODy3UR1h</t>
  </si>
  <si>
    <t>Κτήριο μεικτής χρήσης 110 τ.μ.</t>
  </si>
  <si>
    <t>Βαθύ Σάμου</t>
  </si>
  <si>
    <t>Σάμου</t>
  </si>
  <si>
    <t>37.740838,26.986921</t>
  </si>
  <si>
    <t>Επαρχιακή Οδός Σάμου-Πυθαγορείου, Βαρελλά</t>
  </si>
  <si>
    <t>ΒΕΤΤΑΣ ΝΙΚΟΛΑΟΣ του ΕΛΕΥΘΕΡΙΟΥ</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</si>
  <si>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</si>
  <si>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</si>
  <si>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</si>
  <si>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</si>
  <si>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</si>
  <si>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</si>
  <si>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</si>
  <si>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</si>
  <si>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</si>
  <si>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</si>
  <si>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</si>
  <si>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Fk7LHkthAi-001</t>
  </si>
  <si>
    <t>Αγροτεμάχιο 6.774 τ.μ.</t>
  </si>
  <si>
    <t>40.89497452760660,22.940284738218200</t>
  </si>
  <si>
    <t>260772303004/0/0</t>
  </si>
  <si>
    <t>YMsETtXlAJ</t>
  </si>
  <si>
    <t>38.0450280300357,23.698072118079000</t>
  </si>
  <si>
    <t>Γράμμου 55 &amp; Κορυτσάς</t>
  </si>
  <si>
    <t>Μαρία ΤΣΙΑΔΗ</t>
  </si>
  <si>
    <t>050570420003/0/4</t>
  </si>
  <si>
    <t>EVsUDkFnPX</t>
  </si>
  <si>
    <t>Κατάστημα 59 τ.μ. και θέση στάθμευσης</t>
  </si>
  <si>
    <t>Ραφήνα</t>
  </si>
  <si>
    <t>Ραφήνας - Πικερμίου</t>
  </si>
  <si>
    <t>38.01958423973790,24.007278892574800</t>
  </si>
  <si>
    <t>Αγίου Χρυσοστόμου Σμύρνης 6 &amp; Χρήστου Μάντικα</t>
  </si>
  <si>
    <t>ΓΕΩΡΓΙΑ ΜΠΟΥΤΣΙΝΗ ΤΟΥ ΙΩΑΝΝΗ ΚΑΙ ΤΗΣ ΦΩΤΕΙΝΗΣ</t>
  </si>
  <si>
    <t>051275211010/0/45</t>
  </si>
  <si>
    <t>HZUN4ewlbj-001</t>
  </si>
  <si>
    <t>HZUN4ewlbj</t>
  </si>
  <si>
    <t>Διαμέρισμα 31 τ.μ.</t>
  </si>
  <si>
    <t>37.93797091418610,23.74575869427860</t>
  </si>
  <si>
    <t>Οδυσσέως 5</t>
  </si>
  <si>
    <t>ΣΠΥΡΙΔΩΝΑΣ ΛΟΓΟΘΕΤΗΣ του Ανδρέα και της Άννας</t>
  </si>
  <si>
    <t>050541622009/0/3</t>
  </si>
  <si>
    <t>HZUN4ewlbj-002</t>
  </si>
  <si>
    <t>050541622009/0/5</t>
  </si>
  <si>
    <t>iF2ha1dyYt</t>
  </si>
  <si>
    <t>41.13079546575440,24.879356308090100</t>
  </si>
  <si>
    <t>Οδυσσέως 1</t>
  </si>
  <si>
    <t>Αναγνώστης Κουκλάς</t>
  </si>
  <si>
    <t>370260934003/0/4</t>
  </si>
  <si>
    <t>TXqZkGVEtY</t>
  </si>
  <si>
    <t>Διαμέρισμα 89 τ.μ. - 50% επικαρπία και 50% εξ αδιαιρέτου</t>
  </si>
  <si>
    <t>Ερμούπολη</t>
  </si>
  <si>
    <t>37.43632295818970,24.92879819804580</t>
  </si>
  <si>
    <t>Μαρίκας Κούρμη 9 &amp; Κατίνας Παξινού 1</t>
  </si>
  <si>
    <t>Επικαρπία||Εξ αδιαιρέτου</t>
  </si>
  <si>
    <t>ΣΥΛΙΒΑΝΗ ΔΕΣΠΟΙΝΑ ΤΟΥ ΠΑΝΑΓΙΩΤΗ</t>
  </si>
  <si>
    <t>290455206001/0/0</t>
  </si>
  <si>
    <t>kntSpP8rfc</t>
  </si>
  <si>
    <t>Διαμέρισμα 62 τ.μ.</t>
  </si>
  <si>
    <t>39.66429889658240,20.85020718427100</t>
  </si>
  <si>
    <t>Γρηγορίου Σακκά 16</t>
  </si>
  <si>
    <t>ΣΠΥΡΙΔΩΝ ΜΠΑΡΜΠΑΣ του ΘΕΟΦΑΝΗ και της ΣΕΒΑΣΤΗΣ</t>
  </si>
  <si>
    <t>201191612019/1/6</t>
  </si>
  <si>
    <t>OJtdKlPkIs</t>
  </si>
  <si>
    <t>Κατάστημα 45 τ.μ.</t>
  </si>
  <si>
    <t>38.37122581862490,21.4306525296326</t>
  </si>
  <si>
    <t>Θυσίας 11</t>
  </si>
  <si>
    <t>ΑΓΓΕΛΗΣ ΛΥΤΡΑΣ ΤΟΥ ΓΕΩΡΓΙΟΥ ΚΑΙ ΤΗΣ ΜΑΡΙΑΣ</t>
  </si>
  <si>
    <t>011316523010/0/0</t>
  </si>
  <si>
    <t>4to1NZ2wAx</t>
  </si>
  <si>
    <t>40.65398826480100,22.925252982706500</t>
  </si>
  <si>
    <t>Παλαιών Πατρών Γερμανού 3-5</t>
  </si>
  <si>
    <t>ΑΘΑΝΑΣΙΑ ΓΚΙΝΤΙΔΟΥ</t>
  </si>
  <si>
    <t>190111401004/0/9</t>
  </si>
  <si>
    <t>Yi8itKwxva</t>
  </si>
  <si>
    <t>Μονοκατοικία 192 τ.μ.</t>
  </si>
  <si>
    <t>Κρουσώνας</t>
  </si>
  <si>
    <t>Μαλεβιζίου</t>
  </si>
  <si>
    <t>35.259453,25.008366</t>
  </si>
  <si>
    <t>Κορφές</t>
  </si>
  <si>
    <t>ΠΕΡΑΚΗΣ ΝΙΚΟΛΑΟΣ ΤΟΥ ΑΝΤΩΝΙΟΥ ΚΑΙ ΤΗΣ ΣΤΑΜΑΤΙΑΣ</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</si>
  <si>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</si>
  <si>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</si>
  <si>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</si>
  <si>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</si>
  <si>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</si>
  <si>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</si>
  <si>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</si>
  <si>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</si>
  <si>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</si>
  <si>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</si>
  <si>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8KZIsRT2G9</t>
  </si>
  <si>
    <t>Οικόπεδο 98 τ.μ.</t>
  </si>
  <si>
    <t>41.02595408460240,22.76698055201160</t>
  </si>
  <si>
    <t>Καστανιές</t>
  </si>
  <si>
    <t>ΧΡΗΣΤΟΣ ΣΤΥΛΙΑΝΙΔΗΣ του Στυλιανού και της Χρυσής</t>
  </si>
  <si>
    <t>260320247006/0/0</t>
  </si>
  <si>
    <t>s47N1pgRwQ</t>
  </si>
  <si>
    <t>38.052940142008400,23.816402960066000</t>
  </si>
  <si>
    <t>Ευκαλύπτων 1</t>
  </si>
  <si>
    <t>ΟΡΦΑΝΟΥ Χρυσούλα του Όθωνα και της Αικατερίνης</t>
  </si>
  <si>
    <t>050140339004/0/6</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</si>
  <si>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</si>
  <si>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</si>
  <si>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</si>
  <si>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</si>
  <si>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</si>
  <si>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</si>
  <si>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rpsbu5e475</t>
  </si>
  <si>
    <t>Οικόπεδο 1.019 τ.μ.</t>
  </si>
  <si>
    <t>38.66883909946980,23.177773446571600</t>
  </si>
  <si>
    <t>ΖΑΧΑΡΟΓΛΟΥ ΚΩΝΣΤΑΝΤΙΝΟΣ του ΑΝΤΩΝΙΟΥ και της ΠΟΛΥΞΕΝΗΣ</t>
  </si>
  <si>
    <t>460990420001/0/0</t>
  </si>
  <si>
    <t>0GGtVQ9lWE-003</t>
  </si>
  <si>
    <t>0GGtVQ9lWE</t>
  </si>
  <si>
    <t>Χώρος στάθμευσης 10 τ.μ.</t>
  </si>
  <si>
    <t>39.635702904428000,22.42777287098210</t>
  </si>
  <si>
    <t>23ης Οκτωβρίου 99</t>
  </si>
  <si>
    <t>Κερασία Αγγελάκη του Μάριου και της Φωτεινής</t>
  </si>
  <si>
    <t>310811231008/0/9</t>
  </si>
  <si>
    <t>VSeLk00pmH</t>
  </si>
  <si>
    <t>39.642058582201700,22.416831054436000</t>
  </si>
  <si>
    <t>Φιλελλήνων 81</t>
  </si>
  <si>
    <t>ΜΠΕΗΣ ΒΑΣΙΛΕΙΟΣ  του Κωνσταντίνου και της Μαρίας</t>
  </si>
  <si>
    <t>310810806009/0/8</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</si>
  <si>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</si>
  <si>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</si>
  <si>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</si>
  <si>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</si>
  <si>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</si>
  <si>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</si>
  <si>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Gemini B - Retail</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</si>
  <si>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</si>
  <si>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</si>
  <si>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</si>
  <si>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</si>
  <si>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</si>
  <si>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</si>
  <si>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</si>
  <si>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</si>
  <si>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</si>
  <si>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</si>
  <si>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</si>
  <si>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</si>
  <si>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</si>
  <si>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</si>
  <si>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</si>
  <si>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</si>
  <si>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</si>
  <si>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</si>
  <si>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Yt3DqT54fU</t>
  </si>
  <si>
    <t>Διαμέρισμα 30 τ.μ.</t>
  </si>
  <si>
    <t>37.03379921149640,22.10795458008570</t>
  </si>
  <si>
    <t>Θεμιστοκλέους &amp; Δαμοφώντος 45</t>
  </si>
  <si>
    <t>ΨΑΡΑΚΗΣ ΑΠΟΣΤΟΛΟΣ του Απολλόδωρου</t>
  </si>
  <si>
    <t>360881860008/0/29</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</si>
  <si>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</si>
  <si>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</si>
  <si>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</si>
  <si>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</si>
  <si>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</si>
  <si>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</si>
  <si>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</si>
  <si>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</si>
  <si>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</si>
  <si>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</si>
  <si>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</si>
  <si>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</si>
  <si>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V5iRqwxHHV</t>
  </si>
  <si>
    <t>37.96512608403750,23.752965329108300</t>
  </si>
  <si>
    <t>Λαέρτου 12, Παγκράτι</t>
  </si>
  <si>
    <t>Σωτηρία Θεοφυλάκτου του Θεόφιλου και της Σόνιας</t>
  </si>
  <si>
    <t>050098619014/0/5</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</si>
  <si>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</si>
  <si>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</si>
  <si>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</si>
  <si>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</si>
  <si>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</si>
  <si>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</si>
  <si>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</si>
  <si>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UUiJ4wRrOo-002</t>
  </si>
  <si>
    <t>Αποθήκη 2 τ.μ.</t>
  </si>
  <si>
    <t>050133402001/0/9</t>
  </si>
  <si>
    <t>ksd4jPs5Jc</t>
  </si>
  <si>
    <t>Κατάστημα 84 τ.μ.</t>
  </si>
  <si>
    <t>Νέα Μάκρη</t>
  </si>
  <si>
    <t>Μαραθώνος</t>
  </si>
  <si>
    <t>38.08405254666060,23.983199129919400</t>
  </si>
  <si>
    <t>Νικολάου Πλαστήρα 10</t>
  </si>
  <si>
    <t>ΜΙΧΑΗΛ ΜΑΓΓΙΝΑΣ του Αντωνίου και της Νυμφοδώρας</t>
  </si>
  <si>
    <t>051018613002/0/0</t>
  </si>
  <si>
    <t>QEsciSx0Mo</t>
  </si>
  <si>
    <t>Δικαίωμα κατασκευής αποθήκης 74 τ.μ.</t>
  </si>
  <si>
    <t>38.05668545894020,23.760080892596300</t>
  </si>
  <si>
    <t>Μπιζανίου 3</t>
  </si>
  <si>
    <t>ΙΩΑΝΝΗΣ ΣΟΦΡΩΝΗΣ</t>
  </si>
  <si>
    <t>050940258015/3/1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</si>
  <si>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</si>
  <si>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</si>
  <si>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</si>
  <si>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</si>
  <si>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</si>
  <si>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</si>
  <si>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</si>
  <si>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SZHYK0oTPA</t>
  </si>
  <si>
    <t>Αγροτεμάχιο 3.423 τ.μ.</t>
  </si>
  <si>
    <t>Γαστούνη</t>
  </si>
  <si>
    <t>37.84188700165870,21.25530827417140</t>
  </si>
  <si>
    <t>Θέση Αγγινάρα</t>
  </si>
  <si>
    <t>ΓΑΛΙΑΤΣΑΤΟΥ ΣΟΦΙΑ του ΑΝΔΡΕΑ και της ΕΥΓΕΝΙΑΣ συζ. ΓΕΩΡΓΙΟΥ ΓΕΩΡΓΟΠΟΥΛΟΥ</t>
  </si>
  <si>
    <t>150491204002/0/0</t>
  </si>
  <si>
    <t>xmnbwkYTaE</t>
  </si>
  <si>
    <t>39.107912,26.559544</t>
  </si>
  <si>
    <t>Δημητρίου Βερναρδάκη 35</t>
  </si>
  <si>
    <t>ΕΥΑΓΓΕΛΙΑ ΠΑΠΑΔΟΜΑΝΩΛΑΚΗ</t>
  </si>
  <si>
    <t>3305642110160/0</t>
  </si>
  <si>
    <t>kVknnUMMgh</t>
  </si>
  <si>
    <t>Ερεσός</t>
  </si>
  <si>
    <t>39.203158,26.024536</t>
  </si>
  <si>
    <t>Θέση Ρύμη, Χίδηρα</t>
  </si>
  <si>
    <t>ΕΜΜΑΝΟΥΗΛ ΣΤΕΦΑΝΟΥ</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</si>
  <si>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</si>
  <si>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</si>
  <si>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</si>
  <si>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</si>
  <si>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</si>
  <si>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</si>
  <si>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</si>
  <si>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</si>
  <si>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igjTyVJNOr</t>
  </si>
  <si>
    <t>40.94145620571170,24.416409711079500</t>
  </si>
  <si>
    <t>Καρατάσου 11</t>
  </si>
  <si>
    <t>Βενετία Αγγελίδου</t>
  </si>
  <si>
    <t>210252335005/0/1</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</si>
  <si>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</si>
  <si>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</si>
  <si>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</si>
  <si>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</si>
  <si>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</si>
  <si>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</si>
  <si>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ohYTjhq99v</t>
  </si>
  <si>
    <t>39.36103416086290,23.05948328435720</t>
  </si>
  <si>
    <t>Άγιος Λαυρέντιος</t>
  </si>
  <si>
    <t>Κωνσταντίνος ΜΑΛΑΚΟΣ του Νικολάου και της Μαριάνθης</t>
  </si>
  <si>
    <t>350070115014/0/0</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</si>
  <si>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</si>
  <si>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</si>
  <si>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</si>
  <si>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</si>
  <si>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</si>
  <si>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</si>
  <si>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erKQ7iEQxd</t>
  </si>
  <si>
    <t>Μονοκατοικία 144 τ.μ. και βοηθητικός χώρος 70 τ.μ.</t>
  </si>
  <si>
    <t>41.28559557735280,22.93078311125540</t>
  </si>
  <si>
    <t>Καλοχώρι</t>
  </si>
  <si>
    <t>ΚΑΡΥΠΙΔΗΣ ΠΟΛΥΚΑΡΠΟΣ του ΓΕΩΡΓΙΟΥ και της ΒΑΣΙΛΙΚΗΣ</t>
  </si>
  <si>
    <t>440570216019/0/0</t>
  </si>
  <si>
    <t>PbbRODBTwT</t>
  </si>
  <si>
    <t>Παρανέστι</t>
  </si>
  <si>
    <t>Παρανεστίου</t>
  </si>
  <si>
    <t>41.25380062757390,24.58173049793590</t>
  </si>
  <si>
    <t>Στέρνα</t>
  </si>
  <si>
    <t>ΣΑΜΛΙΔΟΥ ΡΑΜΙΛΙΑ του ΚΑΓΙΟΥΜ</t>
  </si>
  <si>
    <t>090482401007/0/0</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</si>
  <si>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</si>
  <si>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</si>
  <si>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</si>
  <si>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</si>
  <si>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</si>
  <si>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</si>
  <si>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</si>
  <si>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</si>
  <si>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</si>
  <si>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</si>
  <si>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</si>
  <si>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</si>
  <si>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</si>
  <si>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</si>
  <si>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</si>
  <si>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</si>
  <si>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</si>
  <si>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</si>
  <si>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</si>
  <si>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</si>
  <si>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XISVg4Z2TE</t>
  </si>
  <si>
    <t>Μονοκατοικία 52 τ.μ.</t>
  </si>
  <si>
    <t>35.495015,23.845023</t>
  </si>
  <si>
    <t>Κυπάρισσος</t>
  </si>
  <si>
    <t>ΚΟΛΟΜΠΑΚΗ ΜΙΧΑΕΛΑ ΤΟΥ ΝΙΚΟΛΑΟΥ</t>
  </si>
  <si>
    <t>s72Oe6tnar</t>
  </si>
  <si>
    <t>Διαμέρισμα 41 τ.μ.</t>
  </si>
  <si>
    <t>40.63342164667290,22.951257637498900</t>
  </si>
  <si>
    <t>Αρριανού 2 &amp; Αγίου Παντελεήμονος</t>
  </si>
  <si>
    <t>ΔΕΛΗΔΗΜΟΣ ΛΑΖΑΡΟΣ ΤΟΥ ΧΡΗΣΤΟΥ ΚΑΙ ΤΗΣ ΚΛΕΙΟΥΣ</t>
  </si>
  <si>
    <t>190442635001/0/36</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</si>
  <si>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</si>
  <si>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</si>
  <si>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</si>
  <si>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</si>
  <si>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</si>
  <si>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</si>
  <si>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Μονοκατοικία 76 τ.μ.</t>
  </si>
  <si>
    <t>Μονοκατοικία 153 τ.μ.</t>
  </si>
  <si>
    <t>Νέα Αλικαρνασσός</t>
  </si>
  <si>
    <t>Διαμέρισμα 48 τ.μ.</t>
  </si>
  <si>
    <t>Μονοκατοικία 84 τ.μ.</t>
  </si>
  <si>
    <t>VVJqmidafN</t>
  </si>
  <si>
    <t>35.519921142172600,24.04115241642250</t>
  </si>
  <si>
    <t>Λούλου 5</t>
  </si>
  <si>
    <t>ΝΙΚΟΛΙΔΑΚΗ ΑΡΙΣΤΕΑ ΤΟΥ ΘΕΟΔΩΡΟΥ ΚΑΙ ΤΗΣ ΑΘΗΝΑΣ</t>
  </si>
  <si>
    <t>501505110001/2/2</t>
  </si>
  <si>
    <t>QnjwsHIQQi</t>
  </si>
  <si>
    <t>38.61272,23.59633</t>
  </si>
  <si>
    <t>Κυπαρίσσι</t>
  </si>
  <si>
    <t>ΣΟΦΙΑ ΓΚΙΚΑ του Βασιλείου και της Μαρίας, κάτοικος Μαλακώντα Ερέτριας</t>
  </si>
  <si>
    <t>vxwCZhMRpv</t>
  </si>
  <si>
    <t>40.801523540170100,22.049708052676500</t>
  </si>
  <si>
    <t>Ηρώων Πολυτεχνείου 12</t>
  </si>
  <si>
    <t>ΒΕΚΙΛΟΓΛΟΥ ΕΛΕΥΘΕΡΙΑ του ΑΘΑΝΑΣΙΟΥ</t>
  </si>
  <si>
    <t>380291708007/0/3</t>
  </si>
  <si>
    <t>dlpOkwCmom</t>
  </si>
  <si>
    <t>Μεζονέτα 117 τ.μ.</t>
  </si>
  <si>
    <t>40.63656496384630,22.070838683406800</t>
  </si>
  <si>
    <t>Μακεδονίας 21</t>
  </si>
  <si>
    <t>ΖΙΑΚΑΚΗΣ ΙΩΑΝΝΗΣ ΤΟΥ ΓΕΩΡΓΙΟΥ ΚΑΙ ΤΗΣ ΕΛΙΣΑΒΕΤ</t>
  </si>
  <si>
    <t>160350211003/2/0</t>
  </si>
  <si>
    <t>dnXLDxDvMc</t>
  </si>
  <si>
    <t>37.98899979973410,23.655122202649200</t>
  </si>
  <si>
    <t>Αφροδίτης 39</t>
  </si>
  <si>
    <t>Πάλλη Κυριακή</t>
  </si>
  <si>
    <t>050012107014/0/1</t>
  </si>
  <si>
    <t>TgCrd045sG</t>
  </si>
  <si>
    <t>37.9664260584417,23.749683358840400</t>
  </si>
  <si>
    <t>Δαμάρεως &amp; Χρεμωνίδου 19-21</t>
  </si>
  <si>
    <t>ΜΑΡΓΑΡΙΤΑ ΞΥΠΝΗΤΟΥ</t>
  </si>
  <si>
    <t>050098651001/0/32</t>
  </si>
  <si>
    <t>3dfUnRmBBj</t>
  </si>
  <si>
    <t>Γραφείο 28 τ.μ.</t>
  </si>
  <si>
    <t>37.9851787352581,23.730274100174200</t>
  </si>
  <si>
    <t>Βεραντζέρου 13-15 &amp; Κάνιγγος</t>
  </si>
  <si>
    <t>8 plus</t>
  </si>
  <si>
    <t>ΠΑΝΑΓΙΩΤΗΣ ΜΑΔΗΜΕΝΟΣ</t>
  </si>
  <si>
    <t>050095207014/0/146</t>
  </si>
  <si>
    <t>ZfpJ40avsE</t>
  </si>
  <si>
    <t>Κτήριο μεικτής χρήσης 99 τ.μ.</t>
  </si>
  <si>
    <t>Βάγια</t>
  </si>
  <si>
    <t>38.31728529641790,23.177762065439600</t>
  </si>
  <si>
    <t>ΑΘΑΝΑΣΙΟΣ ΔΟΥΡΟΣ του ΚΩΝΣΤΑΝΤΙΝΟΥ</t>
  </si>
  <si>
    <t>070190109002/0/0</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</si>
  <si>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</si>
  <si>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</si>
  <si>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</si>
  <si>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</si>
  <si>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</si>
  <si>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</si>
  <si>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</si>
  <si>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Νιγρίτα</t>
  </si>
  <si>
    <t>Βισαλτίας</t>
  </si>
  <si>
    <t>81jS6Phpuk</t>
  </si>
  <si>
    <t>40.60193213574810,22.95455242929610</t>
  </si>
  <si>
    <t>Ανδρέα Καρκαβίτσα 3</t>
  </si>
  <si>
    <t>Αλμανίδης Σπάρτακος του Ηλία και της Λιουντμίλα</t>
  </si>
  <si>
    <t>190448026008/0/2</t>
  </si>
  <si>
    <t>5nsARAU9NC</t>
  </si>
  <si>
    <t>37.96608352549050,23.748280177528000</t>
  </si>
  <si>
    <t>Φρύνης 20</t>
  </si>
  <si>
    <t>ΑΓΓΕΛΟΣ ΑΓΓΕΛΗΣ||ΚΑΛΛΙΡΟΗ ΒΟΓΙΑΤΖΗ</t>
  </si>
  <si>
    <t>026323988||107665882</t>
  </si>
  <si>
    <t>050098635012/0/26</t>
  </si>
  <si>
    <t>ii7AH0xa5K</t>
  </si>
  <si>
    <t>37.989756769791700,23.748260434530800</t>
  </si>
  <si>
    <t>Αχιλλέως Παράσχου 105</t>
  </si>
  <si>
    <t>ΠΑΠΑΔΑΣ Νικόλαος του Βασιλείου και της Ευσταθίας,</t>
  </si>
  <si>
    <t>050093615002/0/4</t>
  </si>
  <si>
    <t>PTHJ0S2yaV</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</si>
  <si>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</si>
  <si>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</si>
  <si>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</si>
  <si>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</si>
  <si>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</si>
  <si>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Suez III - Retail</t>
  </si>
  <si>
    <t>5QMclkr0lQ-001</t>
  </si>
  <si>
    <t>Κατάστημα 22 τ.μ. με υπόγειο 22 τ.μ.</t>
  </si>
  <si>
    <t>40.6348640703572,22.943899882145100</t>
  </si>
  <si>
    <t>Παπαμάρκου 5</t>
  </si>
  <si>
    <t>190442116010/0/0</t>
  </si>
  <si>
    <t>v0yXcgnR6I</t>
  </si>
  <si>
    <t>38.00420303166160,23.732606314514000</t>
  </si>
  <si>
    <t>Λευκωσίας &amp; Κύπρου 32</t>
  </si>
  <si>
    <t>ΣΟΦΙΑ ΤΖΙΝΗ</t>
  </si>
  <si>
    <t>050092201022/0/9</t>
  </si>
  <si>
    <t>513DpRScG1-001</t>
  </si>
  <si>
    <t>513DpRScG1</t>
  </si>
  <si>
    <t>Διαμέρισμα 70 τ.μ. - ψιλή κυριότητα</t>
  </si>
  <si>
    <t>38.050951640186700,23.75642460977120</t>
  </si>
  <si>
    <t>Μενελάου 26</t>
  </si>
  <si>
    <t>ΕΛΕΝΗ ΚΑΡΑΘΑΝΑΣΗ</t>
  </si>
  <si>
    <t>050552319001/0/4</t>
  </si>
  <si>
    <t>513DpRScG1-002</t>
  </si>
  <si>
    <t>Διαμέρισμα 27 τ.μ. - ψιλή κυριότητα</t>
  </si>
  <si>
    <t>050552319001/0/7</t>
  </si>
  <si>
    <t>yTZ9eZYrX8</t>
  </si>
  <si>
    <t>Μονοκατοικία 64 τ.μ.</t>
  </si>
  <si>
    <t>Λαγκαδίκια</t>
  </si>
  <si>
    <t>40.63542735854400,23.244955694091600</t>
  </si>
  <si>
    <t>Τεφτσή Σύλβια του Περικλή και της Μόνικα</t>
  </si>
  <si>
    <t>190590203006/0/0</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</si>
  <si>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</si>
  <si>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</si>
  <si>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</si>
  <si>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</si>
  <si>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</si>
  <si>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</si>
  <si>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16WYDYR8ZW</t>
  </si>
  <si>
    <t>Γενισέα</t>
  </si>
  <si>
    <t>41.109788107983900,25.02274329796630</t>
  </si>
  <si>
    <t>Επαρχιακή οδός Σημάντρων-Γενισέας, Πολύσιτο</t>
  </si>
  <si>
    <t>ΚΑΡΙΣΙΚΗΣ ΘΕΟΔΩΡΟΣ του ΓΡΗΓΟΡΙΟΥ</t>
  </si>
  <si>
    <t>370300108014/1/0</t>
  </si>
  <si>
    <t>WtGBvqCaSZ</t>
  </si>
  <si>
    <t>38.01397807649600,23.633497567953000</t>
  </si>
  <si>
    <t>Λεωφόρος Αθηνών 396Β, Δαφνί</t>
  </si>
  <si>
    <t>ΚΑΡΤΑΛΗΣ Ευάγγελος του Θωμά και της Σεβαστής,</t>
  </si>
  <si>
    <t>051460401005/3/1</t>
  </si>
  <si>
    <t>AsxYQ0h2BF</t>
  </si>
  <si>
    <t>38.03085567624740,23.70657157094750</t>
  </si>
  <si>
    <t>Αθηνάς 42</t>
  </si>
  <si>
    <t>ΒΡΕΤΤΟΥ Χρυσούλα, το γένος Χρήστου και Ελένης ΖΩΤΙΑΔΗ,</t>
  </si>
  <si>
    <t>050573705006/0/2</t>
  </si>
  <si>
    <t>RHiwP0jH2j</t>
  </si>
  <si>
    <t>38.00508632858750,23.743998988049400</t>
  </si>
  <si>
    <t>Μάκρης 2 &amp; Φαιδριάδων 47-51</t>
  </si>
  <si>
    <t>ΒΑΣΙΛΕΙΟΣ ΠΑΠΑΓΙΑΝΝΟΠΟΥΛΟΣ||ΚΩΝΣΤΑΝΤΙΑ ΠΑΡΑΓΑΛΑ</t>
  </si>
  <si>
    <t>071600936||068719426</t>
  </si>
  <si>
    <t>050092433001/0/29</t>
  </si>
  <si>
    <t>volYO4sdiT</t>
  </si>
  <si>
    <t>37.98915329149460,23.729504216911800</t>
  </si>
  <si>
    <t>3ης Σεπτεμβρίου 50</t>
  </si>
  <si>
    <t>ΝΙΚΗΤΑΣ ΡΟΥΣΣΟΣ</t>
  </si>
  <si>
    <t>050095251002/0/9</t>
  </si>
  <si>
    <t>wckTpWayx8-002</t>
  </si>
  <si>
    <t>wckTpWayx8</t>
  </si>
  <si>
    <t>Κτήριο κατοικιών 90 τ.μ.</t>
  </si>
  <si>
    <t>Σκόπελος</t>
  </si>
  <si>
    <t>Σκοπέλου</t>
  </si>
  <si>
    <t>39.12383529504630,23.72787849345620</t>
  </si>
  <si>
    <t>ΡΗΓΙΝΟΥΛΑ ΛΕΜΟΝΗ ΤΟΥ ΓΕΩΡΓΙΟΥ και της ΜΑΓΔΑΛΗΝΗΣ</t>
  </si>
  <si>
    <t>350720135020/0/0</t>
  </si>
  <si>
    <t>Διαμέρισμα 85 τ.μ. - 50% εξ αδιαιρέτου</t>
  </si>
  <si>
    <t>4e4tPwhZ0X</t>
  </si>
  <si>
    <t>Κατάστημα 37 τ.μ.</t>
  </si>
  <si>
    <t>40.93659388626710,24.401713106539700</t>
  </si>
  <si>
    <t>Βενιζέλου 50 &amp; Βελισσαρίου</t>
  </si>
  <si>
    <t>ΤΣΙΡΙΚΤΣΙΔΗΣ ΓΕΩΡΓΙΟΣ του Ιωάννη</t>
  </si>
  <si>
    <t>210252814006/0/6</t>
  </si>
  <si>
    <t>JCsIIUDyVH-007</t>
  </si>
  <si>
    <t>Μονοκατοικία 100 τ.μ. και βοηθητικοί χώροι 24 τ.μ.</t>
  </si>
  <si>
    <t>41.58077731231630,26.52929686433490</t>
  </si>
  <si>
    <t>110500212003/0/0</t>
  </si>
  <si>
    <t>E0kTXXWMJC</t>
  </si>
  <si>
    <t>Νέα Μουδανιά</t>
  </si>
  <si>
    <t>40.25011930435310,23.25310104725450</t>
  </si>
  <si>
    <t>Διονυσίου</t>
  </si>
  <si>
    <t>Νικόλαος ΓΕΡΑΚΟΥΔΗΣ του Χρήστου και της Βικτωρίας</t>
  </si>
  <si>
    <t>490160747004/0/2</t>
  </si>
  <si>
    <t>F08fEJqUAo</t>
  </si>
  <si>
    <t>40.64508457549190,22.943896390303300</t>
  </si>
  <si>
    <t>Μετεώρων 16</t>
  </si>
  <si>
    <t>ΣΕΪΤΟΓΛΟΥ ΜΠΟΥΛΕΝΤ του ΙΧΣΑΝ</t>
  </si>
  <si>
    <t>191140328058/0/3</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</si>
  <si>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</si>
  <si>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</si>
  <si>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</si>
  <si>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</si>
  <si>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</si>
  <si>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</si>
  <si>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</si>
  <si>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Ζακύνθου</t>
  </si>
  <si>
    <t>Παλαμάς</t>
  </si>
  <si>
    <t>Παλαμά</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</si>
  <si>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</si>
  <si>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</si>
  <si>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</si>
  <si>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</si>
  <si>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</si>
  <si>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</si>
  <si>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</si>
  <si>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</si>
  <si>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</si>
  <si>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</si>
  <si>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NRZjbY78KD</t>
  </si>
  <si>
    <t>35.335857177992,25.134059734330500</t>
  </si>
  <si>
    <t>Έβανς 60</t>
  </si>
  <si>
    <t>ΙΩΑΝΝΗΣ ΑΝΥΦΑΝΤΑΚΗΣ του Νικολάου και της Ελισάβετ</t>
  </si>
  <si>
    <t>170631012031/0/39</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</si>
  <si>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</si>
  <si>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</si>
  <si>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</si>
  <si>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</si>
  <si>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</si>
  <si>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</si>
  <si>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</si>
  <si>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</si>
  <si>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</si>
  <si>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</si>
  <si>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</si>
  <si>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</si>
  <si>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</si>
  <si>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</si>
  <si>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</si>
  <si>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</si>
  <si>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</si>
  <si>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</si>
  <si>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</si>
  <si>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</si>
  <si>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</si>
  <si>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</si>
  <si>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</si>
  <si>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Μονοκατοικία 82 τ.μ.</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</si>
  <si>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</si>
  <si>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</si>
  <si>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</si>
  <si>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</si>
  <si>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</si>
  <si>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</si>
  <si>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</si>
  <si>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ZCNXpy8OtB</t>
  </si>
  <si>
    <t>Μονοκατοικία 193 τ.μ. με αποθήκη 30 τ.μ.</t>
  </si>
  <si>
    <t>40.26493103526130,22.496800958762500</t>
  </si>
  <si>
    <t>Νικηφόρου Φωκά</t>
  </si>
  <si>
    <t>ΚΩΝΣΤΑΝΤΙΝΟΣ ΜΑΥΡΟΠΟΥΛΟΣ</t>
  </si>
  <si>
    <t>390193905002/1/0</t>
  </si>
  <si>
    <t>em70MsAB3N</t>
  </si>
  <si>
    <t>Μονοκατοικία 70 τ.μ. με αποθήκη 40 τ.μ.</t>
  </si>
  <si>
    <t>40.87492986312870,22.90914605030840</t>
  </si>
  <si>
    <t>Μάνδρες</t>
  </si>
  <si>
    <t>Χρήστος Χατζημήτρου</t>
  </si>
  <si>
    <t>260420211003/0/0</t>
  </si>
  <si>
    <t>4dbS6NawOO</t>
  </si>
  <si>
    <t>37.98651189794770,23.746085962307700</t>
  </si>
  <si>
    <t>Γρηγορίου Θεολόγου 16 &amp; Θεοφίλου 7</t>
  </si>
  <si>
    <t>ΓΡΥΛΛΑΚΗ Μαρίας</t>
  </si>
  <si>
    <t>050094906004/0/13</t>
  </si>
  <si>
    <t>f1YjsrubKH</t>
  </si>
  <si>
    <t>Μονοκατοικία 75 τ.μ.</t>
  </si>
  <si>
    <t>35.340006,25.159567</t>
  </si>
  <si>
    <t>Καρίας 88</t>
  </si>
  <si>
    <t>ΑΙΚΑΤΕΡΙΝΗ ΑΝΩΓΕΙΑΝΑΚΗ ΤΟΥ ΜΙΧΑΗΛ ΚΑΙ ΤΗΣ ΑΝΑΣΤΑΣΙΑΣ ΣΥΖ. ΠΡΟΔΡΟΜΟΥ ΣΙΔΕΡΙΔΟΥ</t>
  </si>
  <si>
    <t>2kYZEhbgk1</t>
  </si>
  <si>
    <t>Αποθήκη 271 τ.μ.</t>
  </si>
  <si>
    <t>37.94616372042810,23.67329083520780</t>
  </si>
  <si>
    <t>Αγίου Κωνσταντίνου 5-7</t>
  </si>
  <si>
    <t>ΒΑΣΙΛΕΙΟΣ ΚΑΤΣΑΡΟΣ</t>
  </si>
  <si>
    <t>050962102002/0/1</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</si>
  <si>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</si>
  <si>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</si>
  <si>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</si>
  <si>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</si>
  <si>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</si>
  <si>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</si>
  <si>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</si>
  <si>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</si>
  <si>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</si>
  <si>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VkTwij7YCV</t>
  </si>
  <si>
    <t>Σαμοθράκη</t>
  </si>
  <si>
    <t>Σαμοθράκης</t>
  </si>
  <si>
    <t>40.49974818884150,25.608396807564100</t>
  </si>
  <si>
    <t>Θέση Θέρμα</t>
  </si>
  <si>
    <t>Αντωνία Καφετζή</t>
  </si>
  <si>
    <t>110706502005/0/2</t>
  </si>
  <si>
    <t>SgdiIU39oH</t>
  </si>
  <si>
    <t>Διαμέρισμα 74 τ.μ. - 50% εξ αδιαιρέτου</t>
  </si>
  <si>
    <t>37.99001453983730,23.66760556900080</t>
  </si>
  <si>
    <t>Φειδίου 6-8 &amp; Νέστου</t>
  </si>
  <si>
    <t>ΟΡΦΑΝΟΣ Γεώργιος</t>
  </si>
  <si>
    <t>050113102002/0/6</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</si>
  <si>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</si>
  <si>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</si>
  <si>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</si>
  <si>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</si>
  <si>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</si>
  <si>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</si>
  <si>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pUCSSBJAe5</t>
  </si>
  <si>
    <t>Διαμέρισμα 118 τ.μ. - ψιλή κυριότητα</t>
  </si>
  <si>
    <t>39.157881701853200,20.932162736367600</t>
  </si>
  <si>
    <t>Χαλκιάδες</t>
  </si>
  <si>
    <t>ΑΓΓΕΛΙΚΗ ΡΙΖΟΥ του ΠΕΤΡΟΥ και της ΜΑΡΙΤΣΑ</t>
  </si>
  <si>
    <t>040800501016/0/1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</si>
  <si>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</si>
  <si>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</si>
  <si>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</si>
  <si>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</si>
  <si>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</si>
  <si>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</si>
  <si>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9UAe4OB719</t>
  </si>
  <si>
    <t>38.051374076243100,23.786500364069200</t>
  </si>
  <si>
    <t>Βύρωνος 52</t>
  </si>
  <si>
    <t>ΙΩΑΝΝΗΣ ΡΕΤΙΝΙΩΤΗΣ</t>
  </si>
  <si>
    <t>051220516005/2/1</t>
  </si>
  <si>
    <t>UPgbXL9dO6</t>
  </si>
  <si>
    <t>35.338299279699300,25.11902868438400</t>
  </si>
  <si>
    <t>Κυταίου 54</t>
  </si>
  <si>
    <t>ΕΛΕΝΗ ΣΥΖ. ΖΑΧΑΡΙΑ ΣΑΡΤΖΕΤΑΚΗ ΤΟ ΓΕΝΟΣ ΕΛΕΥΘΕΡΙΟΥ ΚΑΙ ΑΛΙΚΗΣ ΑΝΑΓΝΩΣΤΟΥ</t>
  </si>
  <si>
    <t>170632863015/0/2</t>
  </si>
  <si>
    <t>ZkPXbNbqft</t>
  </si>
  <si>
    <t>40.524929112257400,22.206325760329000</t>
  </si>
  <si>
    <t>Μερκουρίου Καρακωστή 10</t>
  </si>
  <si>
    <t>ΤΡΙΑΝΤΑΦΥΛΛΟΣ ΤΡΙΑΝΤΑΦΥΛΛΙΔΗΣ του Παναγιώτη||ΧΡΥΣΑΝΘΗ ΤΡΙΑΝΤΑΦΥΛΛΙΔΟΥ του Ιωάννη</t>
  </si>
  <si>
    <t>032065220||072708887</t>
  </si>
  <si>
    <t>160081156003/0/9</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</si>
  <si>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</si>
  <si>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</si>
  <si>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</si>
  <si>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</si>
  <si>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</si>
  <si>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</si>
  <si>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Mdm6Zdf8Gh-001</t>
  </si>
  <si>
    <t>Mdm6Zdf8Gh</t>
  </si>
  <si>
    <t>40.94392988369540,23.50630082587550</t>
  </si>
  <si>
    <t>Ανθή</t>
  </si>
  <si>
    <t>ΠΑΡΟΥΣΗΣ ΒΑΣΙΛΕΙΟΣ του ΔΙΟΝΥΣΙΟΥ και της ΟΛΥΜΠΙΑΣ</t>
  </si>
  <si>
    <t>440190216002/0/1</t>
  </si>
  <si>
    <t>X2ZmjYUfcn</t>
  </si>
  <si>
    <t>Κτήριο κατοικιών 108 τ.μ. - 75% εξ αδιαιρέτου</t>
  </si>
  <si>
    <t>Ζάκυνθος</t>
  </si>
  <si>
    <t>37.78157054013320,20.896137144042000</t>
  </si>
  <si>
    <t>Μουτσά 15</t>
  </si>
  <si>
    <t>ΓΚΙΒΕΤΣΗ Γεωργία του Μενελάου και της Μαρίας</t>
  </si>
  <si>
    <t>140211606003/0/0</t>
  </si>
  <si>
    <t>CggdQprxGd</t>
  </si>
  <si>
    <t>38.00358298749190,23.692443274868400</t>
  </si>
  <si>
    <t>Σκουφά &amp; Σοφοκλή Βενιζέλου 75</t>
  </si>
  <si>
    <t>Βασιλική ΚΑΛΠΑΚΗ||Λουκάς ΔΟΜΕΣΤΙΧΟΣ</t>
  </si>
  <si>
    <t>070944526||078776545</t>
  </si>
  <si>
    <t>051207901008/0/7</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</si>
  <si>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</si>
  <si>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</si>
  <si>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</si>
  <si>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</si>
  <si>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</si>
  <si>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</si>
  <si>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qR8Dg6PjRS-002</t>
  </si>
  <si>
    <t>1η πάροδος Κωνσταντίνου Μάνου 88-89</t>
  </si>
  <si>
    <t>501503913024/0/3</t>
  </si>
  <si>
    <t>gMBWjXKfLZ</t>
  </si>
  <si>
    <t>37.95546271301520,23.508439547886300</t>
  </si>
  <si>
    <t>Αγίας Άννης</t>
  </si>
  <si>
    <t>Κρητικός Κωνσταντίνος||Κρητικού Μαριγώ</t>
  </si>
  <si>
    <t>029910482||123560076</t>
  </si>
  <si>
    <t>051291520021/0/0</t>
  </si>
  <si>
    <t>fdOJ7SwrFk</t>
  </si>
  <si>
    <t>Κτήριο κατοικιών 180 τ.μ.</t>
  </si>
  <si>
    <t>Καινούργιο</t>
  </si>
  <si>
    <t>38.604127327585500,21.485407941208100</t>
  </si>
  <si>
    <t>Κοσμά Αιτωλού</t>
  </si>
  <si>
    <t>Φωτεινή Κοκκίνη του Ανδρέα και της Βούλας συζ. Αναστασίου Διαμάντη</t>
  </si>
  <si>
    <t>010770231007/0/0</t>
  </si>
  <si>
    <t>Ασπρόπυργος</t>
  </si>
  <si>
    <t>Ασπροπύργου</t>
  </si>
  <si>
    <t>bLE8M7SFfU</t>
  </si>
  <si>
    <t>37.985615178539400,23.714712747967800</t>
  </si>
  <si>
    <t>Πυθοδώρου 23 &amp; Σιατίστης 8</t>
  </si>
  <si>
    <t>ΒΕΛΟΝΑ Αναστασία</t>
  </si>
  <si>
    <t>050091920017/0/6</t>
  </si>
  <si>
    <t>mocgwSBf8o</t>
  </si>
  <si>
    <t>37.97960795484620,23.63482662501560</t>
  </si>
  <si>
    <t>Ομήρου 13</t>
  </si>
  <si>
    <t>ΑΠΟΣΤΟΛΟΥ Αναστάσιος||ΑΡΒΑΝΙΤΟΥ - ΑΠΟΣΤΟΛΟΥ Γεωργία</t>
  </si>
  <si>
    <t>029829551||112993743</t>
  </si>
  <si>
    <t>051090508017/0/2</t>
  </si>
  <si>
    <t>ITNfY2m0Wx</t>
  </si>
  <si>
    <t>40.6067197581061,22.9589971076649</t>
  </si>
  <si>
    <t>Σταματίου Ψάλτου 27</t>
  </si>
  <si>
    <t>Άννα ΕΛΕΥΘΕΡΟΥΔΗ του Γεωργίου και της Ρίνα</t>
  </si>
  <si>
    <t>190447805001/0/11</t>
  </si>
  <si>
    <t>icYdo8wpTF-001</t>
  </si>
  <si>
    <t>Διαμέρισμα 86 τ.μ. – 50% εξ αδιαιρέτου και 50% ψιλή κυριότητα</t>
  </si>
  <si>
    <t>icYdo8wpTF-002</t>
  </si>
  <si>
    <t>Διαμέρισμα 57 τ.μ. – 50% εξ αδιαιρέτου και 50% ψιλή κυριότητα</t>
  </si>
  <si>
    <t>280552004018/0/2</t>
  </si>
  <si>
    <t>dZZEnpMWfn</t>
  </si>
  <si>
    <t>40.65370483202420,22.936730531698700</t>
  </si>
  <si>
    <t>Αγίου Στεφάνου 44</t>
  </si>
  <si>
    <t>ΚΥΖΙΡΙΔΗΣ ΘΕΟΔΩΡΟΣ του Δαμιανού και της Μαρίας</t>
  </si>
  <si>
    <t>190741307012/0/16</t>
  </si>
  <si>
    <t>AEOieYtYwK</t>
  </si>
  <si>
    <t>40.84278372276610,25.869937441205200</t>
  </si>
  <si>
    <t>Σωκράτη Οικονόμου 8 &amp; Έλλης</t>
  </si>
  <si>
    <t>Ιωάννης Καδογλου</t>
  </si>
  <si>
    <t>110032008011/0/19</t>
  </si>
  <si>
    <t>Γύθειο</t>
  </si>
  <si>
    <t>Ανατολικής Μάνης</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</si>
  <si>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</si>
  <si>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</si>
  <si>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</si>
  <si>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</si>
  <si>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</si>
  <si>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</si>
  <si>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</si>
  <si>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</si>
  <si>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</si>
  <si>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</si>
  <si>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</si>
  <si>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</si>
  <si>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pWdR57E3UI</t>
  </si>
  <si>
    <t>37.982343729664500,23.71907546352400</t>
  </si>
  <si>
    <t>Μαραθώνος &amp; Λεωνίδου 41, Μεταξουργείο</t>
  </si>
  <si>
    <t>ΛΕΜΠΕΣΗ Καλιρρόη του Κωνσταντίνου και της Γιαννούλας</t>
  </si>
  <si>
    <t>050096211009/0/13</t>
  </si>
  <si>
    <t>uMlPiqWkRG</t>
  </si>
  <si>
    <t>Κατάστημα 126 τ.μ.</t>
  </si>
  <si>
    <t>35.33642239574660,25.159350876266200</t>
  </si>
  <si>
    <t>Ηροδότου 170</t>
  </si>
  <si>
    <t>ΝΙΚΟΛΑΟΣ ΒΑΡΔΑΞΗΣ ΤΟΥ ΠΕΤΡΟΥ ΚΑΙ ΤΗΣ ΓΕΩΡΓΙΑΣ</t>
  </si>
  <si>
    <t>Μονοκατοικία 112 τ.μ.</t>
  </si>
  <si>
    <t>Πόρτο Ράφτη</t>
  </si>
  <si>
    <t>Μαρκοπούλου Μεσογαίας</t>
  </si>
  <si>
    <t>WKu1toQtNW</t>
  </si>
  <si>
    <t>38.05668737922330,23.814499317132100</t>
  </si>
  <si>
    <t>Γεωργίου Κοτζιά 3</t>
  </si>
  <si>
    <t>ΜΑΝΤΖΑΝΑ Κασσιανή του Κωνσταντίνου και της Σοφίας</t>
  </si>
  <si>
    <t>050140315013/0/16</t>
  </si>
  <si>
    <t>YrncSMIw1y</t>
  </si>
  <si>
    <t xml:space="preserve">Διαμέρισμα 51 τ.μ.	</t>
  </si>
  <si>
    <t>37.958958300,23.703348700</t>
  </si>
  <si>
    <t xml:space="preserve">Σαπφούς 80	</t>
  </si>
  <si>
    <t>ΚΥΡΙΑΚΙΔΗΣ Σταύρος</t>
  </si>
  <si>
    <t>32.097.05.014.017.01.000.002</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</si>
  <si>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</si>
  <si>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</si>
  <si>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</si>
  <si>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</si>
  <si>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</si>
  <si>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</si>
  <si>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</si>
  <si>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</si>
  <si>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</si>
  <si>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</si>
  <si>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</si>
  <si>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mYWxnX7EiQ</t>
  </si>
  <si>
    <t>Θεολόγος</t>
  </si>
  <si>
    <t>40.609606121177200,24.606545645203500</t>
  </si>
  <si>
    <t>Ποτός</t>
  </si>
  <si>
    <t>Μιχαήλ Πάγκαλος του Γεώργιου και της Μαρίας</t>
  </si>
  <si>
    <t>210240316012/0/2</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</si>
  <si>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</si>
  <si>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</si>
  <si>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</si>
  <si>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</si>
  <si>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</si>
  <si>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</si>
  <si>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l3ThKYkaWw</t>
  </si>
  <si>
    <t>Διαμέρισμα 142 τ.μ.</t>
  </si>
  <si>
    <t>37.9378331454288,23.70825194674250</t>
  </si>
  <si>
    <t>Μηδείας 15</t>
  </si>
  <si>
    <t>ΚΙΜΩΝΑΣ ΚΩΝΣΤΑΝΤΟΥΛΑΚΗΣ</t>
  </si>
  <si>
    <t>051040632021/0/1</t>
  </si>
  <si>
    <t>wckTpWayx8-001</t>
  </si>
  <si>
    <t>Ξενοδοχειακή μονάδα 399 τ.μ.</t>
  </si>
  <si>
    <t>39.12426170227070,23.72961119916210</t>
  </si>
  <si>
    <t>Θέση Παναγιά του Πύργου</t>
  </si>
  <si>
    <t>350720141001/0/0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</si>
  <si>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</si>
  <si>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</si>
  <si>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</si>
  <si>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</si>
  <si>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</si>
  <si>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</si>
  <si>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</si>
  <si>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</si>
  <si>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xvZeBwT5oN-001</t>
  </si>
  <si>
    <t>Κατάστημα 49 τ.μ.</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</si>
  <si>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</si>
  <si>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</si>
  <si>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</si>
  <si>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</si>
  <si>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</si>
  <si>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</si>
  <si>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</si>
  <si>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</si>
  <si>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</si>
  <si>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</si>
  <si>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</si>
  <si>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</si>
  <si>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fujpLsCTc1</t>
  </si>
  <si>
    <t>Μονοκατοικία 30 τ.μ.</t>
  </si>
  <si>
    <t>Μαραθώνας</t>
  </si>
  <si>
    <t>38.107835322362800,23.975137056184100</t>
  </si>
  <si>
    <t>Ηρακλέους 6</t>
  </si>
  <si>
    <t>ΧΡΗΣΤΟΣ ΝΕΡΗΣ</t>
  </si>
  <si>
    <t>050871106005/0/0</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</si>
  <si>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</si>
  <si>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</si>
  <si>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</si>
  <si>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</si>
  <si>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</si>
  <si>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</si>
  <si>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OqlFR1XQsS</t>
  </si>
  <si>
    <t>38.251554660441600,21.744581482874200</t>
  </si>
  <si>
    <t>Φιλελλήνων 20</t>
  </si>
  <si>
    <t>ΑΠΟΣΤΟΛΟΠΟΥΛΟΥ ΜΑΡΙΑ του ΠΑΝΑΓΙΩΤΗ και της ΔΙΟΝΥΣΙΑΣ</t>
  </si>
  <si>
    <t>061673768002/0/17</t>
  </si>
  <si>
    <t>KgQIiMjaPq-001</t>
  </si>
  <si>
    <t>051166331009/0/3</t>
  </si>
  <si>
    <t>UAvEQfh11k</t>
  </si>
  <si>
    <t>38.01907740413730,23.693240045501400</t>
  </si>
  <si>
    <t>Θηβών 236</t>
  </si>
  <si>
    <t>ΜΙΧΑΗΛ ΞΥΔΟΥΣ</t>
  </si>
  <si>
    <t>051202602011/0/2</t>
  </si>
  <si>
    <t>Άγιος Αθανάσιος</t>
  </si>
  <si>
    <t>Άγιοι Θεόδωροι</t>
  </si>
  <si>
    <t>nrYZ1gA767</t>
  </si>
  <si>
    <t>40.798627581350000,22.047775030262100</t>
  </si>
  <si>
    <t>Βέροιας 7</t>
  </si>
  <si>
    <t>ΑΝΤΩΝΙΑΔΟΥ ΑΙΚΑΤΕΡΙΝΗ ΤΟΥ ΔΙΟΓΕΝΗ ΚΑΙ ΤΗΣ ΑΦΡΟΔΙΤΗΣ</t>
  </si>
  <si>
    <t>380292601006/1/3</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</si>
  <si>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</si>
  <si>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</si>
  <si>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</si>
  <si>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</si>
  <si>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</si>
  <si>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k22Eb7tQKx-001</t>
  </si>
  <si>
    <t>k22Eb7tQKx</t>
  </si>
  <si>
    <t>37.96585697280320,23.753633121685100</t>
  </si>
  <si>
    <t>Λαέρτου 23</t>
  </si>
  <si>
    <t>Αναστασία ΑΒΡΑΜΙΔΗ</t>
  </si>
  <si>
    <t>050098633005/0/10</t>
  </si>
  <si>
    <t>k22Eb7tQKx-002</t>
  </si>
  <si>
    <t>Διαμέρισμα 56 τ.μ. - 50% εξ αδιαιρέτου</t>
  </si>
  <si>
    <t>050098633005/0/12</t>
  </si>
  <si>
    <t>R2DYwMiufc-002</t>
  </si>
  <si>
    <t>R2DYwMiufc</t>
  </si>
  <si>
    <t>Αμάρυνθος</t>
  </si>
  <si>
    <t>Ερέτριας</t>
  </si>
  <si>
    <t>38.38454776773440,23.894508243953900</t>
  </si>
  <si>
    <t>Θέση Βαθειά Μεριά, Αλαμπέϊκα</t>
  </si>
  <si>
    <t>ΕΥΑΓΓΕΛΟΣ ΧΑΡΑΛΑΜΠΟΥΣ του Βασιλείου και της Φλώρας</t>
  </si>
  <si>
    <t>R2DYwMiufc-001</t>
  </si>
  <si>
    <t>R2DYwMiufc-003</t>
  </si>
  <si>
    <t>R2DYwMiufc-004</t>
  </si>
  <si>
    <t>S7CtDZ1CjY</t>
  </si>
  <si>
    <t>Κατάστημα 26 τ.μ.</t>
  </si>
  <si>
    <t>37.953472,23.706098</t>
  </si>
  <si>
    <t>Δημοσθένους 112 &amp; Μαντζαγριωτάκη</t>
  </si>
  <si>
    <t>ΓΡΗΓΟΡΙΟΣ ΤΑΣΟΥΛΗΣ ΤΟΥ ΝΙΚΟΛΑΟΥ ΚΑΙ ΤΗΣ ΑΦΡΟΔΙΤΗΣ</t>
  </si>
  <si>
    <t>9WLfuK8Awp</t>
  </si>
  <si>
    <t>37.95568149529390,23.621213031478700</t>
  </si>
  <si>
    <t>Προικονήσου &amp; Γεωργίου Αβέρωφ 17</t>
  </si>
  <si>
    <t>Γεώργιος ΒΑΚΟΝΤΙΟΣ του Ιωάννη και της Αφροδίτης</t>
  </si>
  <si>
    <t>050681671001/0/5</t>
  </si>
  <si>
    <t>5nmB7aysDB</t>
  </si>
  <si>
    <t>Κατάστημα 101 τ.μ.</t>
  </si>
  <si>
    <t>37.505046114555100,22.376080765917600</t>
  </si>
  <si>
    <t>Γρηγορίου Λαμπράκη 90</t>
  </si>
  <si>
    <t>ΠΡΑΣΟΚΟΛΑ ΑΡΕΤΗ του Γεωργίου και της Αγγελικής</t>
  </si>
  <si>
    <t>032252107019/0/1</t>
  </si>
  <si>
    <t>cBpJo8K9N3-002</t>
  </si>
  <si>
    <t>360611063001/0/4</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</si>
  <si>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</si>
  <si>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</si>
  <si>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</si>
  <si>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</si>
  <si>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</si>
  <si>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A7pSSkTb7b-001</t>
  </si>
  <si>
    <t>A7pSSkTb7b</t>
  </si>
  <si>
    <t>Διαμέρισμα 114 τ.μ.</t>
  </si>
  <si>
    <t>40.50609102629150,21.241995308419400</t>
  </si>
  <si>
    <t>Αλεβίτσας 9</t>
  </si>
  <si>
    <t>ΑΙΜΙΛΙΟΣ ΚΑΡΑΝΙΚΟΛΑΣ ΤΟΥ ΝΙΚΟΛΑΟΥ</t>
  </si>
  <si>
    <t>230350218001/1/2</t>
  </si>
  <si>
    <t>A7pSSkTb7b-002</t>
  </si>
  <si>
    <t>230350218001/1/3</t>
  </si>
  <si>
    <t>T8sOCstTHN</t>
  </si>
  <si>
    <t>Διαμέρισμα 71 τ.μ. - ψιλή κυριότητα</t>
  </si>
  <si>
    <t>37.92480176922810,23.756079587968000</t>
  </si>
  <si>
    <t>Πατρών 4</t>
  </si>
  <si>
    <t>ΓΕΩΡΓΙΟΣ ΚΑΠΙΡΗΣ</t>
  </si>
  <si>
    <t>050542422007/0/9</t>
  </si>
  <si>
    <t>6LwbXkR7mv</t>
  </si>
  <si>
    <t>Διαμέρισμα 132 τ.μ.</t>
  </si>
  <si>
    <t>37.97110241863870,22.98203775519890</t>
  </si>
  <si>
    <t>Σωκράτους 4</t>
  </si>
  <si>
    <t>ΒΕΝΕΤΣΑΝΟΣ Περικλής του Κυριάκου και της Ελένης</t>
  </si>
  <si>
    <t>280670607008/0/0</t>
  </si>
  <si>
    <t>quw280f6yN</t>
  </si>
  <si>
    <t>Μεζονέτα 213 τ.μ.</t>
  </si>
  <si>
    <t>37.96499776771070,23.770235852624000</t>
  </si>
  <si>
    <t>Διονυσίου Σολωμού 7</t>
  </si>
  <si>
    <t>Γεώργιος ΤΣΕΒΡΕΝΗΣ</t>
  </si>
  <si>
    <t>050580655020/0/0</t>
  </si>
  <si>
    <t>0QJ7L7u8Lm</t>
  </si>
  <si>
    <t>38.22894927411090,21.72677341974460</t>
  </si>
  <si>
    <t>Πάργας 17</t>
  </si>
  <si>
    <t>ΒΑΣΙΛΕΙΟΣ ΜΑΚΡΗΣ</t>
  </si>
  <si>
    <t>061672682022/0/0</t>
  </si>
  <si>
    <t>pFEb9HlrDH</t>
  </si>
  <si>
    <t>Διαμέρισμα 130 τ.μ.</t>
  </si>
  <si>
    <t>40.0822644169927,21.425454099483800</t>
  </si>
  <si>
    <t>13ης Οκτωβρίου 47</t>
  </si>
  <si>
    <t>ΣΥΡΠΗΣ ΚΥΡΙΑΚΟΣ</t>
  </si>
  <si>
    <t>080100709004/0/6</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</si>
  <si>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</si>
  <si>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</si>
  <si>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</si>
  <si>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</si>
  <si>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</si>
  <si>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</si>
  <si>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h6i51e5oDp</t>
  </si>
  <si>
    <t>38.133720252637400,22.44043895945760</t>
  </si>
  <si>
    <t>Παλαιά Εθνική Οδός Κορίνθου - Πατρών, Λυγιά</t>
  </si>
  <si>
    <t>ΚΟΚΟΝΤΗΣ ΚΩΝΣΤΑΝΤΙΝΟΣ</t>
  </si>
  <si>
    <t>280320109101/0/1</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</si>
  <si>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</si>
  <si>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</si>
  <si>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</si>
  <si>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</si>
  <si>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</si>
  <si>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</si>
  <si>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</si>
  <si>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</si>
  <si>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</si>
  <si>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</si>
  <si>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</si>
  <si>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</si>
  <si>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</si>
  <si>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4CWUOPFkck</t>
  </si>
  <si>
    <t>37.95316966327810,23.693709576356300</t>
  </si>
  <si>
    <t>Λασκαρίδου 204</t>
  </si>
  <si>
    <t>ΛΑΓΟΥΔΑΚΗ Μαρία του Κωνσταντίνου και της Φιλιώς,</t>
  </si>
  <si>
    <t>32.097.03.024.006.01.01-0.001</t>
  </si>
  <si>
    <t>NjNG4d1hmL</t>
  </si>
  <si>
    <t>Κατάστημα 60 τ.μ.</t>
  </si>
  <si>
    <t>38.24952513222570,21.73969302528550</t>
  </si>
  <si>
    <t>Κορίνθου 162 &amp; Πουκεβίλ 19-21</t>
  </si>
  <si>
    <t>ΜΑΛΛΑΣ ΧΡΗΣΤΟΣ ΤΟΥ ΣΠΥΡΙΔΩΝΟΣ</t>
  </si>
  <si>
    <t>061673654011/0/3</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</si>
  <si>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</si>
  <si>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</si>
  <si>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</si>
  <si>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</si>
  <si>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</si>
  <si>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</si>
  <si>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4OMhuVwQsu</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</si>
  <si>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</si>
  <si>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</si>
  <si>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</si>
  <si>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</si>
  <si>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</si>
  <si>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pMoGXgycjY</t>
  </si>
  <si>
    <t>37.56593389703930,22.80933615209860</t>
  </si>
  <si>
    <t>Μαρτινίας 11</t>
  </si>
  <si>
    <t>ΚΑΛΑΝΤΖΗΣ ΣΤΑΥΡΟΣ του Γρηγορίου και της Βασιλικής</t>
  </si>
  <si>
    <t>020492007003/0/20</t>
  </si>
  <si>
    <t>nGwxy1fs6u</t>
  </si>
  <si>
    <t>Πόρος Ηρακλείου</t>
  </si>
  <si>
    <t>35.33464174433690,25.147656619319900</t>
  </si>
  <si>
    <t>Φλωρίνης 82</t>
  </si>
  <si>
    <t>ΚΑΡΑΚΟΥΔΗ ΕΥΑΓΓΕΛΙΑ του ΣΤΑΥΡΟΥ και της ΕΙΡΗΝΗΣ</t>
  </si>
  <si>
    <t>170637536016/0/4</t>
  </si>
  <si>
    <t>Διαμέρισμα 36 τ.μ.</t>
  </si>
  <si>
    <t>bCp1cESqIy</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</si>
  <si>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</si>
  <si>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</si>
  <si>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</si>
  <si>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</si>
  <si>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</si>
  <si>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XRKEqWEGOi-002</t>
  </si>
  <si>
    <t>XRKEqWEGOi</t>
  </si>
  <si>
    <t>Άγιος Βασίλειος</t>
  </si>
  <si>
    <t>38.31760153858160,21.816975518142100</t>
  </si>
  <si>
    <t>Αγίου Βασιλείου 78</t>
  </si>
  <si>
    <t>ΛΕΩΝ ΚΩΝΣΤΑΝΤΙΝΟΣ</t>
  </si>
  <si>
    <t>060040422015/0/8</t>
  </si>
  <si>
    <t>XRKEqWEGOi-001</t>
  </si>
  <si>
    <t>38.31760153867700,21.816975518144800</t>
  </si>
  <si>
    <t>060040422015/0/6</t>
  </si>
  <si>
    <t>ruLeCAIEA8</t>
  </si>
  <si>
    <t>37.946044753123900,23.729362973144000</t>
  </si>
  <si>
    <t>Αρτέμιδος 65</t>
  </si>
  <si>
    <t>ΜΩΡΑΪΤΟΥ ή ΜΩΡΑΪΤΗ Μαρία</t>
  </si>
  <si>
    <t>050432107009/0/2</t>
  </si>
  <si>
    <t>0QYfqOoAov</t>
  </si>
  <si>
    <t>Μονοκατοικία 54 τ.μ. - 17% εξ αδιαιρέτου</t>
  </si>
  <si>
    <t>Μαρκόπουλο</t>
  </si>
  <si>
    <t>37.898222474165800,23.9600284582067</t>
  </si>
  <si>
    <t>Αιγαίου</t>
  </si>
  <si>
    <t>16.66</t>
  </si>
  <si>
    <t>ΣΟΦΙΑ ΛΑΖΑΡΟΥ ΤΟΥ ΘΕΟΦΙΛΟΥ ΚΑΙ ΤΗΣ ΑΙΚΑΤΕΡΙΝΗΣ</t>
  </si>
  <si>
    <t>050884705004/0/0</t>
  </si>
  <si>
    <t>otUhV6xZ2g</t>
  </si>
  <si>
    <t>39.592970,19.892468</t>
  </si>
  <si>
    <t>Εθνική Οδός Κέρκυρας-Γύρου Αχίλλειου, Βιρός</t>
  </si>
  <si>
    <t>Αγγελική Μεσημέρη του Γεωργίου και της Μαρίας, συζ. Στεφάνου Μήτσου</t>
  </si>
  <si>
    <t>7vWknkoin7</t>
  </si>
  <si>
    <t>Μονοκατοικίες 132 τ.μ. με αποθήκες 205 τ.μ.</t>
  </si>
  <si>
    <t>Ηράκλεια</t>
  </si>
  <si>
    <t>Ηρακλείας</t>
  </si>
  <si>
    <t>41.11315935286280,23.37828464818950</t>
  </si>
  <si>
    <t>Νέα Τυρολόη</t>
  </si>
  <si>
    <t>ΜΑΚΡΙΔΗΣ ΠΑΣΧΑΛΗΣ ΤΟΥ ΓΕΩΡΓΙΟΥ</t>
  </si>
  <si>
    <t>440960723007/0/0</t>
  </si>
  <si>
    <t>8sTyRYsY5l</t>
  </si>
  <si>
    <t xml:space="preserve">Διαμέρισμα 93 τ.μ.	</t>
  </si>
  <si>
    <t>38.635071977277100,21.405285389850900</t>
  </si>
  <si>
    <t>Εργάνης</t>
  </si>
  <si>
    <t>ΚΑΒΟΥΡΑ ΡΟΔΑ ΤΟΥ ΝΙΚΟΛΑΟΥ ΚΑΙ ΓΕΩΡΓΙΑΣ συζ. Ιωάννη Ταφιάδη</t>
  </si>
  <si>
    <t>010130829011/0/2</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</si>
  <si>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</si>
  <si>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</si>
  <si>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</si>
  <si>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</si>
  <si>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</si>
  <si>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</si>
  <si>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evhbueqXHO</t>
  </si>
  <si>
    <t>Μεζονέτα 65 τ.μ.</t>
  </si>
  <si>
    <t>40.288346,23.127392</t>
  </si>
  <si>
    <t>Νέα Σύλλατα</t>
  </si>
  <si>
    <t>ΔΙΟΝΥΣΙΟΣ ΒΙΤΣΕΝΤΖΑΤΟΣ ΤΟΥ ΚΩΝΣΤΑΝΤΙΝΟΥ</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</si>
  <si>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</si>
  <si>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</si>
  <si>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</si>
  <si>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</si>
  <si>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</si>
  <si>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</si>
  <si>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8iH8KjjXFr</t>
  </si>
  <si>
    <t>Χίος</t>
  </si>
  <si>
    <t>38.36689495204560,26.131485629006700</t>
  </si>
  <si>
    <t>Γυμνασιάρχου Μαδιά</t>
  </si>
  <si>
    <t>ΚΩΝΣΤΑΝΤΙΝΟΣ ΜΑΙΣΤΡΟΣ</t>
  </si>
  <si>
    <t>510401522015/0/4</t>
  </si>
  <si>
    <t>34PtYRHT1l</t>
  </si>
  <si>
    <t>37.95514615246860,23.619659894333600</t>
  </si>
  <si>
    <t>Νικομηδείας 36</t>
  </si>
  <si>
    <t>ΒΑΛΑΣΣΑΣ Λάμπρος</t>
  </si>
  <si>
    <t>050681643012/0/7</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</si>
  <si>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</si>
  <si>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</si>
  <si>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</si>
  <si>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</si>
  <si>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</si>
  <si>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</si>
  <si>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</si>
  <si>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</si>
  <si>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</si>
  <si>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</si>
  <si>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</si>
  <si>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</si>
  <si>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</si>
  <si>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</si>
  <si>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</si>
  <si>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</si>
  <si>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</si>
  <si>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</si>
  <si>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</si>
  <si>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</si>
  <si>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MC6oHyMaH9-001</t>
  </si>
  <si>
    <t>Περικλεούς &amp; Αυτοκράτειρας Θεοδώρας 2</t>
  </si>
  <si>
    <t>Ηλίας Αβραμίδης</t>
  </si>
  <si>
    <t>uWPytAmeDX</t>
  </si>
  <si>
    <t>38.251887068174900,23.07349391609020</t>
  </si>
  <si>
    <t>Ξηρονομή</t>
  </si>
  <si>
    <t>Ευάγγελος Βογιατζής του Βασιλείου||Χριστίνα Βογιατζή του Ελευθερίου, το γένος Χαλάτση</t>
  </si>
  <si>
    <t>124109470||079780833</t>
  </si>
  <si>
    <t>HCT8TwRkrj</t>
  </si>
  <si>
    <t>41.13597355191940,24.879929708684000</t>
  </si>
  <si>
    <t>Ανατολικής Θράκης 62 &amp; Αγίας Λαύρας</t>
  </si>
  <si>
    <t>ΑΧΜΕΤ ΟΓΛΟΥ ΜΕΣΟΥΤ του ΑΜΕΤ</t>
  </si>
  <si>
    <t>370261118013/0/7</t>
  </si>
  <si>
    <t>S56Q9Ndmtc</t>
  </si>
  <si>
    <t>39.634566166187600,22.423860471537500</t>
  </si>
  <si>
    <t>Οικονόμου εξ Οικονόμων 75</t>
  </si>
  <si>
    <t>ΓΕΩΡΓΙΑ ΠΑΥΛΟΠΟΥΛΟΥ, θυγατέρα Σπυρίδωνος και Μαρίας Κουτσοχέρα</t>
  </si>
  <si>
    <t>310810660009/0/7</t>
  </si>
  <si>
    <t>xi7MeBogDd</t>
  </si>
  <si>
    <t>39.638537518497700,22.42023175399130</t>
  </si>
  <si>
    <t>28ης Οκτωβρίου &amp; Κωστή Παλαμά 11</t>
  </si>
  <si>
    <t>ΓΕΩΡΓΙΟΥ ΕΛΕΝΗ</t>
  </si>
  <si>
    <t>310811209004/0/15</t>
  </si>
  <si>
    <t>nPitUew5IW</t>
  </si>
  <si>
    <t>Αποθήκη 96 τ.μ.</t>
  </si>
  <si>
    <t>37.936566777955000,23.743525284009300</t>
  </si>
  <si>
    <t>Ασκληπιού 24</t>
  </si>
  <si>
    <t>ΑΙΚΑΤΕΡΙΝΗ ΠΑΛΟΓΟΥ ΚΑΙ ΥΙΟΙ Ο.Ε.</t>
  </si>
  <si>
    <t>050541646005/0/4</t>
  </si>
  <si>
    <t>vjjOUFFsG6</t>
  </si>
  <si>
    <t>Κατάστημα 40 τ.μ.</t>
  </si>
  <si>
    <t>38.084177358479500,23.70502524124080</t>
  </si>
  <si>
    <t>Δελφών 9 &amp; Ελικώνος</t>
  </si>
  <si>
    <t>ΚΟΥΤΣΙΟΥΚΟΥ Αγγελική</t>
  </si>
  <si>
    <t>050202115008/0/1</t>
  </si>
  <si>
    <t>wF8NtBUFX6</t>
  </si>
  <si>
    <t>Βιοτεχνικό κτήριο 377 τ.μ.</t>
  </si>
  <si>
    <t>41.14796018060750,24.1901209539963</t>
  </si>
  <si>
    <t>Επαρχιακή οδός Δράμας - Καλλιφύτου</t>
  </si>
  <si>
    <t>ΣΕΒΔΑ ΓΕΣΘΗΜΑΝΗ  του ΙΟΡΔΑΝΗ</t>
  </si>
  <si>
    <t>090201208007/0/0</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</si>
  <si>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</si>
  <si>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</si>
  <si>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</si>
  <si>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</si>
  <si>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</si>
  <si>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</si>
  <si>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IBVVlD8RZ8</t>
  </si>
  <si>
    <t>40.51785924981270,22.201558213147300</t>
  </si>
  <si>
    <t>Καραϊσκάκη 18</t>
  </si>
  <si>
    <t>ΝΙΩΠΑΣ ΣΤΕΡΓΙΟΣ ΤΟΥ ΚΩΝ/ΝΟΥ</t>
  </si>
  <si>
    <t>160081704004/0/0</t>
  </si>
  <si>
    <t>Αμφιλοχία</t>
  </si>
  <si>
    <t>xB8E1LEoHV</t>
  </si>
  <si>
    <t>40.650304121336800,22.92894801883380</t>
  </si>
  <si>
    <t>Φιλιππουπόλεως 3 &amp; Ναυάρχου Βότση 8, Ξηροκρήνη</t>
  </si>
  <si>
    <t>Βασίλειος ΛΟΥΤΡΙΔΗΣ του Παναγιώτη και της Χριστίνας</t>
  </si>
  <si>
    <t>190111114007/0/10</t>
  </si>
  <si>
    <t>5Aky1CokpK</t>
  </si>
  <si>
    <t>40.526990082802800,22.205109436694100</t>
  </si>
  <si>
    <t>Εμμανουήλ Ζάχου 15</t>
  </si>
  <si>
    <t>ΠΕΤΙΚΑΣ ΧΡΗΣΤΟΣ ΤΟΥ ΠΑΡΑΣΚΕΥΑ ΚΑΙ ΤΗΣ ΜΑΡΙΑΝΘΗΣ</t>
  </si>
  <si>
    <t>160081140008/0/11</t>
  </si>
  <si>
    <t>TumWMZu7W8</t>
  </si>
  <si>
    <t>41.0383497323585,22.95585463913100</t>
  </si>
  <si>
    <t>Τέρπυλλος</t>
  </si>
  <si>
    <t>Γιαννάκης ΙΩΑΝΝΟΥ του Γεωργίου και της Γλυκερίας</t>
  </si>
  <si>
    <t>260700205014/0/0</t>
  </si>
  <si>
    <t>1vBXwiG5aY</t>
  </si>
  <si>
    <t>Διαμέρισμα 140 τ.μ.</t>
  </si>
  <si>
    <t>37.942659593208400,23.70394527000850</t>
  </si>
  <si>
    <t>Μιμάντος 6</t>
  </si>
  <si>
    <t>ΣΤΑΣΙΝΟΠΟΥΛΟΣ Νικόλαος</t>
  </si>
  <si>
    <t>051040522003/0/5</t>
  </si>
  <si>
    <t>BVZXn7Q4sd</t>
  </si>
  <si>
    <t>38.0589842617014,23.731998238177700</t>
  </si>
  <si>
    <t>Κοσμά Αιτωλού 21 &amp; Μουργκάνας</t>
  </si>
  <si>
    <t>Κανάτη Γεωργία</t>
  </si>
  <si>
    <t>050280329021/0/1</t>
  </si>
  <si>
    <t>1WuqQxhN6x</t>
  </si>
  <si>
    <t>38.03108954747040,23.75515884904190</t>
  </si>
  <si>
    <t>Μηδείας 1 &amp; Δευκαλίωνος 25</t>
  </si>
  <si>
    <t>ΠΑΥΛΗΣ ΠΑΝΑΓΙΩΤΗΣ του ΓΕΩΡΓΙΟΥ και της ΚΥΡΙΑΚΟΥΛΑΣ,</t>
  </si>
  <si>
    <t>051001605001/0/6</t>
  </si>
  <si>
    <t>JCsIIUDyVH-008</t>
  </si>
  <si>
    <t>Μονοκατοικία 156 τ.μ. και αποθήκες 124 τ.μ.</t>
  </si>
  <si>
    <t>41.58464246699090,26.548042898194700</t>
  </si>
  <si>
    <t>Παναγιώτης Φιλιππίδης</t>
  </si>
  <si>
    <t>110500525003/0/0</t>
  </si>
  <si>
    <t>UJcPFRHi19-002</t>
  </si>
  <si>
    <t>UJcPFRHi19</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</si>
  <si>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</si>
  <si>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</si>
  <si>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</si>
  <si>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</si>
  <si>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UJcPFRHi19-001</t>
  </si>
  <si>
    <t>050096126002/0/35</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</si>
  <si>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</si>
  <si>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</si>
  <si>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</si>
  <si>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</si>
  <si>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</si>
  <si>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</si>
  <si>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nUaGKZ2nRP-004</t>
  </si>
  <si>
    <t>nUaGKZ2nRP</t>
  </si>
  <si>
    <t>Κατάστημα 129 τ.μ. με βοηθητικό χώρο 190 τ.μ.</t>
  </si>
  <si>
    <t>38.01717112473930,23.862187038773800</t>
  </si>
  <si>
    <t>Ηγουμενίτσης 4, Αμαλιάδος &amp; Γυθείου</t>
  </si>
  <si>
    <t>ΚΑΝΤΗΛΩΡΟΥ ΕΙΡΗΝΗ</t>
  </si>
  <si>
    <t>050390718001/0/3</t>
  </si>
  <si>
    <t>St0MYVMLTB</t>
  </si>
  <si>
    <t>37.94213006115960,23.136008600111500</t>
  </si>
  <si>
    <t>Θέση Μαρσιάρι</t>
  </si>
  <si>
    <t>ΚΩΝΣΤΑΝΤΙΝΙΔΗΣ ΑΝΤΩΝΙΟΣ ΤΟΥ ΑΛΕΞΑΝΔΡΟΥ ΚΑΙ ΤΗΣ ΜΑΡΙΑΣ</t>
  </si>
  <si>
    <t>280053815005/0/0</t>
  </si>
  <si>
    <t>BjbjI6tIL1</t>
  </si>
  <si>
    <t>Διαμέρισμα 68 τ.μ. με αποθήκες - 50% εξ αδιαιρέτου</t>
  </si>
  <si>
    <t>37.99924744566720,23.688841352111000</t>
  </si>
  <si>
    <t>Δωρίδος 52 &amp; Δολιανών 1</t>
  </si>
  <si>
    <t>ΜΑΡΙΑ ΡΑΜΜΟΥ</t>
  </si>
  <si>
    <t>050117504016/1/1</t>
  </si>
  <si>
    <t>XQMiwHGExP</t>
  </si>
  <si>
    <t>38.02026802136420,23.719411307168500</t>
  </si>
  <si>
    <t>Νικολάου Πλαστήρα 37</t>
  </si>
  <si>
    <t>ΠΑΤΡΙΚΟΠΟΥΛΟΣ Ιωάννης</t>
  </si>
  <si>
    <t>050070710019/0/2</t>
  </si>
  <si>
    <t>23DwQKMsgT</t>
  </si>
  <si>
    <t>Ημιτελές διαμέρισμα 57 τ.μ.</t>
  </si>
  <si>
    <t>40.521828224593300,22.19883128661210</t>
  </si>
  <si>
    <t>Τριποτάμου 15</t>
  </si>
  <si>
    <t>ΦΟΥΡΚΙΩΤΗ  ΑΙΚΑΤΕΡΙΝΗ</t>
  </si>
  <si>
    <t>160080929009/0/2</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</si>
  <si>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</si>
  <si>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</si>
  <si>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</si>
  <si>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</si>
  <si>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</si>
  <si>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</si>
  <si>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HF6dRV5onM</t>
  </si>
  <si>
    <t>Κτήριο 130 τ.μ.</t>
  </si>
  <si>
    <t>35.09763110273540,25.189473805932500</t>
  </si>
  <si>
    <t>Θέση Μεσοχώρια, Πυράθι, Τεφέλι</t>
  </si>
  <si>
    <t>ΜΑΡΑΓΚΑΚΗΣ ΜΙΧΑΗΛ ΤΟΥ ΓΕΩΡΓΙΟΥ ΚΑΙ ΤΗΣ ΜΑΡΙΑΣ</t>
  </si>
  <si>
    <t>171581709001/0/0</t>
  </si>
  <si>
    <t>tjLEfa1VkH-001</t>
  </si>
  <si>
    <t>tjLEfa1VkH</t>
  </si>
  <si>
    <t>38.250339831475600,22.081160876072500</t>
  </si>
  <si>
    <t>Χαραλάμπους 2Α &amp; Σολωμού 1</t>
  </si>
  <si>
    <t>ΝΙΚΟΛΑΟΣ ΘΕΟΣ||ΧΡΙΣΤΙΝΑ ΚΟΛΛΙΑ</t>
  </si>
  <si>
    <t>025109206||104653957</t>
  </si>
  <si>
    <t>060132218014/0/7</t>
  </si>
  <si>
    <t>L3ONtNh27U</t>
  </si>
  <si>
    <t>Μονοκατοικία 85 τ.μ. με αποθήκη 7 τ.μ.</t>
  </si>
  <si>
    <t>41.03072716376000,25.316158971196100</t>
  </si>
  <si>
    <t>Παγούρια, Νέο Σιδηροχώρι</t>
  </si>
  <si>
    <t>ΚΟΥΤΣΟΓΙΑΝΝΗΣ ΙΩΑΝΝΗΣ</t>
  </si>
  <si>
    <t>420220103006/0/0</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</si>
  <si>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</si>
  <si>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</si>
  <si>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</si>
  <si>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</si>
  <si>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</si>
  <si>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</si>
  <si>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ClE8y7AEah</t>
  </si>
  <si>
    <t>Μεγάλη Χώρα</t>
  </si>
  <si>
    <t>38.65100026055690,21.375127971048800</t>
  </si>
  <si>
    <t>Νταβαρίνος Νικόλαος του Ελευθερίου και Ειρήνης</t>
  </si>
  <si>
    <t>011390324006/0/1</t>
  </si>
  <si>
    <t>Sfbk3RAvRv</t>
  </si>
  <si>
    <t>Αποθηκευτικός χώρος 132 τ.μ. - 50% ψιλή κυριότητα</t>
  </si>
  <si>
    <t>40.657051486290000,22.92476355295780</t>
  </si>
  <si>
    <t>Νικολάου Πλατήρα 24 &amp;Μεγάλου Αλεξάνδρου 62</t>
  </si>
  <si>
    <t>Αποθηκευτικός Χώρος</t>
  </si>
  <si>
    <t>ΔΗΜΗΤΡΙΟΣ ΠΑΝΑΓΙΩΤΙΔΗΣ του Ελευθερίου και της Ιωάννας</t>
  </si>
  <si>
    <t>190111311013/0/1</t>
  </si>
  <si>
    <t>dlm9pCm5AT</t>
  </si>
  <si>
    <t>40.52811457698920,22.201497204291900</t>
  </si>
  <si>
    <t>Κεντρικής 190 &amp; Λυκούργου</t>
  </si>
  <si>
    <t>ΜΠΑΚΟΛΑΣ  ΓΕΩΡΓΙΟΣ του Αθανασίου και της Ελισσάβετ</t>
  </si>
  <si>
    <t>160081011001/0/4</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</si>
  <si>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</si>
  <si>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</si>
  <si>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</si>
  <si>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</si>
  <si>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</si>
  <si>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</si>
  <si>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</si>
  <si>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</si>
  <si>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</si>
  <si>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</si>
  <si>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0GTZlNUS8K</t>
  </si>
  <si>
    <t>Μονοκατοικία 122 τ.μ. με βοηθητικό χώρο 48 τ.μ.</t>
  </si>
  <si>
    <t>37.811029491049300,23.974308465935500</t>
  </si>
  <si>
    <t>Ποσειδώνος 8</t>
  </si>
  <si>
    <t>Σίνης Σταμάτιος</t>
  </si>
  <si>
    <t>050670142002/0/0</t>
  </si>
  <si>
    <t>3la35AgrEo</t>
  </si>
  <si>
    <t>40.272877466180100,22.520671738348700</t>
  </si>
  <si>
    <t>Αυγουστίνου 21</t>
  </si>
  <si>
    <t>ΕΛΕΝΗ ΜΕΛΕΤΙΔΟΥ - ΠΙΠΕΡΙΔΟΥ</t>
  </si>
  <si>
    <t>390192724011/0/40</t>
  </si>
  <si>
    <t>PTdGM0HpxG</t>
  </si>
  <si>
    <t>Κατάστημα 74 τ.μ. με πατάρι 37 τ.μ.</t>
  </si>
  <si>
    <t>41.13095136921050,24.887036925840100</t>
  </si>
  <si>
    <t>Αθανασίου Διάκου 44</t>
  </si>
  <si>
    <t>ΠΑΡΘΕΝΑ ΤΣΙΡΑΚΙΔΟΥ</t>
  </si>
  <si>
    <t>370262007007/0/1</t>
  </si>
  <si>
    <t>SEHyjbVSqV</t>
  </si>
  <si>
    <t>Διαμέρισμα 75 τ.μ. και θέση στάθμευσης</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</si>
  <si>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</si>
  <si>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</si>
  <si>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</si>
  <si>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</si>
  <si>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</si>
  <si>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</si>
  <si>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</si>
  <si>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</si>
  <si>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</si>
  <si>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</si>
  <si>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</si>
  <si>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</si>
  <si>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</si>
  <si>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</si>
  <si>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</si>
  <si>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</si>
  <si>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</si>
  <si>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</si>
  <si>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</si>
  <si>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</si>
  <si>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</si>
  <si>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</si>
  <si>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</si>
  <si>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</si>
  <si>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</si>
  <si>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</si>
  <si>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</si>
  <si>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</si>
  <si>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g2A8VfGOV2-006</t>
  </si>
  <si>
    <t>050092132003/0/12</t>
  </si>
  <si>
    <t>g2A8VfGOV2-001</t>
  </si>
  <si>
    <t>Κατάστημα με πατάρι 140 τ.μ.</t>
  </si>
  <si>
    <t>050092132003/0/3</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</si>
  <si>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</si>
  <si>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</si>
  <si>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</si>
  <si>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</si>
  <si>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</si>
  <si>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</si>
  <si>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Nd1NiXiYrN</t>
  </si>
  <si>
    <t>Διαμέρισμα 104 τ.μ. και αποθήκη</t>
  </si>
  <si>
    <t>39.32006236025050,22.24273667479000</t>
  </si>
  <si>
    <t>ΚΙΟΥΛΑΧΟΓΛΟΥ ΓΕΩΡΓΙΟΣ του Σταύρου και της Δέσποινας</t>
  </si>
  <si>
    <t>311410203006/0/2</t>
  </si>
  <si>
    <t>MDwiTkag49</t>
  </si>
  <si>
    <t>35.5145139964234,24.025742395382500</t>
  </si>
  <si>
    <t>Αθηνών, Ελευθερίου Βενιζέλου, Δωδεκανήσου &amp; Κύπρου</t>
  </si>
  <si>
    <t>ΜΑΡΙΝΑΚΗΣ ΔΗΜΗΤΡΙΟΣ</t>
  </si>
  <si>
    <t>501503214001/0/8</t>
  </si>
  <si>
    <t>kMPDQU9sv4</t>
  </si>
  <si>
    <t>Μονοκατοικία 104 τ.μ.</t>
  </si>
  <si>
    <t>37.83377892164520,23.819792034896300</t>
  </si>
  <si>
    <t>Αθανασίου Διάκου 89 &amp; Μεσσήνης</t>
  </si>
  <si>
    <t>ΔΑΣΚΑΛΑΚΗ Ελένη</t>
  </si>
  <si>
    <t>050301108051/0/0</t>
  </si>
  <si>
    <t>9pfMxBF97l</t>
  </si>
  <si>
    <t>39.51620994595160,21.950012448859500</t>
  </si>
  <si>
    <t>Τριανταφυλλιά χήρα Ευαγγέλου Τσινανη ή Γιωτα, το γένος Αστερίου και Γεωργίας Βασιλάκου</t>
  </si>
  <si>
    <t>221150807008/0/2</t>
  </si>
  <si>
    <t>4rAVB14uyn</t>
  </si>
  <si>
    <t>Μονοκατοικία 113 τ.μ.</t>
  </si>
  <si>
    <t>39.337216601726500,22.098192583582500</t>
  </si>
  <si>
    <t>Θεόδωρου Αναγνώστη 4</t>
  </si>
  <si>
    <t>Γεώργιος ΦΡΑΓΚΟΠΟΥΛΟΣ του Αποστόλου και της Ναυσικάς</t>
  </si>
  <si>
    <t>221330482004/0/0</t>
  </si>
  <si>
    <t>Vec3dur6mZ</t>
  </si>
  <si>
    <t>40.511641465225000,22.20561679410050</t>
  </si>
  <si>
    <t>Έκτορος 9</t>
  </si>
  <si>
    <t>ΧΑΤΖΗΣ ΚΩΝΣΤΑΝΤΙΝΟΣ ΤΟΥ ΓΕΩΡΓΙΟΥ</t>
  </si>
  <si>
    <t>160081728004/0/22</t>
  </si>
  <si>
    <t>1Hpli0IEAR-001</t>
  </si>
  <si>
    <t>1Hpli0IEAR</t>
  </si>
  <si>
    <t>37.92234724243440,23.71318662605680</t>
  </si>
  <si>
    <t>Πλατεία Φιλικής Εταιρείας &amp; Θερμοπυλών 1</t>
  </si>
  <si>
    <t>ΚΟΡΖΗΣ Ηλίας||ΜΑΡΜΑΡΙΝΟΥ (MARMARINOS) Αικατερίνη</t>
  </si>
  <si>
    <t>034569823||044329675</t>
  </si>
  <si>
    <t>1Hpli0IEAR-002</t>
  </si>
  <si>
    <t>pCvPahwXT4-002</t>
  </si>
  <si>
    <t>pCvPahwXT4</t>
  </si>
  <si>
    <t>Γραφείο 10 τ.μ.</t>
  </si>
  <si>
    <t>40.52071323686450,22.201432961014600</t>
  </si>
  <si>
    <t>Μητροπόλεως 12 &amp; Ελευθερίας</t>
  </si>
  <si>
    <t>ΘΕΟΧΑΡΗΣ ΚΑΓΚΕΛΙΔΗΣ ΤΟΥ ΝΙΚΗΦΟΡΟΥ</t>
  </si>
  <si>
    <t>160081317004/0/35</t>
  </si>
  <si>
    <t>pCvPahwXT4-001</t>
  </si>
  <si>
    <t>Γραφείο 47 τ.μ.</t>
  </si>
  <si>
    <t>160081317004/0/34</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</si>
  <si>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</si>
  <si>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</si>
  <si>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</si>
  <si>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</si>
  <si>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</si>
  <si>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</si>
  <si>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TI8DONFFQs</t>
  </si>
  <si>
    <t>38.21768860294710,21.738294997135700</t>
  </si>
  <si>
    <t>Ευβοίας 171</t>
  </si>
  <si>
    <t>ΚΑΛΟΜΟΙΡΗ ΚΥΡΙΑΚΟΥΛΑ του Επαμεινώνδα και της Άννας</t>
  </si>
  <si>
    <t>061671401001/0/375</t>
  </si>
  <si>
    <t>t1YH3DfOcy</t>
  </si>
  <si>
    <t>Διαμέρισμα 63 τ.μ. - ψιλή κυριότητα</t>
  </si>
  <si>
    <t>37.95451910509380,23.632227966280500</t>
  </si>
  <si>
    <t>Θεσσαλονίκης 122Α</t>
  </si>
  <si>
    <t>ΚΑΛΙΠΤΣΟΓΛΟΥ Αικατερίνη</t>
  </si>
  <si>
    <t>051160611012/0/12</t>
  </si>
  <si>
    <t>9elAXGWBZK</t>
  </si>
  <si>
    <t>Κατάστημα 81 τ.μ.</t>
  </si>
  <si>
    <t>38.05734836481740,23.82832550282190</t>
  </si>
  <si>
    <t>Μενάνδρου 7</t>
  </si>
  <si>
    <t>ΣΟΦΙΑ ΠΡΕΝΤΖΑ</t>
  </si>
  <si>
    <t>050140511015/2/3</t>
  </si>
  <si>
    <t>3sI6XZuAvp</t>
  </si>
  <si>
    <t>Μεζονέτα 163 τ.μ.</t>
  </si>
  <si>
    <t>38.02416489853070,23.804685773162600</t>
  </si>
  <si>
    <t>Ηρώδου Αττικού 34 &amp; Λεωφόρος Πεντέλης 31</t>
  </si>
  <si>
    <t>ΣΙΔΕΡΗ-ΚΑΘΡΕΠΤΗ ΑΙΚΑΤΕΡΙΝΗ</t>
  </si>
  <si>
    <t>051471201002/0/20</t>
  </si>
  <si>
    <t>JfLGirUGiu</t>
  </si>
  <si>
    <t>Διαμέρισμα 121 τ.μ.</t>
  </si>
  <si>
    <t>37.666444457979500,21.42474145804510</t>
  </si>
  <si>
    <t>Καταραχίου</t>
  </si>
  <si>
    <t>Χαράλαμπου Βαλσαμίδη του Στυλιανού και της Δήμητρας</t>
  </si>
  <si>
    <t>151776306014/0/4</t>
  </si>
  <si>
    <t>m7LFrp47ia</t>
  </si>
  <si>
    <t>38.014607514176400,23.722886419012600</t>
  </si>
  <si>
    <t>Πανταζίδου 12-14</t>
  </si>
  <si>
    <t>ΒΑΣΙΛΕΙΟΥ Παναγιώτης του Γεωργίου και της Αγορίτσας,</t>
  </si>
  <si>
    <t>050091039002/0/47</t>
  </si>
  <si>
    <t>VPKrNKrLXw</t>
  </si>
  <si>
    <t>Αριστοτέλους 41</t>
  </si>
  <si>
    <t>ΜΑΝΤΕΛΛΟΣ ΟΔΥΣΣΕΑΣ του ΓΕΩΡΓΙΟΥ και της ΒΑΡΒΑΡΑΣ</t>
  </si>
  <si>
    <t>040101111031/0/3</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</si>
  <si>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</si>
  <si>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</si>
  <si>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</si>
  <si>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</si>
  <si>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</si>
  <si>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</si>
  <si>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ugYLClJeJN</t>
  </si>
  <si>
    <t>37.935599,23.700566</t>
  </si>
  <si>
    <t>Ασκληπιού 2 &amp; Λακωνίας</t>
  </si>
  <si>
    <t>ΒΑΣΙΛΕΙΟΣ ΠΑΠΑΛΕΞΗΣ</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</si>
  <si>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</si>
  <si>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</si>
  <si>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</si>
  <si>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</si>
  <si>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</si>
  <si>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</si>
  <si>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</si>
  <si>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</si>
  <si>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</si>
  <si>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</si>
  <si>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</si>
  <si>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</si>
  <si>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fKBBt2F4Hu-002</t>
  </si>
  <si>
    <t>240541808023/0/4</t>
  </si>
  <si>
    <t>yfwhcAtsqB</t>
  </si>
  <si>
    <t>Βιοτεχνικό κτήριο 514 τ.μ.</t>
  </si>
  <si>
    <t>37.38971705588440,23.181427264894100</t>
  </si>
  <si>
    <t>Επαρχιακή οδός Κρανιδίου - Ερμιόνης</t>
  </si>
  <si>
    <t>ΔΗΜΗΤΡΙΟΣ ΣΟΦΙΚΙΤΗΣ</t>
  </si>
  <si>
    <t>020384103011/0/0</t>
  </si>
  <si>
    <t>Κατάστημα 24 τ.μ.</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</si>
  <si>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</si>
  <si>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</si>
  <si>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</si>
  <si>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</si>
  <si>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</si>
  <si>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</si>
  <si>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</si>
  <si>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7CUODihKPJ</t>
  </si>
  <si>
    <t>38.00993938817850,23.75262333365720</t>
  </si>
  <si>
    <t>Φιλαρέτου 24</t>
  </si>
  <si>
    <t>ΜΑΡΙΑ ΦΛΩΡΑΚΑ</t>
  </si>
  <si>
    <t>050381027015/0/11</t>
  </si>
  <si>
    <t>ZGxFGHfTpe</t>
  </si>
  <si>
    <t>Κτήριο μεικτής χρήσης 238 τ.μ.</t>
  </si>
  <si>
    <t>Βασιλικό</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</si>
  <si>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</si>
  <si>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</si>
  <si>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</si>
  <si>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</si>
  <si>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</si>
  <si>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</si>
  <si>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</si>
  <si>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</si>
  <si>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</si>
  <si>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</si>
  <si>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</si>
  <si>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aG6x9Z3cDD</t>
  </si>
  <si>
    <t>Μεζονέτα 190 τ.μ.</t>
  </si>
  <si>
    <t>40.275681747103000,22.501053374182000</t>
  </si>
  <si>
    <t>Αργυροκάστρου 6</t>
  </si>
  <si>
    <t>ΔΗΜΗΤΡΙΟΣ ΛΑΖΟΠΟΥΛΟΣ||ΣΕΒΑΣΤΗ ΛΑΖΟΠΟΥΛΟΥ</t>
  </si>
  <si>
    <t>018199788||041232024</t>
  </si>
  <si>
    <t>390192103010/6/0</t>
  </si>
  <si>
    <t>aekYJWhHHr</t>
  </si>
  <si>
    <t>38.435003331705000,22.87631517274820</t>
  </si>
  <si>
    <t>Πλουτάρχου 25</t>
  </si>
  <si>
    <t>ΚΡΙΚΟΣ ΕΥΣΤΑΘΙΟΣ ΤΟΥ ΙΩΑΝΝΗ ΚΑΙ ΑΙΚΑΤΕΡΙΝΗΣ</t>
  </si>
  <si>
    <t>070420937008/0/2</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</si>
  <si>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</si>
  <si>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</si>
  <si>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</si>
  <si>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</si>
  <si>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</si>
  <si>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</si>
  <si>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Mdm6Zdf8Gh-002</t>
  </si>
  <si>
    <t>40.94809254211770,23.505763165911600</t>
  </si>
  <si>
    <t>440190237001/0/0</t>
  </si>
  <si>
    <t>pNY0Kyrao0</t>
  </si>
  <si>
    <t>Βελβεντός</t>
  </si>
  <si>
    <t>Σερβίων - Βελβεντού</t>
  </si>
  <si>
    <t>40.25551226172350,22.07923006237880</t>
  </si>
  <si>
    <t>ΔΗΜΗΤΡΙΟΣ ΚΑΡΑΓΚΙΩΖΗΣ του ΕΥΘΥΜΙΟΥ και της ΤΡΙΑΝΤΑΦΥΛΛΙΑΣ</t>
  </si>
  <si>
    <t>270240813013/0/1</t>
  </si>
  <si>
    <t>xFH4avv144</t>
  </si>
  <si>
    <t>Μονοκατοικία 132 τ.μ. με αποθήκη</t>
  </si>
  <si>
    <t>41.49915230936730,26.52731521771590</t>
  </si>
  <si>
    <t>Ορφέως</t>
  </si>
  <si>
    <t>Κωνσταντίνος Μπαντής</t>
  </si>
  <si>
    <t>110542124003/0/0</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</si>
  <si>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</si>
  <si>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</si>
  <si>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</si>
  <si>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</si>
  <si>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</si>
  <si>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</si>
  <si>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</si>
  <si>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</si>
  <si>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</si>
  <si>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</si>
  <si>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</si>
  <si>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</si>
  <si>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AFvbcQFCi5</t>
  </si>
  <si>
    <t>Καταστήματα 205 τ.μ.</t>
  </si>
  <si>
    <t>35.51750,23.91053</t>
  </si>
  <si>
    <t>Παλαιά Εθνική Οδός Χανίων-Κισάμου</t>
  </si>
  <si>
    <t>ΙΩΣΗΦ ΣΥΡΟΚΑΚΗΣ του Κυριάκου</t>
  </si>
  <si>
    <t>VJRysoE2wV</t>
  </si>
  <si>
    <t>Επαγγελματικό κτήριο 446 τ.μ.</t>
  </si>
  <si>
    <t>Μάνδρα</t>
  </si>
  <si>
    <t>Μάνδρας - Ειδυλλίας</t>
  </si>
  <si>
    <t>38.07459867635860,23.497107233489300</t>
  </si>
  <si>
    <t>Βασίλειου Λάσκου 4</t>
  </si>
  <si>
    <t>ΝΙΚΟΛΑΟΣ ΜΑΡΟΥΓΚΑΣ του Μελετίου και της Ορσιας</t>
  </si>
  <si>
    <t>050864202001/0/0</t>
  </si>
  <si>
    <t>jNofFcaXaw</t>
  </si>
  <si>
    <t>Άντισσα</t>
  </si>
  <si>
    <t>39.233928,25.979670</t>
  </si>
  <si>
    <t>ΕΜΜΑΝΟΥΗΛ ΤΣΑΚΙΡΗΣ</t>
  </si>
  <si>
    <t>Κάτω Γούβες</t>
  </si>
  <si>
    <t>Χερσονήσου</t>
  </si>
  <si>
    <t>Κατάστημα 50 τ.μ.</t>
  </si>
  <si>
    <t>Ζευγολατειό</t>
  </si>
  <si>
    <t>J5PNWKgG6U-001</t>
  </si>
  <si>
    <t>J5PNWKgG6U</t>
  </si>
  <si>
    <t>40.66344584819210,23.113655561587700</t>
  </si>
  <si>
    <t>Αθανάσιος Χατζηχρήστου του Παναγιώτη</t>
  </si>
  <si>
    <t>190060219003/0/4</t>
  </si>
  <si>
    <t>J5PNWKgG6U-002</t>
  </si>
  <si>
    <t>Αποθήκη 121 τ.μ.</t>
  </si>
  <si>
    <t>190060219003/0/2</t>
  </si>
  <si>
    <t>egt61juk0X</t>
  </si>
  <si>
    <t>37.02984608353050,22.115421694376700</t>
  </si>
  <si>
    <t>Βύρωνος 103</t>
  </si>
  <si>
    <t>Παναγιώτης Ζέρβας του Σωτηρίου</t>
  </si>
  <si>
    <t>360881921011/0/2</t>
  </si>
  <si>
    <t>bGtN2n67DV</t>
  </si>
  <si>
    <t>Διαμέρισμα 66 τ.μ</t>
  </si>
  <si>
    <t>37.9775734086942,22.98120314080520</t>
  </si>
  <si>
    <t>Καραϊσκάκη 14 &amp; Λέκκα 51</t>
  </si>
  <si>
    <t>ΚΟΥΡΤΗΣ Παναγιώτης του Ιωάννη και της Ελένης</t>
  </si>
  <si>
    <t>280670210004/0/2</t>
  </si>
  <si>
    <t>ANEk8biHT5</t>
  </si>
  <si>
    <t>Μονοκατοικία 135 τ.μ.</t>
  </si>
  <si>
    <t>41.00724833880860,22.79145817878130</t>
  </si>
  <si>
    <t>ΝΙΚΟΛΑΟΣ ΑΝΑΣΤΑΣΙΑΔΗΣ ΤΟΥ ΚΟΣΜΑ ΚΑΙ ΤΗΣ ΑΝΔΡΟΜΑΧΗΣ</t>
  </si>
  <si>
    <t>260440124010/0/0</t>
  </si>
  <si>
    <t>16gDxoDY3B</t>
  </si>
  <si>
    <t>Διαμέρισμα 97 τ.μ. - ψιλή κυριότητα</t>
  </si>
  <si>
    <t>38.903942914917800,22.372240065814000</t>
  </si>
  <si>
    <t>ΚΩΣΤΑΚΗΣ Χρήστος του Δημητρίου και της Καλυψώς</t>
  </si>
  <si>
    <t>461670308031/1/1</t>
  </si>
  <si>
    <t>P7WI24jkfq</t>
  </si>
  <si>
    <t>38.031457645082,23.697630477067300</t>
  </si>
  <si>
    <t>Μακρυγιάννη 46 &amp; Α’ Παρόδος 5</t>
  </si>
  <si>
    <t>ΤΑΒΙΑΝΑΤΟΥ - ΡΟΥΜΕΛΙΩΤΗ ΠΑΡΑΣΚΕΥΗ</t>
  </si>
  <si>
    <t>050571508008/0/1</t>
  </si>
  <si>
    <t>HvxDex5E6p</t>
  </si>
  <si>
    <t>Ημιτελές κτήριο κατοικιών 260 τ.μ.</t>
  </si>
  <si>
    <t>Βεργίνα</t>
  </si>
  <si>
    <t>40.48308724639360,22.320157768627800</t>
  </si>
  <si>
    <t>ΛΑΖΟΠΟΥΛΟΣ ΑΝΤΩΝΙΟΣ ΤΟΥ ΚΩΝ/ΝΟΥ</t>
  </si>
  <si>
    <t>160070592019/0/0</t>
  </si>
  <si>
    <t>t0nSNDbroD</t>
  </si>
  <si>
    <t>Μονοκατοικία 157 τ.μ.</t>
  </si>
  <si>
    <t>39.66836151794120,20.845541735933800</t>
  </si>
  <si>
    <t>Μελετίου Γεωγράφου 5</t>
  </si>
  <si>
    <t>ΟΛΓΑ ΒΑΓΓΕΛΗ-ΣΟΛΟΜΩΝΙΔΟΥ</t>
  </si>
  <si>
    <t>201191408100/0/0</t>
  </si>
  <si>
    <t>oKT6dilsP2</t>
  </si>
  <si>
    <t>38.24871416920340,22.076006713816600</t>
  </si>
  <si>
    <t>Ρούβαλη 60</t>
  </si>
  <si>
    <t>ΚΩΝΣΤΑΝΤΙΝΟΣ ΝΙΚΟΛΟΠΟΥΛΟΣ</t>
  </si>
  <si>
    <t>7LVgKV9Xq6</t>
  </si>
  <si>
    <t>Μονοκατοικία 160 τ.μ.</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</si>
  <si>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</si>
  <si>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</si>
  <si>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</si>
  <si>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</si>
  <si>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</si>
  <si>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JcdCR0l9iv-001</t>
  </si>
  <si>
    <t>39.096147582240900,26.549748271038100</t>
  </si>
  <si>
    <t>Ιωσήφ Μαύρου 5</t>
  </si>
  <si>
    <t>330561814006/2/2</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</si>
  <si>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</si>
  <si>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</si>
  <si>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</si>
  <si>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</si>
  <si>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</si>
  <si>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</si>
  <si>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V8VaiUmudk</t>
  </si>
  <si>
    <t>Ημιτελής μονοκατοικία 107 τ.μ. με αποθήκες 142 τ.μ.</t>
  </si>
  <si>
    <t>41.07042547215130,25.073405955915400</t>
  </si>
  <si>
    <t>Σέλινο</t>
  </si>
  <si>
    <t>Τζεβάτ (ον) Ρασήμ Ογλού (επ)</t>
  </si>
  <si>
    <t>370330138002/0/0</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</si>
  <si>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</si>
  <si>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</si>
  <si>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</si>
  <si>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</si>
  <si>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</si>
  <si>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</si>
  <si>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</si>
  <si>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</si>
  <si>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</si>
  <si>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</si>
  <si>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</si>
  <si>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0YdqnlHm6G</t>
  </si>
  <si>
    <t>Ημιτελές διαμέρισμα 90 τ.μ.</t>
  </si>
  <si>
    <t>38.04521124328880,23.709954656985700</t>
  </si>
  <si>
    <t>Βέρροιας και Αγίου Διονυσίου &amp; Αριστοφάνους,</t>
  </si>
  <si>
    <t>ΠΑΝΤΕΛΗΣ ΓΑΡΙΝΗΣ</t>
  </si>
  <si>
    <t>050575110007/0/3</t>
  </si>
  <si>
    <t>wrtj4ddeCq</t>
  </si>
  <si>
    <t>37.99063021612140,23.668865707555700</t>
  </si>
  <si>
    <t>Αναστασίου Παπούλα 74</t>
  </si>
  <si>
    <t>ΚΑΛΟΜΟΙΡΗ Ελένη</t>
  </si>
  <si>
    <t>050113103004/1/3</t>
  </si>
  <si>
    <t>fABoREPEqM</t>
  </si>
  <si>
    <t>35.33499090210700,25.14195473589310</t>
  </si>
  <si>
    <t>Λεωφόρος Εθνικής Αντιστάσεως 134</t>
  </si>
  <si>
    <t>ΝΟΥΚΑ ΣΟΦΙΑ του Αντωνίου και της Τριανταφυλλιάς</t>
  </si>
  <si>
    <t>170631982006/0/4</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</si>
  <si>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</si>
  <si>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</si>
  <si>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</si>
  <si>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</si>
  <si>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</si>
  <si>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</si>
  <si>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</si>
  <si>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</si>
  <si>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</si>
  <si>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</si>
  <si>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</si>
  <si>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</si>
  <si>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GWxtHutnZW</t>
  </si>
  <si>
    <t>Μονοκατοικία 283 τ.μ. με θέση στάθμευσης</t>
  </si>
  <si>
    <t>Διόνυσος</t>
  </si>
  <si>
    <t>38.10263403078000,23.848759762551800</t>
  </si>
  <si>
    <t>Ιπποκράτους 26</t>
  </si>
  <si>
    <t>ΑΛΕΞΟΠΟΥΛΟΥ Ελένη</t>
  </si>
  <si>
    <t>050440110014/2/0</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</si>
  <si>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</si>
  <si>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</si>
  <si>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</si>
  <si>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</si>
  <si>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</si>
  <si>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</si>
  <si>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QfSfRHmJge</t>
  </si>
  <si>
    <t>40.64713803068080,22.950014662790300</t>
  </si>
  <si>
    <t>Ζαΐμη  4</t>
  </si>
  <si>
    <t>Ιωάννης ΜΑΥΡΟΜΑΤΗΣ του Γεωργίου και της Αναστασίας</t>
  </si>
  <si>
    <t>191140629003/0/3</t>
  </si>
  <si>
    <t>UHEi8akKhF</t>
  </si>
  <si>
    <t>Καράτουλας</t>
  </si>
  <si>
    <t>37.78276539442520,21.560560874810000</t>
  </si>
  <si>
    <t>Μουζάκι</t>
  </si>
  <si>
    <t>ΑΝΑΣΤΑΣΟΠΟΥΛΟΣ ΔΗΜΗΤΡΙΟΣ του Διονυσίου και της Γερακίνας</t>
  </si>
  <si>
    <t>151430618017/0/0</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</si>
  <si>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</si>
  <si>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</si>
  <si>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</si>
  <si>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</si>
  <si>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</si>
  <si>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</si>
  <si>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</si>
  <si>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bNmIKCyPFV</t>
  </si>
  <si>
    <t>Μονοκατοικία 70 τ.μ. με αποθήκη 60 τ.μ.</t>
  </si>
  <si>
    <t>38.28035303178500,23.7915714827969</t>
  </si>
  <si>
    <t>Ταξιαρχών 2, Μήλεσι</t>
  </si>
  <si>
    <t>ΣΚΟΥΡΑΣ ΝΙΚΟΛΑΟΣ</t>
  </si>
  <si>
    <t>050851008007/0/0</t>
  </si>
  <si>
    <t>YwoxgFbfWy</t>
  </si>
  <si>
    <t>Διαμέρισμα 92 τ.μ. με θέση στάθμευσης</t>
  </si>
  <si>
    <t>Βούλα</t>
  </si>
  <si>
    <t>37.84513897001720,23.77724592567920</t>
  </si>
  <si>
    <t>Κολοκοτρώνη 5</t>
  </si>
  <si>
    <t>ΕΛΕΝΗ ΜΙΧΑΛΕΤΟΥ-ΚΟΜΗΝΟΥ</t>
  </si>
  <si>
    <t>050331210007/0/3</t>
  </si>
  <si>
    <t>gbylbB9snM</t>
  </si>
  <si>
    <t>38.25073950520910,21.746600187478200</t>
  </si>
  <si>
    <t>Σηλυβρίας 8</t>
  </si>
  <si>
    <t>ΑΡΙΣΤΕΙΔΗΣ ΞΕΝΟΥΛΗΣ του ΑΘΑΝΑΣΙΟΥ και της ΛΑΜΠΡΙΝΗΣ</t>
  </si>
  <si>
    <t>061673736003/0/2</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</si>
  <si>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</si>
  <si>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</si>
  <si>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</si>
  <si>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</si>
  <si>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</si>
  <si>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</si>
  <si>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</si>
  <si>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</si>
  <si>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</si>
  <si>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</si>
  <si>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</si>
  <si>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</si>
  <si>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</si>
  <si>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BCY0WPcp1n</t>
  </si>
  <si>
    <t>Γραφείο 23 τ.μ.</t>
  </si>
  <si>
    <t>38.46597014833250,23.59496660044790</t>
  </si>
  <si>
    <t>Τσιριγώτη &amp; Επιμενίδου</t>
  </si>
  <si>
    <t>Ασημένια ΖΗΣΙΜΟΥ του Νικολάου και της Σταματούλας</t>
  </si>
  <si>
    <t>121626505003/0/8</t>
  </si>
  <si>
    <t>MItDpUB7Om</t>
  </si>
  <si>
    <t>38.0298168997148,23.69854820860870</t>
  </si>
  <si>
    <t>Λεωφόρος Πετρουπόλεως 20 &amp; Κωνσταντίνου Τσαλδάρη</t>
  </si>
  <si>
    <t>Νικόλαος ΜΠΑΡΜΠΗΣ του Εμμανουήλ και της Κωστούλας</t>
  </si>
  <si>
    <t>050571513006/0/38</t>
  </si>
  <si>
    <t>QTnJj2WhO2</t>
  </si>
  <si>
    <t>37.95930517371820,23.635722331329600</t>
  </si>
  <si>
    <t>Γυθείου 89</t>
  </si>
  <si>
    <t>ΑΝΤΩΝΙΑ ΘΑΝΟΥ-ΒΑΒΒΑΔΑΚΗ ή και ΒΑΒΑΔΑΚΗ</t>
  </si>
  <si>
    <t>051160802006/0/1</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</si>
  <si>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</si>
  <si>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</si>
  <si>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</si>
  <si>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</si>
  <si>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</si>
  <si>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ki8k6u3Jql</t>
  </si>
  <si>
    <t>Κτήριο κατοικιών 149 τ.μ.</t>
  </si>
  <si>
    <t>38.42448244950070,23.889617845943100</t>
  </si>
  <si>
    <t>Θέση Άγιος Ανδρέας, Καλλιθέα</t>
  </si>
  <si>
    <t>ΜΑΓΚΟΥΤΑΣ ΙΩΑΝΝΗΣ ΤΟΥ ΛΑΜΠΡΟΥ</t>
  </si>
  <si>
    <t>120670417001/0/0</t>
  </si>
  <si>
    <t>1cJWRXFcI5-001</t>
  </si>
  <si>
    <t>Βιοτεχνικός χώρος 1.275 τ.μ. και μονοκατοικία 85 τ.μ.</t>
  </si>
  <si>
    <t>37.94633312656270,23.00155739677250</t>
  </si>
  <si>
    <t>Θέση Κλεφτοράχη-Κατουνίστρα</t>
  </si>
  <si>
    <t>280673627045/0/0</t>
  </si>
  <si>
    <t>tx46k0jUIJ</t>
  </si>
  <si>
    <t>40.65831640176090,22.924884702958100</t>
  </si>
  <si>
    <t>Ιπποκράτους &amp; 28ης Οκτωβρίου</t>
  </si>
  <si>
    <t>Παρασκευή Δημητριάδη</t>
  </si>
  <si>
    <t>190110213001/0/4</t>
  </si>
  <si>
    <t>uSNamWHPPp</t>
  </si>
  <si>
    <t>Διαμέρισμα 260 τ.μ. -50% εξ αδιαιρέτου</t>
  </si>
  <si>
    <t>37.87854127555570,23.766193714047700</t>
  </si>
  <si>
    <t>Αγησιλάου 113</t>
  </si>
  <si>
    <t>Μαρία ΛΕΝΤΖΟΥ</t>
  </si>
  <si>
    <t>050410840013/0/2</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</si>
  <si>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</si>
  <si>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</si>
  <si>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</si>
  <si>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</si>
  <si>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</si>
  <si>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</si>
  <si>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</si>
  <si>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</si>
  <si>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6Vdwa5wNBR</t>
  </si>
  <si>
    <t>38.03647278236140,23.774070428534200</t>
  </si>
  <si>
    <t>Κασταμονής 97 &amp; Δωδεκαννήσου</t>
  </si>
  <si>
    <t>Ελένη ΜΠΟΖΑΝΤΖΗ του Σταύρου και της Δήμητρας</t>
  </si>
  <si>
    <t>051000836002/2/4</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</si>
  <si>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</si>
  <si>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</si>
  <si>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</si>
  <si>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</si>
  <si>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</si>
  <si>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</si>
  <si>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Τήνος</t>
  </si>
  <si>
    <t>Τήνου</t>
  </si>
  <si>
    <t>mjiKnEpc1g</t>
  </si>
  <si>
    <t>Κτήριο κατοικιών 218 τ.μ.</t>
  </si>
  <si>
    <t>37.541085,25.195135</t>
  </si>
  <si>
    <t>Θέση Πρίνος ή Εξηνταένι, Αγία Βαρβάρα</t>
  </si>
  <si>
    <t>ΜΕΡΜΗΓΚΑ ΜΑΡΙΑ του ΙΩΑΝΝΗ</t>
  </si>
  <si>
    <t>N17ihhOv9c</t>
  </si>
  <si>
    <t>Μονοκατοικία 223 τ.μ.</t>
  </si>
  <si>
    <t>39.48715315690370,21.714629534570200</t>
  </si>
  <si>
    <t>Μουριά</t>
  </si>
  <si>
    <t>ΚΑΤΣΙΚΑΣ ΝΙΚΟΛΑΟΣ του Στεφάνου και της Κυράτσως</t>
  </si>
  <si>
    <t>450850131013/0/0</t>
  </si>
  <si>
    <t>RAvJepTV6X-002</t>
  </si>
  <si>
    <t>RAvJepTV6X</t>
  </si>
  <si>
    <t>Κτήριο διαμερισμάτων 419 τ.μ.</t>
  </si>
  <si>
    <t>Νεροκούρος</t>
  </si>
  <si>
    <t>35.494783969263500,24.025044572829300</t>
  </si>
  <si>
    <t>Κωνσταντίνου Κουντουράκη 8, Κόκκινο Μετόχι</t>
  </si>
  <si>
    <t>500940911055/0/0</t>
  </si>
  <si>
    <t>R8f7oMAxw8</t>
  </si>
  <si>
    <t>Ενοικιαζόμενα δωμάτια 600 τ.μ.</t>
  </si>
  <si>
    <t>35.414436,24.781595</t>
  </si>
  <si>
    <t>Μπαλί</t>
  </si>
  <si>
    <t>ΜΑΡΑΓΚΟΥΔΑΚΗΣ ΑΝΔΡΕΑΣ του ΝΙΚΟΛΑΟΥ||ΚΟΤΣΙΑΜΠΑΣΗ ΑΝΑΣΤΑΣΙΑ του ΙΩΑΝΝΗ</t>
  </si>
  <si>
    <t>031124933||026498125</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</si>
  <si>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</si>
  <si>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</si>
  <si>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</si>
  <si>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</si>
  <si>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</si>
  <si>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</si>
  <si>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</si>
  <si>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</si>
  <si>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</si>
  <si>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</si>
  <si>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</si>
  <si>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</si>
  <si>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DJe70BlVPw-002</t>
  </si>
  <si>
    <t>DJe70BlVPw</t>
  </si>
  <si>
    <t>38.00022658646610,23.803499097952900</t>
  </si>
  <si>
    <t>Σύρου 18</t>
  </si>
  <si>
    <t>ΣΤΕΡΠΗ ΚΩΝΣΤΑΝΤΙΝΑ ΤΟΥ ΗΛΙΑ ΚΑΙ ΤΗΣ ΧΡΙΣΤΙΝΑΣ</t>
  </si>
  <si>
    <t>051480411003/0/11</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</si>
  <si>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</si>
  <si>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</si>
  <si>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</si>
  <si>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</si>
  <si>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</si>
  <si>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</si>
  <si>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</si>
  <si>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JfBIMGffLv-002</t>
  </si>
  <si>
    <t>Κατάστημα 69 τ.μ.</t>
  </si>
  <si>
    <t>050096831005/0/2</t>
  </si>
  <si>
    <t>JfBIMGffLv-001</t>
  </si>
  <si>
    <t>Γραφείο 73 τ.μ.</t>
  </si>
  <si>
    <t>050096831005/0/3</t>
  </si>
  <si>
    <t>DJe70BlVPw-001</t>
  </si>
  <si>
    <t>Διαμέρισμα 115 τ.μ. με θέση στάθμευσης</t>
  </si>
  <si>
    <t>051480411003/0/18</t>
  </si>
  <si>
    <t>OuPntGybPq</t>
  </si>
  <si>
    <t>Μονοκατοικία 203 τ.μ. με χώρο στάθμευσης</t>
  </si>
  <si>
    <t>38.098403714035900,23.978738561677900</t>
  </si>
  <si>
    <t>Λεωφόρος Ποσειδώνος 67</t>
  </si>
  <si>
    <t>ΠΑΠΑΧΡΙΣΤΟΔΟΥΛΟΥ Αντώνιος||ΧΑΤΖΙΝΑ-ΠΑΠΑΧΡΙΣΤΟΔΟΥΛΟΥ Σαλονικιά</t>
  </si>
  <si>
    <t>021387842||062195800</t>
  </si>
  <si>
    <t>051010515040/0/0</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</si>
  <si>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</si>
  <si>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</si>
  <si>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</si>
  <si>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</si>
  <si>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</si>
  <si>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</si>
  <si>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</si>
  <si>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</si>
  <si>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</si>
  <si>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bkasacsCDl</t>
  </si>
  <si>
    <t>38.08504537926930,23.721058534470100</t>
  </si>
  <si>
    <t>Αθηνάς Υγείας 100</t>
  </si>
  <si>
    <t>ΑΝΔΡΕΟΠΟΥΛΟΣ Ανδρέας</t>
  </si>
  <si>
    <t>050285314001/0/529</t>
  </si>
  <si>
    <t>KLnpbThqGv-005</t>
  </si>
  <si>
    <t>KLnpbThqGv</t>
  </si>
  <si>
    <t>37.96086016845340,23.671454644679100</t>
  </si>
  <si>
    <t>Νάξου 15Γ &amp; Μιχαήλ Σταυράκη</t>
  </si>
  <si>
    <t>ΑΝΑΣΤΑΣΙΑ ΡΟΥΣΕΛΗ</t>
  </si>
  <si>
    <t>050041806002/5/45</t>
  </si>
  <si>
    <t>KLnpbThqGv-002</t>
  </si>
  <si>
    <t>050041806002/5/42</t>
  </si>
  <si>
    <t>KLnpbThqGv-004</t>
  </si>
  <si>
    <t>Κατάστημα 48 τ.μ.</t>
  </si>
  <si>
    <t>050041806002/5/44</t>
  </si>
  <si>
    <t>KLnpbThqGv-007</t>
  </si>
  <si>
    <t>050041806002/5/47</t>
  </si>
  <si>
    <t>KLnpbThqGv-001</t>
  </si>
  <si>
    <t>Κατάστημα 25 τ.μ.</t>
  </si>
  <si>
    <t>050041806002/5/41</t>
  </si>
  <si>
    <t>KLnpbThqGv-003</t>
  </si>
  <si>
    <t>050041806002/5/43</t>
  </si>
  <si>
    <t>KLnpbThqGv-006</t>
  </si>
  <si>
    <t>050041806002/5/46</t>
  </si>
  <si>
    <t>ZmBoWpAJSl</t>
  </si>
  <si>
    <t>38.864374351342600,21.16293050329310</t>
  </si>
  <si>
    <t>Γεώργιος Καραφασούλης του Ευαγγέλου και της  Ακριβής</t>
  </si>
  <si>
    <t>010280214007/0/3</t>
  </si>
  <si>
    <t>LwORSPdIv5</t>
  </si>
  <si>
    <t>37.02416521568050,22.149897124070700</t>
  </si>
  <si>
    <t>Θέση Αγριώματα ή Ξηροκάμπια</t>
  </si>
  <si>
    <t>ΤΖΑΝΕΤΕΑΣ ΠΑΝΑΓΙΩΤΗΣ του Ευστρατίου</t>
  </si>
  <si>
    <t>360540410005/0/0</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</si>
  <si>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</si>
  <si>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</si>
  <si>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</si>
  <si>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</si>
  <si>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</si>
  <si>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mRuuZ5okkh-001</t>
  </si>
  <si>
    <t>050112408001/1/2</t>
  </si>
  <si>
    <t>xkeRfu9OZ2</t>
  </si>
  <si>
    <t>39.55466624039060,21.760605969887600</t>
  </si>
  <si>
    <t>Μεγάλου Αλεξάνδρου &amp; Λιακατά</t>
  </si>
  <si>
    <t>ΒΑΣΙΛΙΚΗ ΓΚΑΡΑΓΚΑΝΗ του Ιωάννη και της Έλλης</t>
  </si>
  <si>
    <t>451302907003/0/30</t>
  </si>
  <si>
    <t>VwVTCMIydk</t>
  </si>
  <si>
    <t>38.00708787942350,22.755538995638500</t>
  </si>
  <si>
    <t>Πέλοπος 2 &amp; Μεγάλου Αλεξάνδρου</t>
  </si>
  <si>
    <t>ΛΟΥΤΑΣ ΔΗΜΗΤΡΙΟΣ</t>
  </si>
  <si>
    <t>280980622015/0/1</t>
  </si>
  <si>
    <t>fjNU49jpt2</t>
  </si>
  <si>
    <t>Διαμέρισμα 15 τ.μ.</t>
  </si>
  <si>
    <t>Νέος Μαρμαράς</t>
  </si>
  <si>
    <t>Σιθωνίας</t>
  </si>
  <si>
    <t>40.094318680575600,23.979220841902600</t>
  </si>
  <si>
    <t>Σάρτη</t>
  </si>
  <si>
    <t>ΓΕΩΡΓΙΟΣ ΙΩΣΗΦΙΔΗΣ ΤΟΥ ΣΤΕΦΑΝΟΥ ΚΑΙ ΤΗΣ ΕΛΕΝΗΣ</t>
  </si>
  <si>
    <t>490630306008/0/8</t>
  </si>
  <si>
    <t>Νέα Μηχανιώνα</t>
  </si>
  <si>
    <t>8T0R9A5uNF</t>
  </si>
  <si>
    <t>Ημιτελές διαμέρισμα 167 τ.μ.</t>
  </si>
  <si>
    <t>40.30797851833020,22.542014860367200</t>
  </si>
  <si>
    <t>Πλατεία Ειρήνης &amp; Νάξου, Νέα Χράνη</t>
  </si>
  <si>
    <t>ΓΙΑΝΝΟΥΛΑ ΚΑΛΑΙΤΣΙΔΟΥ</t>
  </si>
  <si>
    <t>390197509001/0/2</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</si>
  <si>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</si>
  <si>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</si>
  <si>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</si>
  <si>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</si>
  <si>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</si>
  <si>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</si>
  <si>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</si>
  <si>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</si>
  <si>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</si>
  <si>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</si>
  <si>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G8W0ZvYlqP-007</t>
  </si>
  <si>
    <t>Ημιτελές διαμέρισμα 102 τ.μ.</t>
  </si>
  <si>
    <t>380120120002-0-13</t>
  </si>
  <si>
    <t>G8W0ZvYlqP-009</t>
  </si>
  <si>
    <t>Ημιτελές διαμέρισμα 75 τ.μ.</t>
  </si>
  <si>
    <t>380120120002-0-15</t>
  </si>
  <si>
    <t>G8W0ZvYlqP-002</t>
  </si>
  <si>
    <t>Ημιτελές κατάστημα 73 τ.μ.</t>
  </si>
  <si>
    <t>40.9774647262589,22.05912737830030</t>
  </si>
  <si>
    <t>380120120002/0/3</t>
  </si>
  <si>
    <t>G8W0ZvYlqP-010</t>
  </si>
  <si>
    <t>380120120002-0-16</t>
  </si>
  <si>
    <t>G8W0ZvYlqP-005</t>
  </si>
  <si>
    <t>380120120002-0-7</t>
  </si>
  <si>
    <t>G8W0ZvYlqP-001</t>
  </si>
  <si>
    <t>Ημιτελές κατάστημα 72 τ.μ.</t>
  </si>
  <si>
    <t>380120120002/0/2</t>
  </si>
  <si>
    <t>G8W0ZvYlqP-008</t>
  </si>
  <si>
    <t>380120120002-0-14</t>
  </si>
  <si>
    <t>G8W0ZvYlqP-003</t>
  </si>
  <si>
    <t>Ημιτελές κατάστημα 93 τ.μ.</t>
  </si>
  <si>
    <t>380120120002-0-4</t>
  </si>
  <si>
    <t>NdG7AnjGMA-001</t>
  </si>
  <si>
    <t>NdG7AnjGMA</t>
  </si>
  <si>
    <t>Κτήριο κατοικιών 720 τ.μ. - 25% εξ αδιαιρέτου</t>
  </si>
  <si>
    <t>40.58988920530520,23.021717867304500</t>
  </si>
  <si>
    <t>Γράμμου 16</t>
  </si>
  <si>
    <t>ΑΤΜΑΤΖΙΔΟΥ ΣΩΤΗΡΙΑ του ΜΙΧΑΗΛ</t>
  </si>
  <si>
    <t>190911102009/0/0</t>
  </si>
  <si>
    <t>NdG7AnjGMA-002</t>
  </si>
  <si>
    <t>ΑΤΜΑΤΖΙΔΟΥ ΘΕΟΧΑΡΟΥΛΑ του ΜΙΧΑΗΛ</t>
  </si>
  <si>
    <t>NdG7AnjGMA-003</t>
  </si>
  <si>
    <t>ΑΤΜΑΤΖΙΔΟΥ ΓΕΩΡΓΙΑ του ΜΙΧΑΗΛ</t>
  </si>
  <si>
    <t>NdG7AnjGMA-004</t>
  </si>
  <si>
    <t>ΑΤΜΑΤΖΙΔΟΥ ΑΝΔΡΟΝΙΚΗ του ΜΙΧΑΗΛ</t>
  </si>
  <si>
    <t>0xf</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</si>
  <si>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</si>
  <si>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</si>
  <si>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070770233||070770269||070770245||070770257</t>
  </si>
  <si>
    <t>QA08YPyZJe-001</t>
  </si>
  <si>
    <t>Κατάστημα 51 τ.μ. με πατάρι - ψιλή κυριότητα</t>
  </si>
  <si>
    <t>051220514004/0/1</t>
  </si>
  <si>
    <t>QA08YPyZJe-002</t>
  </si>
  <si>
    <t>Κατάστημα 121 τ.μ. με πατάρι - ψιλή κυριότητα</t>
  </si>
  <si>
    <t>051220514004/0/2</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</si>
  <si>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</si>
  <si>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</si>
  <si>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</si>
  <si>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</si>
  <si>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</si>
  <si>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</si>
  <si>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</si>
  <si>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Oact11F96l-002</t>
  </si>
  <si>
    <t>Κτήριο διαμερισμάτων 246 τ.μ. με χώρο στάθμευσης - επικαρπία</t>
  </si>
  <si>
    <t>ΕΛΙΣΣΑΙΟΣ ΠΑΡΙΑΝΟΣ</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</si>
  <si>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</si>
  <si>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</si>
  <si>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</si>
  <si>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</si>
  <si>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</si>
  <si>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</si>
  <si>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lvGKrDQmyb</t>
  </si>
  <si>
    <t>40.663803126086000,22.925352614402800</t>
  </si>
  <si>
    <t>Ζαΐμη 12 &amp; Ιπποδρομίου</t>
  </si>
  <si>
    <t>ΔΟΜΒΡΟΣ ΓΕΩΡΓΙΟΣ του ΚΥΡΙΑΚΟΥ και της ΚΑΤΙΝΑΣ</t>
  </si>
  <si>
    <t>190409815024/0/5</t>
  </si>
  <si>
    <t>5J42wTg4yh</t>
  </si>
  <si>
    <t>37.322912244837500,23.157015433294400</t>
  </si>
  <si>
    <t>Θέση Ντράσιζα</t>
  </si>
  <si>
    <t>ΑΠΟΣΤΟΛΟΣ ΤΣΙΓΚΡΗΣ</t>
  </si>
  <si>
    <t>020560138015/0/0</t>
  </si>
  <si>
    <t>7sUybKTlBe</t>
  </si>
  <si>
    <t>40.52547256903660,22.201598348314500</t>
  </si>
  <si>
    <t>Πάροδος Αγίου Γεωργίου 6Α</t>
  </si>
  <si>
    <t>Κοζανίδου Ελευθερία του Παράσχου και της Μαρίας Μαλούνα</t>
  </si>
  <si>
    <t>160081029008/0/7</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</si>
  <si>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</si>
  <si>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</si>
  <si>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</si>
  <si>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</si>
  <si>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</si>
  <si>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</si>
  <si>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nA6qFm5G6Q</t>
  </si>
  <si>
    <t>Μονοκατοικία 253 τ.μ. με θέση στάθμευσης</t>
  </si>
  <si>
    <t>38.33211374621590,23.70927521320930</t>
  </si>
  <si>
    <t>Άρεως</t>
  </si>
  <si>
    <t>ΑΠΟΣΤΟΛΟΣ ΨΩΜΑΣ</t>
  </si>
  <si>
    <t>051325332004/0/0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</si>
  <si>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</si>
  <si>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</si>
  <si>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</si>
  <si>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</si>
  <si>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</si>
  <si>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</si>
  <si>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rhOFX1UG8Z</t>
  </si>
  <si>
    <t>Διαμέρισμα 121 τ.μ. με θέση στάθμευσης</t>
  </si>
  <si>
    <t>37.026666510692400,22.121093972986400</t>
  </si>
  <si>
    <t>Ηρώων &amp; Μεθώνης</t>
  </si>
  <si>
    <t>Χατζοπούλου Αθηνά του Αχιλλέα</t>
  </si>
  <si>
    <t>360882149005/2/13</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</si>
  <si>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</si>
  <si>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</si>
  <si>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</si>
  <si>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</si>
  <si>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</si>
  <si>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</si>
  <si>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</si>
  <si>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xTHK0DpgRO</t>
  </si>
  <si>
    <t>Κτήριο 807 τ.μ.</t>
  </si>
  <si>
    <t>Ευρωπός</t>
  </si>
  <si>
    <t>40.85140996661460,22.588343987912300</t>
  </si>
  <si>
    <t>Άγιος Πέτρος</t>
  </si>
  <si>
    <t>ΦΩΤΙΟΣ ΜΑΥΡΟΥΔΗΣ του Γεωργίου και της Ελένης</t>
  </si>
  <si>
    <t>260031309003/0/0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</si>
  <si>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</si>
  <si>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</si>
  <si>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</si>
  <si>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</si>
  <si>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</si>
  <si>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</si>
  <si>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</si>
  <si>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</si>
  <si>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</si>
  <si>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</si>
  <si>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</si>
  <si>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</si>
  <si>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</si>
  <si>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vTwhWFd81j</t>
  </si>
  <si>
    <t>39.163528268177000,20.985895984114800</t>
  </si>
  <si>
    <t>Νικόλαου Πριοβόλου 32</t>
  </si>
  <si>
    <t>ΚΑΣΤΡΙΝΟΣ ΠΑΝΑΓΙΩΤΗΣ του Ιωάννη και της Ελένης</t>
  </si>
  <si>
    <t>040103006022/0/4</t>
  </si>
  <si>
    <t>R4F5Lni4Qn</t>
  </si>
  <si>
    <t>40.67106525165120,22.911558144191300</t>
  </si>
  <si>
    <t>Αγίου Αθανασίου 24</t>
  </si>
  <si>
    <t>Θεοχάρης Κυριακίδης του Δημητρίου και της Μαρίας</t>
  </si>
  <si>
    <t>190405212006/0/11</t>
  </si>
  <si>
    <t>bQJs61MLvQ</t>
  </si>
  <si>
    <t>Αποθηκευτικός χώρος 396 τ.μ.</t>
  </si>
  <si>
    <t>40.746650914402500,23.064318235472500</t>
  </si>
  <si>
    <t>Αχιλλέα Τζελίλη 10</t>
  </si>
  <si>
    <t>Γεώργιος Γκαζέζογλου του Κωνσταντίνου και της Κρυστάλλως</t>
  </si>
  <si>
    <t>190580512017/0/6</t>
  </si>
  <si>
    <t>n5jWVxaSHh</t>
  </si>
  <si>
    <t>37.980341115089900,23.709435527676300</t>
  </si>
  <si>
    <t>Γρεβενών 20</t>
  </si>
  <si>
    <t>ΝΤΑΡΑΣ Γεώργιος του Δημητρίου και της Σοφίας</t>
  </si>
  <si>
    <t>050096420018/0/7</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</si>
  <si>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</si>
  <si>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</si>
  <si>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</si>
  <si>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</si>
  <si>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</si>
  <si>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</si>
  <si>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</si>
  <si>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</si>
  <si>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</si>
  <si>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</si>
  <si>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</si>
  <si>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</si>
  <si>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nHmnngChL7</t>
  </si>
  <si>
    <t>Μονοκατοικία 187 τ.μ.</t>
  </si>
  <si>
    <t>37.92764161610770,23.72663939960930</t>
  </si>
  <si>
    <t>Θράκης 22</t>
  </si>
  <si>
    <t>ΔΗΜΗΤΡΑ ΘΩΜΟΥ</t>
  </si>
  <si>
    <t>050034810005/2/0</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</si>
  <si>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</si>
  <si>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</si>
  <si>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</si>
  <si>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</si>
  <si>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</si>
  <si>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</si>
  <si>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</si>
  <si>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</si>
  <si>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</si>
  <si>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</si>
  <si>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</si>
  <si>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</si>
  <si>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qwW59yv3ar</t>
  </si>
  <si>
    <t>39.20634086754480,20.88533065460600</t>
  </si>
  <si>
    <t>Ταγματάρχη Βελισσαρίου 25Α</t>
  </si>
  <si>
    <t>ΓΚΑΡΤΖΩΝΗΣ ΑΓΓΕΛΟΣ του Σπυρίδωνα και της Έλλης</t>
  </si>
  <si>
    <t>400610420007/0/5</t>
  </si>
  <si>
    <t>2hZ8n6TiOj</t>
  </si>
  <si>
    <t>Διαμέρισμα 80 τ.μ. με θέση στάθμευσης</t>
  </si>
  <si>
    <t>38.22935636310730,21.73057980364840</t>
  </si>
  <si>
    <t>Σελεύκειας 14</t>
  </si>
  <si>
    <t>ΜΑΝΙΑΡΗ ΧΡΙΣΤΙΝΑ ΑΓΝΗ</t>
  </si>
  <si>
    <t>061672643001/0/14</t>
  </si>
  <si>
    <t>E49C0AoaK4</t>
  </si>
  <si>
    <t>Μονοκατοικία 220 τ.μ.</t>
  </si>
  <si>
    <t>35.4945762301544,24.0247880412526</t>
  </si>
  <si>
    <t>Κοσμά Αιτωλού 5</t>
  </si>
  <si>
    <t>500940911038/0/0</t>
  </si>
  <si>
    <t>LVhW8qsEw7</t>
  </si>
  <si>
    <t>Μεζονέτα 83 τ.μ.</t>
  </si>
  <si>
    <t>Νεάπολη Λακωνίας</t>
  </si>
  <si>
    <t>Μονεμβασίας</t>
  </si>
  <si>
    <t>36.5093639331472,23.061476976105100</t>
  </si>
  <si>
    <t>Ιατρού Δαμιανού Ανδρόνικου 38</t>
  </si>
  <si>
    <t>ΜΙΧΑΛΕΤΟΥ ΡΕΓΓΙΝΑ του ΑΝΑΣΤΑΣΙΟΥ και της ΜΑΡΙΑΣ</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</si>
  <si>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</si>
  <si>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</si>
  <si>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</si>
  <si>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</si>
  <si>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</si>
  <si>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</si>
  <si>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</si>
  <si>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Y00bHlTGCu-002</t>
  </si>
  <si>
    <t>Σουλτάνα, συζ. Απόστολου ΓΡΙΒΑ, το γένος Δημητρίου και Μαρίας ΜΟΥΤΑΦΗ</t>
  </si>
  <si>
    <t>VxDwuvUAR8-001</t>
  </si>
  <si>
    <t>Μονοκατοικία 150 τ.μ.</t>
  </si>
  <si>
    <t>39.19233855717380,20.880575351121500</t>
  </si>
  <si>
    <t>Θέση Στρώματα - Βαζιόρια</t>
  </si>
  <si>
    <t>400612002055/0/0</t>
  </si>
  <si>
    <t>M5V3dgYiwU</t>
  </si>
  <si>
    <t>38.221981992404600,21.73865388637180</t>
  </si>
  <si>
    <t>Ασημάκη Σκαλτσά 9-11</t>
  </si>
  <si>
    <t>ΡΕΚΑΤΣΙΝΑ ΔΗΜΗΤΡΑ</t>
  </si>
  <si>
    <t>061672219003/0/3</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</si>
  <si>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</si>
  <si>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</si>
  <si>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</si>
  <si>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</si>
  <si>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</si>
  <si>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</si>
  <si>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</si>
  <si>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</si>
  <si>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</si>
  <si>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</si>
  <si>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</si>
  <si>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</si>
  <si>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</si>
  <si>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</si>
  <si>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</si>
  <si>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</si>
  <si>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</si>
  <si>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xwHifDJrtK</t>
  </si>
  <si>
    <t>38.02490005181060,23.709123580528600</t>
  </si>
  <si>
    <t>Αμφίσσης &amp; Νέστωρος 27</t>
  </si>
  <si>
    <t>ΜΑΡΙΑ ΕΛΕΥΘΕΡΑΚΗ</t>
  </si>
  <si>
    <t>050573318008/1/2</t>
  </si>
  <si>
    <t>mNUBWgKSTd</t>
  </si>
  <si>
    <t>39.23378358134010,20.5984741270956</t>
  </si>
  <si>
    <t>Ναπολέοντος Ζέρβα 25</t>
  </si>
  <si>
    <t>ΜΙΧΑΗΛ ΤΣΟΥΜΑΝΗΣ του Κωνσταντίνου και της Αργυρούς</t>
  </si>
  <si>
    <t>400190105030/0/1</t>
  </si>
  <si>
    <t>KqJPZDQuF1</t>
  </si>
  <si>
    <t>Μονοκατοικία 384 τ.μ.</t>
  </si>
  <si>
    <t>37.9424258941563,22.809921792716700</t>
  </si>
  <si>
    <t>Θέση Στόκια</t>
  </si>
  <si>
    <t>ΛΙΟΥΛΙΑΣ Γρηγόριος του Σταύρου και της Ελένης</t>
  </si>
  <si>
    <t>280341204017/0/0</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</si>
  <si>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</si>
  <si>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</si>
  <si>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</si>
  <si>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</si>
  <si>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</si>
  <si>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</si>
  <si>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</si>
  <si>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Διαμέρισμα 120 τ.μ.</t>
  </si>
  <si>
    <t>Περαία</t>
  </si>
  <si>
    <t>E0AoMsOMOp-001</t>
  </si>
  <si>
    <t>280980460001/0/2</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</si>
  <si>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</si>
  <si>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</si>
  <si>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</si>
  <si>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</si>
  <si>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</si>
  <si>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</si>
  <si>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</si>
  <si>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</si>
  <si>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</si>
  <si>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</si>
  <si>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</si>
  <si>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</si>
  <si>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</si>
  <si>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</si>
  <si>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</si>
  <si>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</si>
  <si>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</si>
  <si>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</si>
  <si>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nejriC7XCg</t>
  </si>
  <si>
    <t>Διαμέρισμα 134 τ.μ.</t>
  </si>
  <si>
    <t>37.720581272700000,22.725247230717200</t>
  </si>
  <si>
    <t>Φίχτια</t>
  </si>
  <si>
    <t>ΣΤΑΘΟΠΟΥΛΟΣ ΑΝΤΩΝΙΟΣ</t>
  </si>
  <si>
    <t>020660130005/0/0</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</si>
  <si>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</si>
  <si>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</si>
  <si>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</si>
  <si>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</si>
  <si>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</si>
  <si>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</si>
  <si>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</si>
  <si>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</si>
  <si>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</si>
  <si>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</si>
  <si>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</si>
  <si>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R2DYwMiufc-005</t>
  </si>
  <si>
    <t>o80IcHWA12</t>
  </si>
  <si>
    <t>38.141263400480500,21.553503820954400</t>
  </si>
  <si>
    <t>Φιλοποίμενος 25</t>
  </si>
  <si>
    <t>ΘΕΩΝΗ ΛΙΑΚΟΥ του ΑΛΚΙΒΙΑΔΗ και της ΝΙΚΟΛΙΤΣΑΣ</t>
  </si>
  <si>
    <t>061000631003/0/4</t>
  </si>
  <si>
    <t>u63kENriFg</t>
  </si>
  <si>
    <t>Μονοκατοικία 360 τ.μ.</t>
  </si>
  <si>
    <t>Μυτιληνιοί</t>
  </si>
  <si>
    <t>37.726458,26.906442</t>
  </si>
  <si>
    <t>Θέση Κούκης</t>
  </si>
  <si>
    <t>ΒΑΛΗΣ ΔΗΜΗΤΡΙΟΣ του ΓΕΩΡΓΙΟΥ</t>
  </si>
  <si>
    <t>0jxarXDee6</t>
  </si>
  <si>
    <t>40.085043018774600,21.422957280302400</t>
  </si>
  <si>
    <t>Ρήγα Φεραίου 6 &amp; Καπετάν Λουκά</t>
  </si>
  <si>
    <t>ΣΚΡΕΚΑΣ ΧΡΗΣΤΟΣ</t>
  </si>
  <si>
    <t>080100415007/0/4</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</si>
  <si>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</si>
  <si>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</si>
  <si>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</si>
  <si>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</si>
  <si>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</si>
  <si>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</si>
  <si>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</si>
  <si>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</si>
  <si>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</si>
  <si>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</si>
  <si>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</si>
  <si>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</si>
  <si>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</si>
  <si>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</si>
  <si>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</si>
  <si>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</si>
  <si>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</si>
  <si>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</si>
  <si>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</si>
  <si>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</si>
  <si>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</si>
  <si>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</si>
  <si>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</si>
  <si>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6owd49aYUO</t>
  </si>
  <si>
    <t>40.5202384065074,22.196637028174800</t>
  </si>
  <si>
    <t>Αλκιβιάδου</t>
  </si>
  <si>
    <t>ΠΑΠΑΔΟΠΟΥΛΟΣ ΝΙΚΟΛΑΟΣ</t>
  </si>
  <si>
    <t>160080942003/0/7</t>
  </si>
  <si>
    <t>ndnZf19DX2</t>
  </si>
  <si>
    <t>41.12039824868900,25.393267367923300</t>
  </si>
  <si>
    <t>Κυκλάδων 6</t>
  </si>
  <si>
    <t>ΚΑΡΑΜΠΑΤΖΑΚΗ ΣΟΦΙΑ||ΚΕΡΑΜΕΑΣ ΠΑΝΤΕΛΗΣ</t>
  </si>
  <si>
    <t>101335010||043411359</t>
  </si>
  <si>
    <t>420171417001/0/6</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</si>
  <si>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</si>
  <si>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</si>
  <si>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</si>
  <si>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</si>
  <si>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</si>
  <si>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</si>
  <si>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HUuWkA8MTD</t>
  </si>
  <si>
    <t>Φέρες</t>
  </si>
  <si>
    <t>40.89038135401180,26.159121230621000</t>
  </si>
  <si>
    <t>Καβάφη</t>
  </si>
  <si>
    <t>ΚΑΡΔΑΜΑΝΙΔΟΥ ΧΡΥΣΗ ΤΟ ΓΕΝΟΣ ΓΕΩΡΓΙΟΥ ΛΙΑΚΙΔΗ ΚΑΙ ΤΗΣ ΡΑΛΛΗΣ</t>
  </si>
  <si>
    <t>110782613009/0/0</t>
  </si>
  <si>
    <t>34kopHDIe0</t>
  </si>
  <si>
    <t>Επαγγελματικό κτήριο 610 τ.μ.</t>
  </si>
  <si>
    <t>40.27167967141070,22.507726337181100</t>
  </si>
  <si>
    <t>16ης Οκτωβρίου 9Α</t>
  </si>
  <si>
    <t>ΣΩΤΗΡΙΟΣ ΤΑΓΑΡΑΣ</t>
  </si>
  <si>
    <t>390192214025/0/0</t>
  </si>
  <si>
    <t>CGLSxNdiaI</t>
  </si>
  <si>
    <t>Καματερό</t>
  </si>
  <si>
    <t>38.058760158436100,23.7248667729582</t>
  </si>
  <si>
    <t>Αρκαδίου 85</t>
  </si>
  <si>
    <t>ΓΕΩΡΓΟΥΔΗΣ Χαράλαμπος</t>
  </si>
  <si>
    <t>050622705019/0/3</t>
  </si>
  <si>
    <t>NxnRl6OD5G</t>
  </si>
  <si>
    <t>38.01073444290990,23.678839497997100</t>
  </si>
  <si>
    <t>Τζων Κένεντυ 172 &amp; Δροσιάς</t>
  </si>
  <si>
    <t>ΘΕΟΔΩΡΟΣ ΚΟΜΝΗΝΟΣ</t>
  </si>
  <si>
    <t>051206925009/0/8</t>
  </si>
  <si>
    <t>XaINkCUnts-001</t>
  </si>
  <si>
    <t>XaINkCUnts</t>
  </si>
  <si>
    <t>Ημιτελές διαμέρισμα 86 τ.μ.</t>
  </si>
  <si>
    <t>40.25827833520560,22.068966100828600</t>
  </si>
  <si>
    <t>Κοσομούλη</t>
  </si>
  <si>
    <t>ΛΕΩΝΙΔΑΣ ΖΟΡΜΠΑΣ ΤΟΥ ΓΕΩΡΓΙΟΥ ΚΑΙ ΤΗΣ ΒΑΣΙΛΙΚΗΣ</t>
  </si>
  <si>
    <t>270240852008/0/1</t>
  </si>
  <si>
    <t>XaINkCUnts-002</t>
  </si>
  <si>
    <t>270240852008/0/3</t>
  </si>
  <si>
    <t>CODdwLpmfK</t>
  </si>
  <si>
    <t>Μονοκατοικία 198 τ.μ.</t>
  </si>
  <si>
    <t>40.67017155328060,24.752031394897400</t>
  </si>
  <si>
    <t>Θέση Μηλιά, Θεολόγος</t>
  </si>
  <si>
    <t>ΒΑΣΙΛΕΙΟΣ ΚΑΡΦΟΠΟΥΛΟΣ</t>
  </si>
  <si>
    <t>210242001002/0/0</t>
  </si>
  <si>
    <t>Omefm8vNDb</t>
  </si>
  <si>
    <t>Αποθήκη 110 τ.μ.</t>
  </si>
  <si>
    <t>38.25112252485490,22.084324595044900</t>
  </si>
  <si>
    <t>Μητροπόλεως 44</t>
  </si>
  <si>
    <t>ΓΕΩΡΓΙΟΣ ΑΓΓΕΛΟΠΟΥΛΟΣ ΑΦΜ 104667095</t>
  </si>
  <si>
    <t>060132701001/0/0</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</si>
  <si>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</si>
  <si>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</si>
  <si>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</si>
  <si>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</si>
  <si>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</si>
  <si>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</si>
  <si>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</si>
  <si>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</si>
  <si>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bl3Fih6qIt</t>
  </si>
  <si>
    <t>38.03608689880820,23.68546823582090</t>
  </si>
  <si>
    <t>Ελευθέριου Βενιζέλου 153</t>
  </si>
  <si>
    <t>ΣΚΟΥΦΟΥΛΑΣ ΙΩΑΝΝΗΣ του Πέτρου και της Μαρίας</t>
  </si>
  <si>
    <t>051211013005/0/3</t>
  </si>
  <si>
    <t>cr87FxCVR3</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</si>
  <si>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</si>
  <si>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</si>
  <si>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</si>
  <si>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</si>
  <si>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</si>
  <si>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YplVFXxMiK</t>
  </si>
  <si>
    <t>38.89685953819470,22.431384522213900</t>
  </si>
  <si>
    <t>Ιωάννου Μακροπούλου 27</t>
  </si>
  <si>
    <t>ΑΛΕΞΑΝΔΡΑ συζ. Ηλία ΚΑΛΑΠΑΝΙΔΑ, το γένος Απόστολου και Ελένης ΚΟΥΤΡΑ</t>
  </si>
  <si>
    <t>460842114007/0/6</t>
  </si>
  <si>
    <t>4gBqP19jHP</t>
  </si>
  <si>
    <t>36.423914,28.208745</t>
  </si>
  <si>
    <t>Αθηνών 9A</t>
  </si>
  <si>
    <t>ΚΥΡΜΟΥΖΟΥΔΗ Ελένη||ΚΥΤΤΑΡΟΥΔΗΣ Βασίλειος</t>
  </si>
  <si>
    <t>059885572||045485995</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</si>
  <si>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</si>
  <si>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</si>
  <si>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</si>
  <si>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</si>
  <si>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</si>
  <si>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</si>
  <si>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</si>
  <si>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</si>
  <si>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</si>
  <si>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</si>
  <si>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</si>
  <si>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</si>
  <si>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</si>
  <si>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</si>
  <si>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</si>
  <si>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</si>
  <si>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</si>
  <si>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</si>
  <si>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</si>
  <si>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</si>
  <si>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</si>
  <si>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</si>
  <si>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</si>
  <si>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</si>
  <si>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</si>
  <si>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</si>
  <si>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</si>
  <si>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</si>
  <si>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</si>
  <si>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</si>
  <si>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</si>
  <si>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</si>
  <si>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</si>
  <si>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pCAZMqNQts</t>
  </si>
  <si>
    <t>40.97577903378510,22.057164744797200</t>
  </si>
  <si>
    <t>Αγίας Άννης &amp; Βενιζέλου</t>
  </si>
  <si>
    <t>ΓΕΩΡΓΙΟΣ ΑΔΡΑΜΑΝΗΣ||Τασούλα Λουκοβίτη</t>
  </si>
  <si>
    <t>047746102||062530041</t>
  </si>
  <si>
    <t>380120123005/0/5</t>
  </si>
  <si>
    <t>GFtNFQlOS7</t>
  </si>
  <si>
    <t>Διαμέρισμα 145 τ.μ.</t>
  </si>
  <si>
    <t>40.96976667791200,22.063043794151300</t>
  </si>
  <si>
    <t>Διοικητηρίου 24</t>
  </si>
  <si>
    <t>ΓΙΟΡΟΓΛΟΥ ΑΙΚΑΤΕΡΙΝΗ</t>
  </si>
  <si>
    <t>380120310009/0/4</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</si>
  <si>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</si>
  <si>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</si>
  <si>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</si>
  <si>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</si>
  <si>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</si>
  <si>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</si>
  <si>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</si>
  <si>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</si>
  <si>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</si>
  <si>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</si>
  <si>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</si>
  <si>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</si>
  <si>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</si>
  <si>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</si>
  <si>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</si>
  <si>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</si>
  <si>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</si>
  <si>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</si>
  <si>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</si>
  <si>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</si>
  <si>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</si>
  <si>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</si>
  <si>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</si>
  <si>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</si>
  <si>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t83OnRwY6W-002</t>
  </si>
  <si>
    <t>t83OnRwY6W</t>
  </si>
  <si>
    <t>Μονοκατοικία 120 τ.μ. με θέση στάθμευσης</t>
  </si>
  <si>
    <t>Αμπελάκια</t>
  </si>
  <si>
    <t>37.95053970676100,23.534305142500400</t>
  </si>
  <si>
    <t>Λεωφόρος Ελευθερίου Βενιζέλου</t>
  </si>
  <si>
    <t>ΕΛΕΝΗ ΡΟΖΗ - ΝΙΚΟΛΕΤΟΥ||ΣΤΕΡΓΙΟΣ ΝΙΚΟΛΕΤΟΣ</t>
  </si>
  <si>
    <t>043998953||027222272</t>
  </si>
  <si>
    <t>050153104003/2/0</t>
  </si>
  <si>
    <t>8c9giopBLx</t>
  </si>
  <si>
    <t>Μεζονέτα 192 τ.μ. με θέσεις στάθμευσης</t>
  </si>
  <si>
    <t>38.09115724403710,23.977484442071900</t>
  </si>
  <si>
    <t>Αργοστολίου 35</t>
  </si>
  <si>
    <t>ΠΑΝΑΓΙΩΤΟΥ ΧΡΥΣΟΥΛΑ</t>
  </si>
  <si>
    <t>051010913047/0/1</t>
  </si>
  <si>
    <t>68uwR55xZ6</t>
  </si>
  <si>
    <t>Μεζονέτα 175 τ.μ. με θέση στάθμευσης</t>
  </si>
  <si>
    <t>38.139206795832000,23.855558479234300</t>
  </si>
  <si>
    <t>Πέραν 3</t>
  </si>
  <si>
    <t>ΣΟΦΙΑ ΓΑΛΟΓΑΥΡΟΥ</t>
  </si>
  <si>
    <t>050060413002/0/3</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</si>
  <si>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</si>
  <si>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</si>
  <si>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</si>
  <si>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</si>
  <si>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</si>
  <si>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TbmKDfGFVv-002</t>
  </si>
  <si>
    <t>39.158203460121300,20.82445920092640</t>
  </si>
  <si>
    <t>Θέση Αύλακας, Πέτρα</t>
  </si>
  <si>
    <t>400480202015/0/0</t>
  </si>
  <si>
    <t>0GGtVQ9lWE-001</t>
  </si>
  <si>
    <t>Μεζονέτα 114 τ.μ.</t>
  </si>
  <si>
    <t>310811231008/0/20</t>
  </si>
  <si>
    <t>0GGtVQ9lWE-002</t>
  </si>
  <si>
    <t>310811231008/0/5</t>
  </si>
  <si>
    <t>010937722||025722406</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</si>
  <si>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</si>
  <si>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</si>
  <si>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</si>
  <si>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</si>
  <si>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</si>
  <si>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</si>
  <si>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</si>
  <si>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VarkmRHHV2</t>
  </si>
  <si>
    <t>Μονοκατοικία 207 τ.μ.</t>
  </si>
  <si>
    <t>38.0257043993076,21.36313872144930</t>
  </si>
  <si>
    <t>Θέση Μυρτούλα, Σερμπάνι</t>
  </si>
  <si>
    <t>ΝΙΚΟΛΑΟΣ ΡΕΤΟΥΝΙΩΤΗΣ ΤΟΥ ΓΕΩΡΓΙΟΥ</t>
  </si>
  <si>
    <t>150390412062/0/0</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</si>
  <si>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</si>
  <si>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</si>
  <si>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</si>
  <si>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</si>
  <si>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</si>
  <si>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</si>
  <si>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</si>
  <si>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abXLEckARA-002</t>
  </si>
  <si>
    <t>Κατάστημα 32 τ.μ. με θέση στάθμευσης</t>
  </si>
  <si>
    <t>Συχαινά</t>
  </si>
  <si>
    <t>38.258326009571300,21.750324097999300</t>
  </si>
  <si>
    <t>Φλωρίνης 4</t>
  </si>
  <si>
    <t>061674260002/0/2</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</si>
  <si>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</si>
  <si>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</si>
  <si>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</si>
  <si>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</si>
  <si>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</si>
  <si>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</si>
  <si>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</si>
  <si>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</si>
  <si>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</si>
  <si>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</si>
  <si>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</si>
  <si>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</si>
  <si>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UYB0ONgFAL-002</t>
  </si>
  <si>
    <t>UYB0ONgFAL</t>
  </si>
  <si>
    <t>Αποθήκη 4 τ.μ. - 50% εξ αδιαιρέτου</t>
  </si>
  <si>
    <t>38.01601603061270,23.723307873057800</t>
  </si>
  <si>
    <t>Όθωνος Σταθάτου 18</t>
  </si>
  <si>
    <t>Τίνος Βασίλειος</t>
  </si>
  <si>
    <t>050090620002/0/6</t>
  </si>
  <si>
    <t>UYB0ONgFAL-001</t>
  </si>
  <si>
    <t>Διαμέρισμα 85 τ.μ. με θέση στάθμευσης - 50% εξ αδιαιρέτου</t>
  </si>
  <si>
    <t>050090620002/0/11</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</si>
  <si>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</si>
  <si>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</si>
  <si>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</si>
  <si>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</si>
  <si>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</si>
  <si>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</si>
  <si>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</si>
  <si>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</si>
  <si>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kxWNYBL3fN</t>
  </si>
  <si>
    <t>41.13234273170820,24.891232385705400</t>
  </si>
  <si>
    <t>Λευκίππου &amp; Γεωργίου Κονδύλη</t>
  </si>
  <si>
    <t>ΑΝΤΩΝΙΟΣ ΤΣΑΚΑΛΟΣ του ΧΡΗΣΤΟΥ</t>
  </si>
  <si>
    <t>370261908014/3/4</t>
  </si>
  <si>
    <t>5nGpaMnSTq</t>
  </si>
  <si>
    <t>Μονοκατοικία 188 τ.μ. με θέση στάθμευσης</t>
  </si>
  <si>
    <t>37.96170079016940,23.848435698382500</t>
  </si>
  <si>
    <t>Επισκοπής 18 &amp; Ειρήνης και Φιλίας</t>
  </si>
  <si>
    <t>ΠΑΠΑΣΠΥΡΟΥ ΑΔΑΜ ΤΟΥ ΧΡΗΣΤΟΥ ΚΑΙ ΤΗΣ ΜΑΡΙΑΣ</t>
  </si>
  <si>
    <t>051112210001/0/0</t>
  </si>
  <si>
    <t>8wtJfn1Z1O</t>
  </si>
  <si>
    <t>Μονοκατοικία 205 τ.μ.</t>
  </si>
  <si>
    <t>37.58179303348280,22.8170299381316</t>
  </si>
  <si>
    <t>Αγία Κυριακή</t>
  </si>
  <si>
    <t>ΓΕΩΡΓΙΟΣ ΠΑΠΑΖΗΣ||ΑΓΓΕΛΙΚΗ ΤΡΑΚΑ του Νικολάου</t>
  </si>
  <si>
    <t>047126202||053530147</t>
  </si>
  <si>
    <t>020493408003/0/0</t>
  </si>
  <si>
    <t>GtZL5v756n</t>
  </si>
  <si>
    <t>Μεζονέτα 115 τ.μ.</t>
  </si>
  <si>
    <t>40.688454,22.134561</t>
  </si>
  <si>
    <t>ΨΑΘΑΣ ΧΡΗΣΤΟΣ</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</si>
  <si>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</si>
  <si>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</si>
  <si>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</si>
  <si>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</si>
  <si>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Ce0cTpvfuP</t>
  </si>
  <si>
    <t>Μεζονέτα 99 τ.μ.</t>
  </si>
  <si>
    <t>Στύρα</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</si>
  <si>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</si>
  <si>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</si>
  <si>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</si>
  <si>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121220101005/0/0</t>
  </si>
  <si>
    <t>Καλαβρύτων</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</si>
  <si>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</si>
  <si>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</si>
  <si>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</si>
  <si>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</si>
  <si>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</si>
  <si>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</si>
  <si>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</si>
  <si>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xW6Pe60Fpg</t>
  </si>
  <si>
    <t>Μονοκατοικία 64 τ.μ. με αποθήκη 15 τ.μ.</t>
  </si>
  <si>
    <t>Διακοπτό</t>
  </si>
  <si>
    <t>38.18764166763420,22.206460055741100</t>
  </si>
  <si>
    <t>Θέση Τζωρτζέικα</t>
  </si>
  <si>
    <t>ΒΑΣΙΛΕΙΟΣ ΗΛΙΑΔΗΣ</t>
  </si>
  <si>
    <t>nrTYnuIVdP-002</t>
  </si>
  <si>
    <t>011310611008/0/2</t>
  </si>
  <si>
    <t>nrTYnuIVdP-005</t>
  </si>
  <si>
    <t>011310611008/0/5</t>
  </si>
  <si>
    <t>nrTYnuIVdP-004</t>
  </si>
  <si>
    <t>Διαμέρισμα 24 τ.μ.</t>
  </si>
  <si>
    <t>011310611008/0/4</t>
  </si>
  <si>
    <t>nrTYnuIVdP-007</t>
  </si>
  <si>
    <t>011310611008/0/7</t>
  </si>
  <si>
    <t>nrTYnuIVdP-001</t>
  </si>
  <si>
    <t>011310611008/0/1</t>
  </si>
  <si>
    <t>nrTYnuIVdP-003</t>
  </si>
  <si>
    <t>011310611008/0/3</t>
  </si>
  <si>
    <t>GELPraPTDw</t>
  </si>
  <si>
    <t>38.2394549905134,21.73343025979960</t>
  </si>
  <si>
    <t>Μεσολογγίου 23Α</t>
  </si>
  <si>
    <t>ΝΙΚΟΛΑΟΣ ΑΠΟΣΤΟΛΟΠΟΥΛΟΣ του ΠΑΝΑΓΙΩΤΗ και της ΕΛΕΝΗΣ</t>
  </si>
  <si>
    <t>061672905026/0/22</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</si>
  <si>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</si>
  <si>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</si>
  <si>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</si>
  <si>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</si>
  <si>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</si>
  <si>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</si>
  <si>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</si>
  <si>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NVQ2sb5WUb</t>
  </si>
  <si>
    <t>Νέο Ρύσιο</t>
  </si>
  <si>
    <t>40.49631173926380,22.985850516301300</t>
  </si>
  <si>
    <t>Μεγάλου Αλεξάνδρου 11 &amp; Χατζηχριστοδούλου</t>
  </si>
  <si>
    <t>Μαρκάκης Ιωάννης του Ιωσήφ και της Ελευθερίας</t>
  </si>
  <si>
    <t>190810608005/1/1</t>
  </si>
  <si>
    <t>3G1VYToA2H</t>
  </si>
  <si>
    <t>Διαμέρισμα 50 τ.μ. και αποθήκη</t>
  </si>
  <si>
    <t>40.85279415695920,25.88303722161030</t>
  </si>
  <si>
    <t>Καλύμνου 48</t>
  </si>
  <si>
    <t>Χαράλαμπος Γουγούσης</t>
  </si>
  <si>
    <t>110031535015/0/14</t>
  </si>
  <si>
    <t>7Kl5yd1u2N</t>
  </si>
  <si>
    <t>Κτήριο μεικτής χρήσης 584 τ.μ.</t>
  </si>
  <si>
    <t>Μουσθένη</t>
  </si>
  <si>
    <t>40.83159963003430,24.025028210510800</t>
  </si>
  <si>
    <t>Εθνική Οδός Καβάλας-Θεσσαλονίκης, Ποδοχώρι</t>
  </si>
  <si>
    <t>ΟΛΓΑ ΚΑΡΑΤΟΠΟΥΖΗ - ΚΑΡΑΜΠΕΛΑ</t>
  </si>
  <si>
    <t>210590810005/2/0</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</si>
  <si>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</si>
  <si>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</si>
  <si>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</si>
  <si>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</si>
  <si>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</si>
  <si>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</si>
  <si>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</si>
  <si>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</si>
  <si>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g0nv52REvq</t>
  </si>
  <si>
    <t>Μεζονέτα 169 τ.μ. με θέση στάθμευσης</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</si>
  <si>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</si>
  <si>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</si>
  <si>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</si>
  <si>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</si>
  <si>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</si>
  <si>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</si>
  <si>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</si>
  <si>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ΑΙΚΑΤΕΡΙΝΗ ΜΠΟΪΚΛΗ  του Βασιλείου και της Ευστρατίας</t>
  </si>
  <si>
    <t>191012104023/0/3</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</si>
  <si>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</si>
  <si>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</si>
  <si>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</si>
  <si>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</si>
  <si>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</si>
  <si>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</si>
  <si>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6a73Sl7eF0</t>
  </si>
  <si>
    <t>Διαβατά</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</si>
  <si>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</si>
  <si>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</si>
  <si>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</si>
  <si>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</si>
  <si>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</si>
  <si>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ut6rQHQOSE</t>
  </si>
  <si>
    <t>Μεζονέτα 155 τ.μ.</t>
  </si>
  <si>
    <t>38.23456872127790,21.74452565395070</t>
  </si>
  <si>
    <t>Νικαίας 125</t>
  </si>
  <si>
    <t>ΣΤΑΘΟΥΛΙΑΣ ΧΡΗΣΤΟΣ</t>
  </si>
  <si>
    <t>061673204020/0/4</t>
  </si>
  <si>
    <t>GbfccRYfSU</t>
  </si>
  <si>
    <t>Μεζονέτα 91 τ.μ.</t>
  </si>
  <si>
    <t>38.216933858468500,21.75021768131580</t>
  </si>
  <si>
    <t>Ιακωβίδου 2</t>
  </si>
  <si>
    <t>ΑΓΓΕΛΙΚΗ ΓΕΩΡΓΑΚΗ του ΙΩΑΝΝΗ και της ΙΩΑΝΝΑΣ</t>
  </si>
  <si>
    <t>061671856001/0/3</t>
  </si>
  <si>
    <t>yuH7HOZ7xD</t>
  </si>
  <si>
    <t>37.97855100289430,23.708379246210800</t>
  </si>
  <si>
    <t>Πρέσπας 2, Αγγίστης 16 &amp; Νευροκοπίου 5-7</t>
  </si>
  <si>
    <t>ΠΑΝΑΓΙΩΤΑ ΤΟΜΑΡΑ</t>
  </si>
  <si>
    <t>050096408005/0/8</t>
  </si>
  <si>
    <t>7QDvs6LHyl</t>
  </si>
  <si>
    <t>Κατάστημα 92 τ.μ.</t>
  </si>
  <si>
    <t>40.29929689899870,21.799848647004300</t>
  </si>
  <si>
    <t>Σιαλβέρα 20</t>
  </si>
  <si>
    <t>ΤΣΙΑΪΡΗΣ Νικόλαος του Χαριλάου και της Αγλαΐας</t>
  </si>
  <si>
    <t>270572603001/2/3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</si>
  <si>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</si>
  <si>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</si>
  <si>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</si>
  <si>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</si>
  <si>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</si>
  <si>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</si>
  <si>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</si>
  <si>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</si>
  <si>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</si>
  <si>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</si>
  <si>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</si>
  <si>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</si>
  <si>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</si>
  <si>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</si>
  <si>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</si>
  <si>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</si>
  <si>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</si>
  <si>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</si>
  <si>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</si>
  <si>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</si>
  <si>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sYvxyEVMUY</t>
  </si>
  <si>
    <t>Διαμέρισμα 75 τ.μ. και αποθήκη</t>
  </si>
  <si>
    <t>41.13365425280660,24.89602404214430</t>
  </si>
  <si>
    <t>Κλεμανσώ 135</t>
  </si>
  <si>
    <t>ΑΧΙΛΛΕΑΣ ΙΩΑΝΝΙΔΗΣ||ΟΛΓΑ ΜΑΝΤΑΡΑ</t>
  </si>
  <si>
    <t>061187678||051796279</t>
  </si>
  <si>
    <t>370262413006/0/6</t>
  </si>
  <si>
    <t>V3IKWN2fTj</t>
  </si>
  <si>
    <t>Βιοτεχνικό κτήριο 660 τ.μ.</t>
  </si>
  <si>
    <t>Πλατύκαμπος</t>
  </si>
  <si>
    <t>39.61514842109680,22.52502740786670</t>
  </si>
  <si>
    <t>Ρήγα Φεραίου</t>
  </si>
  <si>
    <t>ΘΩΜΑΣ ΜΗΤΑΛΛΟΥΛΗΣ του ΚΩΝΣΤΑΝΤΙΝΟΥ και της ΕΛΕΝΗΣ</t>
  </si>
  <si>
    <t>311220245004/0/0</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</si>
  <si>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</si>
  <si>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</si>
  <si>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</si>
  <si>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</si>
  <si>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</si>
  <si>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</si>
  <si>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iwub1jJVC5</t>
  </si>
  <si>
    <t>41.50625074025270,26.520658778462800</t>
  </si>
  <si>
    <t>ΔΕΛΗΜΗΤΡΟΣ ΑΘΑΝΑΣΙΟΣ ΤΟΥ ΠΑΝΑΓΙΩΤΗ ΚΑΙ ΤΗΣ ΕΛΕΝΗΣ</t>
  </si>
  <si>
    <t>110542522001/0/4</t>
  </si>
  <si>
    <t>6MLer6xx7c-002</t>
  </si>
  <si>
    <t>6MLer6xx7c</t>
  </si>
  <si>
    <t>38.226374492777600,21.74989077813560</t>
  </si>
  <si>
    <t>Πέλοπος</t>
  </si>
  <si>
    <t>ΣΙΝΟΓΕΩΡΓΟΣ ΝΙΚΟΛΑΟΣ||ΣΙΝΟΓΕΩΡΓΟΥ – ΠΑΝΤΕΛΑΤΟΥ ΙΟΥΛΙΑ</t>
  </si>
  <si>
    <t>025525263||045586561</t>
  </si>
  <si>
    <t>061676571005/0/11</t>
  </si>
  <si>
    <t>6MLer6xx7c-001</t>
  </si>
  <si>
    <t>061676571005/0/9</t>
  </si>
  <si>
    <t>6MLer6xx7c-003</t>
  </si>
  <si>
    <t>Πέλοπος 3</t>
  </si>
  <si>
    <t>Καρκατσούλης Δημήτριος||Σινογεώργου Λαμπρινή</t>
  </si>
  <si>
    <t>031943778||064359702</t>
  </si>
  <si>
    <t>061676571005/0/12</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</si>
  <si>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</si>
  <si>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</si>
  <si>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</si>
  <si>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</si>
  <si>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</si>
  <si>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</si>
  <si>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nkIetmHnje</t>
  </si>
  <si>
    <t>Μονοκατοικία 128 τ.μ.</t>
  </si>
  <si>
    <t>Ευηνοχώρι</t>
  </si>
  <si>
    <t>38.37046482017810,21.538507922997300</t>
  </si>
  <si>
    <t>ΚΩΝΣΤΑΝΤΙΝΟΣ ΓΙΑΝΝΗΣ του Νικολάου</t>
  </si>
  <si>
    <t>010740217009/0/0</t>
  </si>
  <si>
    <t>MD86Dpc0RB</t>
  </si>
  <si>
    <t>40.59402869944230,22.992416177193400</t>
  </si>
  <si>
    <t>ΓΚΟΡΤΣΙΟΥ ΖΩΗ του ΓΕΩΡΓΙΟΥ και της ΜΑΡΙΑΣ</t>
  </si>
  <si>
    <t>191041912003/0/13</t>
  </si>
  <si>
    <t>lANhcsdQHB-001</t>
  </si>
  <si>
    <t>lANhcsdQHB</t>
  </si>
  <si>
    <t>Διαμέρισμα 63 τ.μ. και θέση στάθμευσης</t>
  </si>
  <si>
    <t>37.99329833731700,23.68530994117710</t>
  </si>
  <si>
    <t>Μυριοφύτου 34</t>
  </si>
  <si>
    <t>ΕΥΑΝΘΙΑ ΚΑΒΑΛΛΑΡΗ</t>
  </si>
  <si>
    <t>050116404013/0/15</t>
  </si>
  <si>
    <t>lANhcsdQHB-002</t>
  </si>
  <si>
    <t>050116404013/0/1</t>
  </si>
  <si>
    <t>apZl3vu57e</t>
  </si>
  <si>
    <t>38.001238014162500,23.713129625464000</t>
  </si>
  <si>
    <t>Σμπαρούνη Τρικόρφου 38</t>
  </si>
  <si>
    <t>ΖΟΥΡΜΠΑ Μαρίνα του Κωνσταντίνου και της Βασιλικής</t>
  </si>
  <si>
    <t>050091448019/0/13</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</si>
  <si>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</si>
  <si>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</si>
  <si>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</si>
  <si>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</si>
  <si>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</si>
  <si>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</si>
  <si>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</si>
  <si>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XX8lsapdxL</t>
  </si>
  <si>
    <t>Σαρωνίδα</t>
  </si>
  <si>
    <t>37.75021652588380,23.907522261920700</t>
  </si>
  <si>
    <t>Λευκάδας 7 &amp; Αρτέμιδος 28</t>
  </si>
  <si>
    <t>ΝΙΚΟΛΑΟΣ ΚΛΑΔΗΣ του Παναγιώτη και της Άννας</t>
  </si>
  <si>
    <t>051300518005/0/6</t>
  </si>
  <si>
    <t>mAT3maNEXY</t>
  </si>
  <si>
    <t>Διαμέρισμα 52 τ.μ. με αποθήκη και θέση στάθμευσης</t>
  </si>
  <si>
    <t>41.127418979793,24.88828881208710</t>
  </si>
  <si>
    <t>Τζαβέλα 8</t>
  </si>
  <si>
    <t>ΓΡΗΓΟΡΙΟΣ ΑΜΠΟΒΙΑΝ ΤΟΥ ΡΑΖΜΙΚ</t>
  </si>
  <si>
    <t>370261822019/0/11</t>
  </si>
  <si>
    <t>LkvUVcDBYF</t>
  </si>
  <si>
    <t>40.62821171143780,22.450367114043500</t>
  </si>
  <si>
    <t>Αγίου Γεωργίου &amp; 25ης Μαρτίου</t>
  </si>
  <si>
    <t>ΚΑΡΑΝΙΚΟΛΟΠΟΥΛΟΣ ΔΙΟΝΥΣΙΟΣ ΤΟΥ ΔΗΜΗΤΡΙΟΥ ΚΑΙ ΤΗΣ ΕΛΕΝΗΣ</t>
  </si>
  <si>
    <t>160051636009/2/2</t>
  </si>
  <si>
    <t>9SXkwRZq36-002</t>
  </si>
  <si>
    <t>9SXkwRZq36</t>
  </si>
  <si>
    <t>37.96250331636770,23.646734966714900</t>
  </si>
  <si>
    <t>Ακρίτα 24</t>
  </si>
  <si>
    <t>ΜΙΑΡΗ Αικατερίνη||ΠΑΠΑΘΑΝΑΣΙΟΥ Γεώργιος-Χρυσοβαλάντη</t>
  </si>
  <si>
    <t>061913496||065678090</t>
  </si>
  <si>
    <t>051162402005/0/4</t>
  </si>
  <si>
    <t>9SXkwRZq36-001</t>
  </si>
  <si>
    <t>Διαμέρισμα 70 τ.μ. με θέση στάθμευσης</t>
  </si>
  <si>
    <t>051162402005/0/6</t>
  </si>
  <si>
    <t>ipxkR8L7ja-001</t>
  </si>
  <si>
    <t>Αποθήκη 79 τ.μ.</t>
  </si>
  <si>
    <t>201191313024/0/1</t>
  </si>
  <si>
    <t>yt3RQHPAV3</t>
  </si>
  <si>
    <t>39.15276939117000,20.982839334032700</t>
  </si>
  <si>
    <t>Αντωνίου Γαρουφαλιά</t>
  </si>
  <si>
    <t>ΙΩΑΝΝΑ ΓΚΟΤΣΗ του ΠΑΥΛΟΥ και της ΕΥΑΓΓΕΛΗΣ</t>
  </si>
  <si>
    <t>040102404005/0/34</t>
  </si>
  <si>
    <t>wkHnxCfUN7</t>
  </si>
  <si>
    <t>Διαμέρισμα 136 τ.μ.</t>
  </si>
  <si>
    <t>38.63496680298890,21.39779435730670</t>
  </si>
  <si>
    <t>Κύπρου 10</t>
  </si>
  <si>
    <t>Καστρίτσης Πέτρος του Χρήστου και της Παρασκευής</t>
  </si>
  <si>
    <t>010130117001/0/1</t>
  </si>
  <si>
    <t>Αποθήκη 10 τ.μ.</t>
  </si>
  <si>
    <t>Νεοχωρόπουλο</t>
  </si>
  <si>
    <t>wuiOF8ynWa</t>
  </si>
  <si>
    <t>38.91841362038450,21.789402770061100</t>
  </si>
  <si>
    <t>Καφαντάρη &amp; Νικολάου 5</t>
  </si>
  <si>
    <t>ΕΥΑΓΓΕΛΙΑ ΑΝΔΡΕΑΚΗ  του ΝΙΚΟΛΑΟΥ</t>
  </si>
  <si>
    <t>130310207001/0/14</t>
  </si>
  <si>
    <t>l6DOrYYEYl</t>
  </si>
  <si>
    <t>Μονοκατοικία 131 τ.μ. με βοηθητικό κτήριο 45 τ.μ.</t>
  </si>
  <si>
    <t>Επισκοπή Ηρακλείου</t>
  </si>
  <si>
    <t>35.262844,25.238664</t>
  </si>
  <si>
    <t>Θέση Μανιάδο</t>
  </si>
  <si>
    <t>ΓΕΩΡΓΙΟΣ ΚΑΡΑΠΙΠΕΡΑΚΗΣ ΤΟΥ ΦΩΤΗ ΚΑΙ ΤΗΣ ΜΑΡΙΑΣ</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</si>
  <si>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</si>
  <si>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</si>
  <si>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</si>
  <si>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</si>
  <si>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</si>
  <si>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</si>
  <si>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</si>
  <si>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8hkdho5U3K-002</t>
  </si>
  <si>
    <t>Μεζονέτα 249 τ.μ. με πισίνα</t>
  </si>
  <si>
    <t>6ZrkVPv9U5-001</t>
  </si>
  <si>
    <t>6ZrkVPv9U5</t>
  </si>
  <si>
    <t>39.15616403414000,20.932832755202800</t>
  </si>
  <si>
    <t>Φιλοθέη</t>
  </si>
  <si>
    <t>Ευστάθιος ΚΑΡΔΑΜΗΣ του Κωνσταντίνου και της Αποστολίας</t>
  </si>
  <si>
    <t>040800415036/0/4</t>
  </si>
  <si>
    <t>6ZrkVPv9U5-002</t>
  </si>
  <si>
    <t>Ημιτελές κατάστημα 61 τ.μ.</t>
  </si>
  <si>
    <t>040800415036/0/2</t>
  </si>
  <si>
    <t>MWBRFJUgLf</t>
  </si>
  <si>
    <t>38.884932043436800,22.440057009959900</t>
  </si>
  <si>
    <t>Λασκαράτου &amp; Πάροδος Τυρταίου,Νέα Άμπλιανη</t>
  </si>
  <si>
    <t>ΑΙΚΑΤΕΡΙΝΗ ΜΑΚΡΗ του Ιωάννη και της Αγγελικής</t>
  </si>
  <si>
    <t>460840315001/0/33</t>
  </si>
  <si>
    <t>a6GYvqQLY9</t>
  </si>
  <si>
    <t>Μεζονέτα 160 τ.μ.</t>
  </si>
  <si>
    <t>36.388928,28.132224</t>
  </si>
  <si>
    <t>ΕΛΕΥΘΕΡΙΑΔΗ ΑΝΤΩΝΙΟ||ΣΑΜΑΡΑ ΒΕΡΟΝΙΚΗ</t>
  </si>
  <si>
    <t>061260420||038862232</t>
  </si>
  <si>
    <t>yhFRU4ObXf-002</t>
  </si>
  <si>
    <t>051041006023/0/3</t>
  </si>
  <si>
    <t>yhFRU4ObXf-001</t>
  </si>
  <si>
    <t>37.942942632528100,23.72321796600190</t>
  </si>
  <si>
    <t>051041006023/0/10</t>
  </si>
  <si>
    <t>3bCgdbI6tx</t>
  </si>
  <si>
    <t>38.52351514144190,23.633598713915700</t>
  </si>
  <si>
    <t>Μένιου Φιλήντα &amp; Σεφέρη</t>
  </si>
  <si>
    <t>Αγγελική ΓΚΙΝΟΣΑΤΗ του Κωνσταντίνου και Ελένης</t>
  </si>
  <si>
    <t>121172037007/0/8</t>
  </si>
  <si>
    <t>4ShsUlUXQS</t>
  </si>
  <si>
    <t>Διαμέρισμα 169 τ.μ.</t>
  </si>
  <si>
    <t>38.261334377808400,23.114473457876700</t>
  </si>
  <si>
    <t>Ελλοπία</t>
  </si>
  <si>
    <t>ΣΩΤΗΡΙΟΣ ΒΥΖΗΣ του ΧΑΡΑΛΑΜΠΟΥ</t>
  </si>
  <si>
    <t>070270121007/0/0</t>
  </si>
  <si>
    <t>SC2RsjZiru</t>
  </si>
  <si>
    <t>38.076177964407500,23.74540888664930</t>
  </si>
  <si>
    <t>Αναστασίου Κατάρα 1Δ</t>
  </si>
  <si>
    <t>ΕΡΑΣΜΙΑ ΓΟΓΑΛΗ||ΙΩΑΝΝΗΣ ΚΟΠΕΛΟΣ</t>
  </si>
  <si>
    <t>051681323||036642448</t>
  </si>
  <si>
    <t>050281160013/0/11</t>
  </si>
  <si>
    <t>0tomlnyNRv</t>
  </si>
  <si>
    <t>Μονοκατοικία 78 τ.μ.</t>
  </si>
  <si>
    <t>38.07043243286500,23.71763083427270</t>
  </si>
  <si>
    <t>Παναγίας Γρηγορούσης 54</t>
  </si>
  <si>
    <t>ΠΑΝΤΕΛΗΣ ΧΡΥΣΙΔΗΣ</t>
  </si>
  <si>
    <t>050520501018/0/0</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</si>
  <si>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</si>
  <si>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</si>
  <si>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</si>
  <si>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</si>
  <si>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</si>
  <si>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</si>
  <si>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</si>
  <si>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O16FOyX51c</t>
  </si>
  <si>
    <t>Ημιτελής μονοκατοικία 150 τ.μ.</t>
  </si>
  <si>
    <t>36.73453998499770,22.561116089092200</t>
  </si>
  <si>
    <t>Θέση Σχοινέα ή Σκηνέα, Μαυροβούνι</t>
  </si>
  <si>
    <t>ΤΣΙΒΙΔΙΣ  ΓΚΕΝΑΔΙ του ΠΑΒΕΛ και της ΛΙΡΑ</t>
  </si>
  <si>
    <t>300481208008/1/0</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</si>
  <si>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</si>
  <si>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</si>
  <si>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</si>
  <si>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</si>
  <si>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</si>
  <si>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</si>
  <si>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</si>
  <si>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</si>
  <si>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</si>
  <si>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</si>
  <si>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MM1Vsf214s-002</t>
  </si>
  <si>
    <t>MM1Vsf214s</t>
  </si>
  <si>
    <t>38.07744766986200,23.737516849133100</t>
  </si>
  <si>
    <t>Παπανίκα 77</t>
  </si>
  <si>
    <t>ΦΥΤΑΣ Παναγιώτης</t>
  </si>
  <si>
    <t>050281640012/0/3</t>
  </si>
  <si>
    <t>MM1Vsf214s-001</t>
  </si>
  <si>
    <t>050281640012/0/2</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</si>
  <si>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</si>
  <si>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</si>
  <si>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</si>
  <si>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</si>
  <si>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</si>
  <si>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</si>
  <si>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</si>
  <si>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</si>
  <si>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</si>
  <si>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</si>
  <si>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</si>
  <si>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d0lOlyhdmN</t>
  </si>
  <si>
    <t>37.935965006443400,22.917197609959400</t>
  </si>
  <si>
    <t>Πατρών 76Α</t>
  </si>
  <si>
    <t>Αρτεμησία ΒΟΥΡΑΚΗ του Μιχαήλ και της Αικατερίνης</t>
  </si>
  <si>
    <t>280550111017/2/8</t>
  </si>
  <si>
    <t>0QDxTAHtE6</t>
  </si>
  <si>
    <t>40.836328876111200,21.762289930928700</t>
  </si>
  <si>
    <t>Θέση Πολίτο, Άγιος Αθανάσιος</t>
  </si>
  <si>
    <t>ΔΕΔΗ ΜΑΡΙΑ||ΜΙΧΑΗΛΙΔΗΣ ΙΟΡΔΑΝΗΣ</t>
  </si>
  <si>
    <t>045346356||038158263</t>
  </si>
  <si>
    <t>380010139004/0/4</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</si>
  <si>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</si>
  <si>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</si>
  <si>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</si>
  <si>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</si>
  <si>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</si>
  <si>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</si>
  <si>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re4flC1kbB-001</t>
  </si>
  <si>
    <t>re4flC1kbB</t>
  </si>
  <si>
    <t>40.77731903894550,21.400141577036400</t>
  </si>
  <si>
    <t>Θηβών 9</t>
  </si>
  <si>
    <t>ΚΩΝΣΤΑΝΤΙΝΟΣ ΕΥΓΕΝΙΔΗΣ ΤΟΥ ΘΡΑΣΥΒΟΥΛΟΥ ΚΑΙ ΤΗΣ ΑΓΑΠΗΣ</t>
  </si>
  <si>
    <t>470890905036/0/4</t>
  </si>
  <si>
    <t>re4flC1kbB-004</t>
  </si>
  <si>
    <t>470890905036/0/7</t>
  </si>
  <si>
    <t>re4flC1kbB-003</t>
  </si>
  <si>
    <t>470890905036/0/6</t>
  </si>
  <si>
    <t>re4flC1kbB-002</t>
  </si>
  <si>
    <t>470890905036/0/5</t>
  </si>
  <si>
    <t>cLewLhHAGy</t>
  </si>
  <si>
    <t>Ιθάκη</t>
  </si>
  <si>
    <t>Ιθάκης</t>
  </si>
  <si>
    <t>38.36230144687380,20.731631268399200</t>
  </si>
  <si>
    <t>Αγίου Ραφαήλ, Κανελλάτα</t>
  </si>
  <si>
    <t>ΔΕΣΠΟΙΝΑ ΣΠΗΛΙΩΤΗ</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</si>
  <si>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</si>
  <si>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</si>
  <si>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</si>
  <si>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</si>
  <si>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</si>
  <si>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</si>
  <si>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</si>
  <si>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</si>
  <si>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</si>
  <si>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</si>
  <si>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</si>
  <si>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</si>
  <si>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</si>
  <si>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Τρίλοφος</t>
  </si>
  <si>
    <t>40.46378944568820,22.9719662355658</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</si>
  <si>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</si>
  <si>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</si>
  <si>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</si>
  <si>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</si>
  <si>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</si>
  <si>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</si>
  <si>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</si>
  <si>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</si>
  <si>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arX4YQXeo5-002</t>
  </si>
  <si>
    <t>301341413001/0/5</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</si>
  <si>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</si>
  <si>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</si>
  <si>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</si>
  <si>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</si>
  <si>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</si>
  <si>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</si>
  <si>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</si>
  <si>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301340931009/0/26</t>
  </si>
  <si>
    <t>1FYkicgDHN-002</t>
  </si>
  <si>
    <t>301340931009/0/25</t>
  </si>
  <si>
    <t>XxiFSNRbtA-001</t>
  </si>
  <si>
    <t>050140751022/0/38</t>
  </si>
  <si>
    <t>XxiFSNRbtA-002</t>
  </si>
  <si>
    <t>050140751022/0/11</t>
  </si>
  <si>
    <t>FBQh0bO0lC</t>
  </si>
  <si>
    <t>Εβελίνα Μυροφορίδου</t>
  </si>
  <si>
    <t>191180344014/2/3</t>
  </si>
  <si>
    <t>LgmPkOMWTc</t>
  </si>
  <si>
    <t>37.97478832118410,23.517437857256900</t>
  </si>
  <si>
    <t>Διονύσου, Παρθενώνος &amp; Ακροπόλεως</t>
  </si>
  <si>
    <t>ΝΙΚΟΛΑΟΣ ΜΠΟΤΟΣ</t>
  </si>
  <si>
    <t>051292111008/0/0</t>
  </si>
  <si>
    <t>lKr1ZBXSkJ</t>
  </si>
  <si>
    <t>38.082677589126200,23.73817291893540</t>
  </si>
  <si>
    <t>Δημοσθένους 43</t>
  </si>
  <si>
    <t>ΧΡΥΣΑΝΘΗ ΔΡΑΚΑΚΗ του Αλεξάνδρου και της Παρασκευής</t>
  </si>
  <si>
    <t>050282020007/0/29</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</si>
  <si>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</si>
  <si>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</si>
  <si>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</si>
  <si>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</si>
  <si>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</si>
  <si>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</si>
  <si>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</si>
  <si>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</si>
  <si>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</si>
  <si>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</si>
  <si>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</si>
  <si>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</si>
  <si>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</si>
  <si>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</si>
  <si>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</si>
  <si>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</si>
  <si>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</si>
  <si>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</si>
  <si>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</si>
  <si>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bV1sLlHVGt</t>
  </si>
  <si>
    <t>35.32840909336530,25.14857393688270</t>
  </si>
  <si>
    <t>Παναγίου Τάφου 2</t>
  </si>
  <si>
    <t>ΧΡΥΣΟΥΛΑΚΗ ΕΙΡΗΝΗ του ΑΝΤΩΝΙΟΥ και της ΕΛΕΝΗΣ</t>
  </si>
  <si>
    <t>170631881001/0/2</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</si>
  <si>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</si>
  <si>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</si>
  <si>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</si>
  <si>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</si>
  <si>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</si>
  <si>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</si>
  <si>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</si>
  <si>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</si>
  <si>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</si>
  <si>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</si>
  <si>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</si>
  <si>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</si>
  <si>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</si>
  <si>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B94L8NJ3mI-001</t>
  </si>
  <si>
    <t>ΚΩΝΣΤΑΝΤΙΝΟΣ ΛΥΓΚΑΣ ΤΟΥ ΠΑΝΑΓΙΩΤΗ</t>
  </si>
  <si>
    <t>t83OnRwY6W-001</t>
  </si>
  <si>
    <t>Μονοκατοικία 86 τ.μ. και θέση στάθμευσης</t>
  </si>
  <si>
    <t>Νεωρίων</t>
  </si>
  <si>
    <t>050153104003/1/0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</si>
  <si>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</si>
  <si>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</si>
  <si>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</si>
  <si>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</si>
  <si>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</si>
  <si>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</si>
  <si>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LK04DLhXRi</t>
  </si>
  <si>
    <t>Μονοκατοικία 266 τ.μ.</t>
  </si>
  <si>
    <t>35.19525899285660,25.192891057611500</t>
  </si>
  <si>
    <t>ΑΝΘΟΥΛΑΚΗ ΑΙΚΑΤΕΡΙΝΗ του ΜΙΧΑΗΛ και της ΓΕΩΡΓΙΑΣ</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</si>
  <si>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</si>
  <si>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</si>
  <si>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</si>
  <si>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</si>
  <si>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</si>
  <si>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</si>
  <si>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CnkdjUOhU1</t>
  </si>
  <si>
    <t>Μεζονέτα 227 τ.μ.</t>
  </si>
  <si>
    <t>Αρχαία Κόρινθος</t>
  </si>
  <si>
    <t>37.929825,22.890109</t>
  </si>
  <si>
    <t>Μενάνδρου 5</t>
  </si>
  <si>
    <t>ΜΑΚΡΙΔΗΣ Δημήτριος του Αλεξάνδρου και της Ελένης</t>
  </si>
  <si>
    <t>280091317010/0/0</t>
  </si>
  <si>
    <t>7o9hvTdyFG</t>
  </si>
  <si>
    <t>40.71680597196050,22.737040137087900</t>
  </si>
  <si>
    <t>Κωστή Παλαμά 200</t>
  </si>
  <si>
    <t>Κιτσος Νικηφόρος του Χρήστου</t>
  </si>
  <si>
    <t>190040331001/1/7</t>
  </si>
  <si>
    <t>ADSFZ8OpMW-002</t>
  </si>
  <si>
    <t>070690818003/1/6</t>
  </si>
  <si>
    <t>4LHxI7qebe</t>
  </si>
  <si>
    <t>Διαμέρισμα 182 τ.μ.</t>
  </si>
  <si>
    <t>35.20379389182710,26.09692677013930</t>
  </si>
  <si>
    <t>Ανθέων, Ξεροκαμάρες</t>
  </si>
  <si>
    <t>ΑΜΠΟΥΛΕΡΗ ΟΛΓΑ</t>
  </si>
  <si>
    <t>320731014008/1/3</t>
  </si>
  <si>
    <t>aypcZ5yJej</t>
  </si>
  <si>
    <t>Μονοκατοικία 155 τ.μ.</t>
  </si>
  <si>
    <t>40.4542569234728,22.94830146431410</t>
  </si>
  <si>
    <t>Θέση Κεφάλα</t>
  </si>
  <si>
    <t>ΠΑΥΛΟΣ ΣΙΝΑΤΣΑΚΗΣ</t>
  </si>
  <si>
    <t>191181503013/0/1</t>
  </si>
  <si>
    <t>X8cmApCdCA</t>
  </si>
  <si>
    <t>Διαμέρισμα 37 τ.μ. με αποθήκη</t>
  </si>
  <si>
    <t>41.1327877725577,24.881986748658300</t>
  </si>
  <si>
    <t>Μαραθώνος 8 &amp; Σαρανταπόρου</t>
  </si>
  <si>
    <t>ΤΕΡΖΗΣ ΙΩΑΝΝΗΣ του ΑΡΓΥΡΙΟΥ</t>
  </si>
  <si>
    <t>370261036020/0/2</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</si>
  <si>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</si>
  <si>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</si>
  <si>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</si>
  <si>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</si>
  <si>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</si>
  <si>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</si>
  <si>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</si>
  <si>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</si>
  <si>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</si>
  <si>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</si>
  <si>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</si>
  <si>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</si>
  <si>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DrX3aBNiDv-001</t>
  </si>
  <si>
    <t>Πόρτο Χέλι</t>
  </si>
  <si>
    <t>1FYkicgDHN-005</t>
  </si>
  <si>
    <t>301341429050/0/40</t>
  </si>
  <si>
    <t>qv15j8HsIV</t>
  </si>
  <si>
    <t>Μονοκατοικία 87 τ.μ.</t>
  </si>
  <si>
    <t>Μονεμβασιά</t>
  </si>
  <si>
    <t>36.708440551717000,22.94086996259900</t>
  </si>
  <si>
    <t>Θέση Καμίνια, Βελιές</t>
  </si>
  <si>
    <t>Βασίλειος ΕΥΘΥΜΙΟΠΟΥΛΟΣ του Νικολάου και της Μαρίας</t>
  </si>
  <si>
    <t>TfPfidHAL3-002</t>
  </si>
  <si>
    <t>TfPfidHAL3</t>
  </si>
  <si>
    <t>35.37183058814710,24.47344268570980</t>
  </si>
  <si>
    <t>Αργυρόπουλων 13</t>
  </si>
  <si>
    <t>ΣΙΜΙΤΟΠΟΥΛΟΥ ΣΤΑΜΑΤΙΑ ΤΟΥ ΓΕΩΡΓΙΟΥ</t>
  </si>
  <si>
    <t>411110502017/1/2</t>
  </si>
  <si>
    <t>OmW73R5l79</t>
  </si>
  <si>
    <t>Κτήριο κατοικιών 230 τ.μ.</t>
  </si>
  <si>
    <t>38.611305629253100,21.41070918993280</t>
  </si>
  <si>
    <t>Παυσανία 17</t>
  </si>
  <si>
    <t>Λιάπης Επαμεινώνδας του Γεωργίου  και Ελένης</t>
  </si>
  <si>
    <t>010184015006/0/0</t>
  </si>
  <si>
    <t>RAvJepTV6X-001</t>
  </si>
  <si>
    <t>Μονοκατοικία 45 τ.μ.</t>
  </si>
  <si>
    <t>35.49460640871590,24.024969544506300</t>
  </si>
  <si>
    <t>Κοσμά Αιτωλού 7, Κόκκινο Μετόχι</t>
  </si>
  <si>
    <t>500940911054/0/0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</si>
  <si>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</si>
  <si>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</si>
  <si>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</si>
  <si>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</si>
  <si>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</si>
  <si>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</si>
  <si>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</si>
  <si>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VW6wtUG4rj</t>
  </si>
  <si>
    <t>Μεζονέτα 99 τ.μ. με θέση στάθμευσης</t>
  </si>
  <si>
    <t>38.32186628471050,23.762184498415900</t>
  </si>
  <si>
    <t>Λέσβου &amp; Αγίας Κυριακής</t>
  </si>
  <si>
    <t>ΜΑΡΓΩΝΗΣ Στέφανος του Ευαγγέλου και της Βασιλικής,</t>
  </si>
  <si>
    <t>051500417009/0/3</t>
  </si>
  <si>
    <t>qmViOvZk5P</t>
  </si>
  <si>
    <t>Διαμέρισμα 48 τ.μ. με αποθήκη</t>
  </si>
  <si>
    <t>41.12942149276200,24.880546018168800</t>
  </si>
  <si>
    <t>Πατριάρχου Γρηγορίου Ε΄ 8</t>
  </si>
  <si>
    <t>ΒΑΣΙΛΕΙΟΥ ΠΑΝΑΓΙΩΤΗΣ του ΔΗΜΗΤΡΙΟΥ</t>
  </si>
  <si>
    <t>370260929009/0/5</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</si>
  <si>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</si>
  <si>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</si>
  <si>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</si>
  <si>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</si>
  <si>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</si>
  <si>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</si>
  <si>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</si>
  <si>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</si>
  <si>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</si>
  <si>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</si>
  <si>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</si>
  <si>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</si>
  <si>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Q4SOTy8GJx</t>
  </si>
  <si>
    <t>Μονοκατοικία 245 τ.μ.</t>
  </si>
  <si>
    <t>Κάτω Σχολάρι</t>
  </si>
  <si>
    <t>40.398998689594100,23.035403026615600</t>
  </si>
  <si>
    <t>Παναγιώτης Παρτάλης του Σάββα και της Σουλτάνας</t>
  </si>
  <si>
    <t>190520603009/0/0</t>
  </si>
  <si>
    <t>GGJQekTNQB</t>
  </si>
  <si>
    <t>Ημιτελές κατάστημα 71 τ.μ.</t>
  </si>
  <si>
    <t>Πολύκαστρο</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</si>
  <si>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</si>
  <si>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</si>
  <si>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</si>
  <si>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</si>
  <si>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</si>
  <si>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</si>
  <si>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</si>
  <si>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</si>
  <si>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</si>
  <si>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</si>
  <si>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</si>
  <si>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nTkXBH67hF</t>
  </si>
  <si>
    <t>Επαγγελματικό κτίριο 600 τ.μ.</t>
  </si>
  <si>
    <t>40.75827581501140,22.15037347894160</t>
  </si>
  <si>
    <t>Θέση Τούμπα</t>
  </si>
  <si>
    <t>Αντωνίος Στογιάννης του Αθανασίου</t>
  </si>
  <si>
    <t>380752005001/0/0</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</si>
  <si>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</si>
  <si>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</si>
  <si>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</si>
  <si>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</si>
  <si>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</si>
  <si>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</si>
  <si>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</si>
  <si>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</si>
  <si>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</si>
  <si>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</si>
  <si>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</si>
  <si>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</si>
  <si>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</si>
  <si>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Hn091C4dyI-001</t>
  </si>
  <si>
    <t>Μονοκατοικία 213  τ.μ.</t>
  </si>
  <si>
    <t>40.258475211765400,21.741803270095700</t>
  </si>
  <si>
    <t>Κλείτος</t>
  </si>
  <si>
    <t>271090110003/0/0</t>
  </si>
  <si>
    <t>OuYsWwy5Wq</t>
  </si>
  <si>
    <t>Ταύρος</t>
  </si>
  <si>
    <t>37.96992687746930,23.694147780710800</t>
  </si>
  <si>
    <t>Εσταυρωμένου 3 &amp; Κρόνου 2</t>
  </si>
  <si>
    <t>ΜΗΤΡΑΓΚΑΣ Κωνσταντίνος του Αντωνίου και της Θεοδώρας</t>
  </si>
  <si>
    <t>051380802019/0/423</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</si>
  <si>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</si>
  <si>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</si>
  <si>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</si>
  <si>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</si>
  <si>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</si>
  <si>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</si>
  <si>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</si>
  <si>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</si>
  <si>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</si>
  <si>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</si>
  <si>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</si>
  <si>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</si>
  <si>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</si>
  <si>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</si>
  <si>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</si>
  <si>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</si>
  <si>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</si>
  <si>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</si>
  <si>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</si>
  <si>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</si>
  <si>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l3y0voyTyi-001</t>
  </si>
  <si>
    <t>l3y0voyTyi</t>
  </si>
  <si>
    <t>38.03315797832440,23.766088038146700</t>
  </si>
  <si>
    <t>Αίνου 71 &amp; Θαλή Μιλήσιου 1</t>
  </si>
  <si>
    <t>ΕΛΕΝΗ ΓΕΝΤΙΚΗ</t>
  </si>
  <si>
    <t>051000914008/0/8</t>
  </si>
  <si>
    <t>l3y0voyTyi-002</t>
  </si>
  <si>
    <t>051000914008/0/3</t>
  </si>
  <si>
    <t>ecMEU88arR</t>
  </si>
  <si>
    <t>36.842944,27.157833</t>
  </si>
  <si>
    <t>Θέση Άγιος Νικόλαος Πυλί</t>
  </si>
  <si>
    <t>ΣΟΦΙΑ ΚΑΡΠΑΘΙΟΥ του Αθανασίου .</t>
  </si>
  <si>
    <t>5pBWkYg6Hd</t>
  </si>
  <si>
    <t>Ημιτελές διαμέρισμα 68 τ.μ.</t>
  </si>
  <si>
    <t>37.9310929869704,23.73373867659280</t>
  </si>
  <si>
    <t>Ανάφης 12-14 &amp; Μεθάνων</t>
  </si>
  <si>
    <t>ΕΜΜΑΝΟΥΗΛ ΠΑΡΔΑΚΗΣ</t>
  </si>
  <si>
    <t>050036913003/0/9</t>
  </si>
  <si>
    <t>bOibtnMqpf</t>
  </si>
  <si>
    <t>Ξενοδοχείο 1.811 τ.μ.</t>
  </si>
  <si>
    <t>37.40018075586460,22.133225603029900</t>
  </si>
  <si>
    <t>Αγίου Νικολάου &amp; Παπαντώνη</t>
  </si>
  <si>
    <t>«ΝΑΝΟΣ ΔΗΜ. ΚΑΙ ΣΙΑ ΕΕ»</t>
  </si>
  <si>
    <t>031410619001/0/0</t>
  </si>
  <si>
    <t>KYE6CIheCd</t>
  </si>
  <si>
    <t>38.03396974337750,21.36491613348530</t>
  </si>
  <si>
    <t>Πατρών-Πύργου &amp; Δημητσάνας</t>
  </si>
  <si>
    <t>Νικόλαος Διαμαντόπουλος του Βασιλείου</t>
  </si>
  <si>
    <t>150390550013/1/3</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</si>
  <si>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</si>
  <si>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</si>
  <si>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</si>
  <si>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</si>
  <si>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</si>
  <si>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</si>
  <si>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</si>
  <si>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Nkn3X8ONVK</t>
  </si>
  <si>
    <t>Μεζονέτες 428 τ.μ. με πισίνα</t>
  </si>
  <si>
    <t>Καλύβες</t>
  </si>
  <si>
    <t>35.41535896184920,24.21010744417970</t>
  </si>
  <si>
    <t>Θέση Κεφαλές, Γαβαλοχώρι</t>
  </si>
  <si>
    <t>ΕΛΕΥΘΕΡΙΟΣ ΦΡΑΓΓΕΔΑΚΗΣ του ΣΤΥΛΙΑΝΟΥ||ΠΕΤΡΟΥΛΑΚΗΣ ΓΕΩΡΓΙΟΣ του ΑΡΙΣΤΟΜΕΝΗ</t>
  </si>
  <si>
    <t>046537700||044316827</t>
  </si>
  <si>
    <t>JCsIIUDyVH-009</t>
  </si>
  <si>
    <t>Επαγγελματικά κτίρια 692 τ.μ.</t>
  </si>
  <si>
    <t>41.601569464327800,26.52380951412710</t>
  </si>
  <si>
    <t>110503216076/0/0</t>
  </si>
  <si>
    <t>UeHPFcV0Xn</t>
  </si>
  <si>
    <t>Κτήριο κατοικιών 250 τ.μ.</t>
  </si>
  <si>
    <t>38.928999492221400,24.566405655010100</t>
  </si>
  <si>
    <t>Θέση Πέρα Κάμπος, Μώλος</t>
  </si>
  <si>
    <t>ΑΜΑΛΙΑ ΤΣΕΚΟΥΡΑ του Δημητρίου</t>
  </si>
  <si>
    <t>121476502043/0/0</t>
  </si>
  <si>
    <t>CPvuDYnXj6-001</t>
  </si>
  <si>
    <t>051450324004/0/17</t>
  </si>
  <si>
    <t>CPvuDYnXj6-002</t>
  </si>
  <si>
    <t>051450324004/0/11</t>
  </si>
  <si>
    <t>DrLQJBBaAv</t>
  </si>
  <si>
    <t>Ημιτελής μονοκατοικία 212 τ.μ. με χώρο στάθμευσης</t>
  </si>
  <si>
    <t>35.305096,24.807681</t>
  </si>
  <si>
    <t>Κωστάκης Στυλιανός του Εμμανουήλ και της Χρυσούλας</t>
  </si>
  <si>
    <t>oy2ZBcK2rL</t>
  </si>
  <si>
    <t>38.90101566088430,22.43530910290110</t>
  </si>
  <si>
    <t>Όθωνος 20</t>
  </si>
  <si>
    <t>ΛΑΜΠΡΟΠΟΥΛΟΥ ΒΑΣΙΛΙΚΗ του Αναστασίου και της Ζωίτσας</t>
  </si>
  <si>
    <t>460842917013/0/28</t>
  </si>
  <si>
    <t>ax63TochCo</t>
  </si>
  <si>
    <t>Κτήριο 265 τ.μ.</t>
  </si>
  <si>
    <t>39.63001132829370,20.83717748287950</t>
  </si>
  <si>
    <t>ΧΡΥΣΗ ΛΑΜΠΡΙΝΗ του Βασιλειου και της Ζωης</t>
  </si>
  <si>
    <t>202220303008/1/0</t>
  </si>
  <si>
    <t>Μεζονέτα 113 τ.μ.</t>
  </si>
  <si>
    <t>411110502017/1/1</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</si>
  <si>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</si>
  <si>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</si>
  <si>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</si>
  <si>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</si>
  <si>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</si>
  <si>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</si>
  <si>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TfPfidHAL3-001</t>
  </si>
  <si>
    <t>ivcDATJxFx</t>
  </si>
  <si>
    <t>Κτήριο κατοικιών 160 τ.μ.</t>
  </si>
  <si>
    <t>39.464845,20.515905</t>
  </si>
  <si>
    <t>Θέση Προνιάτες</t>
  </si>
  <si>
    <t>Σωτήριος ΔΡΙΜΤΖΙΑΣ του Ιωάννη και της Σπυριδούλας</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</si>
  <si>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</si>
  <si>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</si>
  <si>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</si>
  <si>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</si>
  <si>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</si>
  <si>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</si>
  <si>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</si>
  <si>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hBfpJLh4Gj</t>
  </si>
  <si>
    <t>37.04930183102630,22.405999831044300</t>
  </si>
  <si>
    <t>Θέση Λασκαρέικα, Άγιος Ιωάννης, Μυστράς</t>
  </si>
  <si>
    <t>ΛΑΣΚΑΡΗΣ ΠΑΝΑΓΙΩΤΗΣ</t>
  </si>
  <si>
    <t>300080717019/0/0</t>
  </si>
  <si>
    <t>So5LBBkccC-010</t>
  </si>
  <si>
    <t>Κατάστημα 267 τ.μ. με αποθήκη 94 τ.μ.</t>
  </si>
  <si>
    <t>080100407001/0/10</t>
  </si>
  <si>
    <t>So5LBBkccC-009</t>
  </si>
  <si>
    <t>Κατάστημα 236 τ.μ. με αποθήκη 65 τ.μ.</t>
  </si>
  <si>
    <t>080100407001/0/9</t>
  </si>
  <si>
    <t>tjLEfa1VkH-002</t>
  </si>
  <si>
    <t>Μονοκατοικία 182 τ.μ.</t>
  </si>
  <si>
    <t>Τέμενη</t>
  </si>
  <si>
    <t>38.23575319285380,22.11773948251480</t>
  </si>
  <si>
    <t>Θέση Μπονέτα</t>
  </si>
  <si>
    <t>062120424015/0/0</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</si>
  <si>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</si>
  <si>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</si>
  <si>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</si>
  <si>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</si>
  <si>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</si>
  <si>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</si>
  <si>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IxcPrNy0HQ</t>
  </si>
  <si>
    <t>35.55616775273090,24.097241187572100</t>
  </si>
  <si>
    <t>Θέση Κάτω Στέρνα, Χωραφάκια</t>
  </si>
  <si>
    <t>ΣΠΥΡΙΔΩΝ ΚΟΚΑΛΙΑΡΗΣ του Εμμανουήλ</t>
  </si>
  <si>
    <t>500741603127/2/0</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</si>
  <si>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</si>
  <si>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</si>
  <si>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</si>
  <si>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</si>
  <si>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</si>
  <si>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</si>
  <si>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SktVhJvn8x</t>
  </si>
  <si>
    <t>Σαραβάλι</t>
  </si>
  <si>
    <t>38.20072154124500,21.746699918801800</t>
  </si>
  <si>
    <t>Ειρήνης &amp; Φιλίας 75</t>
  </si>
  <si>
    <t>ΧΡΗΣΤΟΣ ΣΤΑΘΑΣ του ΧΑΡΑΛΑΜΠΟΥΣ και της ΑΘΑΝΑΣΙΑΣ</t>
  </si>
  <si>
    <t>061960339007/0/3</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</si>
  <si>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</si>
  <si>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</si>
  <si>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</si>
  <si>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</si>
  <si>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</si>
  <si>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</si>
  <si>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</si>
  <si>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</si>
  <si>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</si>
  <si>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</si>
  <si>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</si>
  <si>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</si>
  <si>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</si>
  <si>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uP5j3Sx74A</t>
  </si>
  <si>
    <t>Ημιτελές κτήριο 95 τ.μ.</t>
  </si>
  <si>
    <t>Αμάρι</t>
  </si>
  <si>
    <t>Αμαρίου</t>
  </si>
  <si>
    <t>35.25941,24.591572</t>
  </si>
  <si>
    <t>Θέση Μούργια, Παντάνασσα</t>
  </si>
  <si>
    <t>ΚΥΡΙΑΚΟΣ ΚΑΡΑΓΙΑΝΝΑΚΗΣ του Ανδρέα||ΜΑΡΙΑ ΙΕΡΩΝΥΜΑΚΗ του Δημητρίου</t>
  </si>
  <si>
    <t>046538500||100607046</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</si>
  <si>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</si>
  <si>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</si>
  <si>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</si>
  <si>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</si>
  <si>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</si>
  <si>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</si>
  <si>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</si>
  <si>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nUaGKZ2nRP-001</t>
  </si>
  <si>
    <t>38.01721572608940,23.861829334800800</t>
  </si>
  <si>
    <t>Ηγουμενίτσης 4 &amp; Γυθείου</t>
  </si>
  <si>
    <t>050390718004/1/6</t>
  </si>
  <si>
    <t>nUaGKZ2nRP-003</t>
  </si>
  <si>
    <t>050390718004/1/10</t>
  </si>
  <si>
    <t>nUaGKZ2nRP-002</t>
  </si>
  <si>
    <t>050390718004/1/9</t>
  </si>
  <si>
    <t>gtfr153EPG</t>
  </si>
  <si>
    <t>Διαμέρισμα 44 τ.μ. με θέση στάθμευσης και αποθήκη</t>
  </si>
  <si>
    <t>37.95146255583450,23.73709649364360</t>
  </si>
  <si>
    <t>Μυκηνών 7</t>
  </si>
  <si>
    <t>ΠΑΠΑΔΗΜΗΤΡΙΟΥ Ανδρέας του Φωτίου και της Ελένης,</t>
  </si>
  <si>
    <t>050431413008/0/11</t>
  </si>
  <si>
    <t>EQ8VXnXQGq</t>
  </si>
  <si>
    <t>Μονοκατοικία 400 τ.μ.</t>
  </si>
  <si>
    <t>35.27301320582900,25.086985253743000</t>
  </si>
  <si>
    <t>Θέση Παπούρα</t>
  </si>
  <si>
    <t>ΚΑΤΣΙΚΑΚΗΣ ΝΕΚΤΑΡΙΟΣ του ΝΙΚΟΛΑΟΥ και της ΓΕΩΡΓΙΑΣ</t>
  </si>
  <si>
    <t>170636606253/0/0</t>
  </si>
  <si>
    <t>YiiOOfi7wS</t>
  </si>
  <si>
    <t>Κτήριο μεικτής χρήσης 428 τ.μ.</t>
  </si>
  <si>
    <t>40.258181,23.334735</t>
  </si>
  <si>
    <t>Θέση Αβούλι, Άγιος Μάμας</t>
  </si>
  <si>
    <t>ΠΛΑΤΣΑΣ ΑΝΤΩΝΙΟΣ του Δημητρίου και της Χρυσάνθης</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</si>
  <si>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</si>
  <si>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</si>
  <si>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</si>
  <si>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</si>
  <si>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</si>
  <si>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</si>
  <si>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fiFSwfxla1-001</t>
  </si>
  <si>
    <t>fiFSwfxla1</t>
  </si>
  <si>
    <t>39.690450585297800,20.82032895821710</t>
  </si>
  <si>
    <t>Αχιλλέως</t>
  </si>
  <si>
    <t>ΦΩΤΙΟΣ ΒΑΒΒΑΣ ΤΟΥ ΒΑΣΙΛΕΙΟΥ</t>
  </si>
  <si>
    <t>202370202003/0/5</t>
  </si>
  <si>
    <t>fiFSwfxla1-002</t>
  </si>
  <si>
    <t>202370202003/0/7</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</si>
  <si>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</si>
  <si>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</si>
  <si>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</si>
  <si>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</si>
  <si>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</si>
  <si>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</si>
  <si>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8nUOe2HLOe-001</t>
  </si>
  <si>
    <t>8nUOe2HLOe</t>
  </si>
  <si>
    <t>37.75868351956980,20.87213630150870</t>
  </si>
  <si>
    <t>Θέση Κομιωτεΐκα-Λευκό, Αμπελόκηποι</t>
  </si>
  <si>
    <t>ΑΛΕΞΑΝΔΡΟΣ ΠΑΠΠΑΣ</t>
  </si>
  <si>
    <t>140080727009/0/0</t>
  </si>
  <si>
    <t>8nUOe2HLOe-002</t>
  </si>
  <si>
    <t>fJU57gUYGB</t>
  </si>
  <si>
    <t>37.998195158363600,23.688099751772700</t>
  </si>
  <si>
    <t>Δολιανών 13 &amp; Συνταγματάρχου Δαβάκη</t>
  </si>
  <si>
    <t>ΛΥΚΟΥΡΙΝΟΣ Δημήτριος||ΜΑΡΚΑΚΗ -ΛΥΚΟΥΡΙΝΟΥ Μαρία</t>
  </si>
  <si>
    <t>064606649||046386898</t>
  </si>
  <si>
    <t>050117513019/0/5</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</si>
  <si>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</si>
  <si>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</si>
  <si>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</si>
  <si>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</si>
  <si>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</si>
  <si>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</si>
  <si>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</si>
  <si>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</si>
  <si>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</si>
  <si>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</si>
  <si>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</si>
  <si>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</si>
  <si>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Mp8VnkqqI1-002</t>
  </si>
  <si>
    <t>ΜΕΝΤΕΛΕΣ ΜΙΧΑΗΛ του ΘΕΟΔΩΡΟΥ και της ΔΗΜΗΤΡΑΣ||ΧΙΩΤΕΡΗ ΑΙΚΑΤΕΡΙΝΗ του ΑΘΑΝΑΣΙΟΥ και της ΕΙΡΗΝΗΣ</t>
  </si>
  <si>
    <t>260354107005/0/2</t>
  </si>
  <si>
    <t>Mp8VnkqqI1-001</t>
  </si>
  <si>
    <t>Κατάστημα 111 τ.μ.</t>
  </si>
  <si>
    <t>260354107005/0/1</t>
  </si>
  <si>
    <t>precent_under_market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</si>
</sst>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75]d/m/yyyy;@"/>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87"/>
  <sheetViews>
    <sheetView tabSelected="1" workbookViewId="0">
      <selection activeCell="A2" sqref="A2"/>
    </sheetView>
  </sheetViews>
  <sheetFormatPr defaultRowHeight="14.4" x14ac:dyDescent="0.3"/>
  <cols>
    <col min="4" max="4" width="10.5546875" style="4" bestFit="1" customWidth="1"/>
  </cols>
  <sheetData>
    <row r="1" spans="1:40" x14ac:dyDescent="0.3">
      <c r="A1" s="1" t="s">
        <v>0</v>
      </c>
      <c r="B1" s="1" t="s">
        <v>1</v>
      </c>
      <c r="C1" s="1"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6668</v>
      </c>
    </row>
    <row r="2" spans="1:40" x14ac:dyDescent="0.3">
      <c r="A2" t="s">
        <v>59</v>
      </c>
      <c r="B2" t="s">
        <v>499</v>
      </c>
      <c r="C2" t="s">
        <v>499</v>
      </c>
      <c r="D2" s="4">
        <v>45975</v>
      </c>
      <c r="E2">
        <v>56000</v>
      </c>
      <c r="F2" t="s">
        <v>500</v>
      </c>
      <c r="G2" t="s">
        <v>194</v>
      </c>
      <c r="H2" t="s">
        <v>67</v>
      </c>
      <c r="I2" t="s">
        <v>195</v>
      </c>
      <c r="J2" t="s">
        <v>67</v>
      </c>
      <c r="K2" t="s">
        <v>501</v>
      </c>
      <c r="L2" t="s">
        <v>44</v>
      </c>
      <c r="M2" t="s">
        <v>502</v>
      </c>
      <c r="N2">
        <v>18544</v>
      </c>
      <c r="O2" t="s">
        <v>45</v>
      </c>
      <c r="P2" t="s">
        <v>81</v>
      </c>
      <c r="Q2" t="s">
        <v>55</v>
      </c>
      <c r="R2">
        <v>0</v>
      </c>
      <c r="S2">
        <v>77.459999999999994</v>
      </c>
      <c r="T2">
        <v>0</v>
      </c>
      <c r="U2">
        <v>0</v>
      </c>
      <c r="V2" t="s">
        <v>503</v>
      </c>
      <c r="W2" t="s">
        <v>504</v>
      </c>
      <c r="X2" t="s">
        <v>49</v>
      </c>
      <c r="Y2" t="s">
        <v>505</v>
      </c>
      <c r="Z2" t="b">
        <v>0</v>
      </c>
      <c r="AA2">
        <v>722.95378259746974</v>
      </c>
      <c r="AN2" t="e">
        <f>100*(1-E2/AL2)</f>
        <v>#DIV/0!</v>
      </c>
    </row>
    <row r="3" spans="1:40" x14ac:dyDescent="0.3">
      <c r="A3" t="s">
        <v>39</v>
      </c>
      <c r="B3" t="s">
        <v>5309</v>
      </c>
      <c r="C3" t="s">
        <v>5309</v>
      </c>
      <c r="D3" s="4">
        <v>45975</v>
      </c>
      <c r="E3">
        <v>109000</v>
      </c>
      <c r="F3" t="s">
        <v>343</v>
      </c>
      <c r="G3" t="s">
        <v>2830</v>
      </c>
      <c r="H3" t="s">
        <v>41</v>
      </c>
      <c r="I3" t="s">
        <v>2831</v>
      </c>
      <c r="J3" t="s">
        <v>43</v>
      </c>
      <c r="K3" t="s">
        <v>5310</v>
      </c>
      <c r="L3" t="s">
        <v>44</v>
      </c>
      <c r="M3" t="s">
        <v>5311</v>
      </c>
      <c r="N3">
        <v>48200</v>
      </c>
      <c r="O3" t="s">
        <v>45</v>
      </c>
      <c r="P3" t="s">
        <v>54</v>
      </c>
      <c r="Q3" t="s">
        <v>55</v>
      </c>
      <c r="R3">
        <v>1995</v>
      </c>
      <c r="S3">
        <v>109.4</v>
      </c>
      <c r="T3">
        <v>0</v>
      </c>
      <c r="U3">
        <v>0</v>
      </c>
      <c r="V3" t="s">
        <v>5312</v>
      </c>
      <c r="W3">
        <v>32896795</v>
      </c>
      <c r="X3" t="s">
        <v>49</v>
      </c>
      <c r="Y3" t="s">
        <v>5313</v>
      </c>
      <c r="Z3" t="b">
        <v>0</v>
      </c>
      <c r="AA3">
        <v>996.34369287020104</v>
      </c>
      <c r="AN3" t="e">
        <f>100*(1-E3/AL3)</f>
        <v>#DIV/0!</v>
      </c>
    </row>
    <row r="4" spans="1:40" x14ac:dyDescent="0.3">
      <c r="A4" t="s">
        <v>59</v>
      </c>
      <c r="B4" t="s">
        <v>6005</v>
      </c>
      <c r="C4" t="s">
        <v>6005</v>
      </c>
      <c r="D4" s="4">
        <v>45975</v>
      </c>
      <c r="E4">
        <v>45000</v>
      </c>
      <c r="F4" t="s">
        <v>304</v>
      </c>
      <c r="G4" t="s">
        <v>3028</v>
      </c>
      <c r="H4" t="s">
        <v>111</v>
      </c>
      <c r="I4" t="s">
        <v>3029</v>
      </c>
      <c r="J4" t="s">
        <v>3030</v>
      </c>
      <c r="K4" t="s">
        <v>6006</v>
      </c>
      <c r="L4" t="s">
        <v>44</v>
      </c>
      <c r="M4" t="s">
        <v>6007</v>
      </c>
      <c r="N4">
        <v>36100</v>
      </c>
      <c r="O4" t="s">
        <v>45</v>
      </c>
      <c r="P4" t="s">
        <v>54</v>
      </c>
      <c r="Q4" t="s">
        <v>55</v>
      </c>
      <c r="R4">
        <v>2005</v>
      </c>
      <c r="S4">
        <v>59.2</v>
      </c>
      <c r="T4">
        <v>0</v>
      </c>
      <c r="U4">
        <v>0</v>
      </c>
      <c r="V4" t="s">
        <v>6008</v>
      </c>
      <c r="W4">
        <v>45034754</v>
      </c>
      <c r="X4" t="s">
        <v>86</v>
      </c>
      <c r="Y4" t="s">
        <v>6009</v>
      </c>
      <c r="Z4" t="b">
        <v>0</v>
      </c>
      <c r="AA4">
        <v>760.1351351351351</v>
      </c>
      <c r="AN4" t="e">
        <f>100*(1-E4/AL4)</f>
        <v>#DIV/0!</v>
      </c>
    </row>
    <row r="5" spans="1:40" x14ac:dyDescent="0.3">
      <c r="A5" t="s">
        <v>183</v>
      </c>
      <c r="B5" t="s">
        <v>6564</v>
      </c>
      <c r="C5" t="s">
        <v>6564</v>
      </c>
      <c r="D5" s="4">
        <v>45975</v>
      </c>
      <c r="E5">
        <v>303000</v>
      </c>
      <c r="F5" t="s">
        <v>6565</v>
      </c>
      <c r="G5" t="s">
        <v>119</v>
      </c>
      <c r="H5" t="s">
        <v>111</v>
      </c>
      <c r="I5" t="s">
        <v>112</v>
      </c>
      <c r="J5" t="s">
        <v>113</v>
      </c>
      <c r="K5" t="s">
        <v>6566</v>
      </c>
      <c r="L5" t="s">
        <v>44</v>
      </c>
      <c r="M5" t="s">
        <v>6567</v>
      </c>
      <c r="N5">
        <v>35100</v>
      </c>
      <c r="O5" t="s">
        <v>50</v>
      </c>
      <c r="P5" t="s">
        <v>371</v>
      </c>
      <c r="Q5" t="s">
        <v>55</v>
      </c>
      <c r="R5">
        <v>2010</v>
      </c>
      <c r="S5">
        <v>866.5</v>
      </c>
      <c r="T5">
        <v>0</v>
      </c>
      <c r="U5">
        <v>0</v>
      </c>
      <c r="V5" t="s">
        <v>6568</v>
      </c>
      <c r="W5">
        <v>95616222</v>
      </c>
      <c r="X5" t="s">
        <v>86</v>
      </c>
      <c r="Y5" t="s">
        <v>6569</v>
      </c>
      <c r="Z5" t="b">
        <v>0</v>
      </c>
      <c r="AA5">
        <v>349.68263127524523</v>
      </c>
      <c r="AN5" t="e">
        <f>100*(1-E5/AL5)</f>
        <v>#DIV/0!</v>
      </c>
    </row>
    <row r="6" spans="1:40" x14ac:dyDescent="0.3">
      <c r="A6" t="s">
        <v>183</v>
      </c>
      <c r="B6" t="s">
        <v>6631</v>
      </c>
      <c r="C6" t="s">
        <v>6631</v>
      </c>
      <c r="D6" s="4">
        <v>45975</v>
      </c>
      <c r="E6">
        <v>98000</v>
      </c>
      <c r="F6" t="s">
        <v>6632</v>
      </c>
      <c r="G6" t="s">
        <v>110</v>
      </c>
      <c r="H6" t="s">
        <v>111</v>
      </c>
      <c r="I6" t="s">
        <v>112</v>
      </c>
      <c r="J6" t="s">
        <v>113</v>
      </c>
      <c r="K6" t="s">
        <v>6633</v>
      </c>
      <c r="L6" t="s">
        <v>44</v>
      </c>
      <c r="M6" t="s">
        <v>6634</v>
      </c>
      <c r="N6">
        <v>35100</v>
      </c>
      <c r="O6" t="s">
        <v>45</v>
      </c>
      <c r="P6" t="s">
        <v>288</v>
      </c>
      <c r="Q6" t="s">
        <v>55</v>
      </c>
      <c r="R6">
        <v>2011</v>
      </c>
      <c r="S6">
        <v>258.75</v>
      </c>
      <c r="T6" t="s">
        <v>48</v>
      </c>
      <c r="U6">
        <v>50</v>
      </c>
      <c r="V6" t="s">
        <v>6635</v>
      </c>
      <c r="W6">
        <v>46503745</v>
      </c>
      <c r="X6" t="s">
        <v>86</v>
      </c>
      <c r="Y6" t="s">
        <v>6636</v>
      </c>
      <c r="Z6" t="b">
        <v>0</v>
      </c>
      <c r="AA6">
        <v>378.74396135265698</v>
      </c>
      <c r="AN6" t="e">
        <f>100*(1-E6/AL6)</f>
        <v>#DIV/0!</v>
      </c>
    </row>
    <row r="7" spans="1:40" x14ac:dyDescent="0.3">
      <c r="A7" t="s">
        <v>183</v>
      </c>
      <c r="B7" t="s">
        <v>6631</v>
      </c>
      <c r="C7" t="s">
        <v>6631</v>
      </c>
      <c r="D7" s="4">
        <v>45975</v>
      </c>
      <c r="E7">
        <v>98000</v>
      </c>
      <c r="F7" t="s">
        <v>6632</v>
      </c>
      <c r="G7" t="s">
        <v>110</v>
      </c>
      <c r="H7" t="s">
        <v>111</v>
      </c>
      <c r="I7" t="s">
        <v>112</v>
      </c>
      <c r="J7" t="s">
        <v>113</v>
      </c>
      <c r="K7" t="s">
        <v>6633</v>
      </c>
      <c r="L7" t="s">
        <v>44</v>
      </c>
      <c r="M7" t="s">
        <v>6634</v>
      </c>
      <c r="N7">
        <v>35100</v>
      </c>
      <c r="O7" t="s">
        <v>45</v>
      </c>
      <c r="P7" t="s">
        <v>288</v>
      </c>
      <c r="Q7" t="s">
        <v>55</v>
      </c>
      <c r="R7">
        <v>2011</v>
      </c>
      <c r="S7">
        <v>258.75</v>
      </c>
      <c r="T7" t="s">
        <v>48</v>
      </c>
      <c r="U7">
        <v>50</v>
      </c>
      <c r="V7" t="s">
        <v>6635</v>
      </c>
      <c r="W7">
        <v>46503745</v>
      </c>
      <c r="X7" t="s">
        <v>86</v>
      </c>
      <c r="Y7" t="s">
        <v>6636</v>
      </c>
      <c r="Z7" t="b">
        <v>0</v>
      </c>
      <c r="AA7">
        <v>378.74396135265698</v>
      </c>
      <c r="AN7" t="e">
        <f>100*(1-E7/AL7)</f>
        <v>#DIV/0!</v>
      </c>
    </row>
    <row r="8" spans="1:40" x14ac:dyDescent="0.3">
      <c r="A8" t="s">
        <v>59</v>
      </c>
      <c r="B8" t="s">
        <v>506</v>
      </c>
      <c r="C8" t="s">
        <v>506</v>
      </c>
      <c r="D8" s="4">
        <v>45980</v>
      </c>
      <c r="E8">
        <v>316000</v>
      </c>
      <c r="F8" t="s">
        <v>507</v>
      </c>
      <c r="G8" t="s">
        <v>115</v>
      </c>
      <c r="H8" t="s">
        <v>67</v>
      </c>
      <c r="I8" t="s">
        <v>116</v>
      </c>
      <c r="J8" t="s">
        <v>67</v>
      </c>
      <c r="K8" t="s">
        <v>508</v>
      </c>
      <c r="L8" t="s">
        <v>44</v>
      </c>
      <c r="M8" t="s">
        <v>509</v>
      </c>
      <c r="N8">
        <v>10445</v>
      </c>
      <c r="O8" t="s">
        <v>45</v>
      </c>
      <c r="P8" t="s">
        <v>182</v>
      </c>
      <c r="Q8" t="s">
        <v>85</v>
      </c>
      <c r="R8">
        <v>0</v>
      </c>
      <c r="S8">
        <v>439.03</v>
      </c>
      <c r="T8">
        <v>0</v>
      </c>
      <c r="U8">
        <v>0</v>
      </c>
      <c r="V8" t="s">
        <v>510</v>
      </c>
      <c r="W8">
        <v>21248774</v>
      </c>
      <c r="X8" t="s">
        <v>49</v>
      </c>
      <c r="Y8" t="s">
        <v>511</v>
      </c>
      <c r="Z8" t="b">
        <v>0</v>
      </c>
      <c r="AA8">
        <v>719.76858073480173</v>
      </c>
      <c r="AN8" t="e">
        <f>100*(1-E8/AL8)</f>
        <v>#DIV/0!</v>
      </c>
    </row>
    <row r="9" spans="1:40" x14ac:dyDescent="0.3">
      <c r="A9" t="s">
        <v>39</v>
      </c>
      <c r="B9" t="s">
        <v>512</v>
      </c>
      <c r="C9" t="s">
        <v>513</v>
      </c>
      <c r="D9" s="4">
        <v>45980</v>
      </c>
      <c r="E9">
        <v>45000</v>
      </c>
      <c r="F9" t="s">
        <v>514</v>
      </c>
      <c r="G9" t="s">
        <v>515</v>
      </c>
      <c r="H9" t="s">
        <v>124</v>
      </c>
      <c r="I9" t="s">
        <v>516</v>
      </c>
      <c r="J9" t="s">
        <v>126</v>
      </c>
      <c r="K9" t="s">
        <v>517</v>
      </c>
      <c r="L9" t="s">
        <v>44</v>
      </c>
      <c r="M9" t="s">
        <v>518</v>
      </c>
      <c r="N9">
        <v>25008</v>
      </c>
      <c r="O9" t="s">
        <v>97</v>
      </c>
      <c r="P9" t="s">
        <v>118</v>
      </c>
      <c r="Q9">
        <v>0</v>
      </c>
      <c r="R9">
        <v>0</v>
      </c>
      <c r="S9">
        <v>20133.77</v>
      </c>
      <c r="T9">
        <v>0</v>
      </c>
      <c r="U9">
        <v>0</v>
      </c>
      <c r="V9" t="s">
        <v>519</v>
      </c>
      <c r="W9">
        <v>39272309</v>
      </c>
      <c r="X9" t="s">
        <v>49</v>
      </c>
      <c r="Y9" t="s">
        <v>520</v>
      </c>
      <c r="Z9" t="b">
        <v>0</v>
      </c>
      <c r="AA9">
        <v>2.2350508623074559</v>
      </c>
      <c r="AN9" t="e">
        <f>100*(1-E9/AL9)</f>
        <v>#DIV/0!</v>
      </c>
    </row>
    <row r="10" spans="1:40" x14ac:dyDescent="0.3">
      <c r="A10" t="s">
        <v>39</v>
      </c>
      <c r="B10" t="s">
        <v>521</v>
      </c>
      <c r="C10" t="s">
        <v>513</v>
      </c>
      <c r="D10" s="4">
        <v>45980</v>
      </c>
      <c r="E10">
        <v>19000</v>
      </c>
      <c r="F10" t="s">
        <v>522</v>
      </c>
      <c r="G10" t="s">
        <v>515</v>
      </c>
      <c r="H10" t="s">
        <v>124</v>
      </c>
      <c r="I10" t="s">
        <v>516</v>
      </c>
      <c r="J10" t="s">
        <v>126</v>
      </c>
      <c r="K10" t="s">
        <v>523</v>
      </c>
      <c r="L10" t="s">
        <v>44</v>
      </c>
      <c r="M10" t="s">
        <v>518</v>
      </c>
      <c r="N10">
        <v>25008</v>
      </c>
      <c r="O10" t="s">
        <v>97</v>
      </c>
      <c r="P10" t="s">
        <v>118</v>
      </c>
      <c r="Q10">
        <v>0</v>
      </c>
      <c r="R10">
        <v>0</v>
      </c>
      <c r="S10">
        <v>7976</v>
      </c>
      <c r="T10">
        <v>0</v>
      </c>
      <c r="U10">
        <v>0</v>
      </c>
      <c r="V10" t="s">
        <v>524</v>
      </c>
      <c r="W10">
        <v>104111056</v>
      </c>
      <c r="X10" t="s">
        <v>49</v>
      </c>
      <c r="Y10" t="s">
        <v>525</v>
      </c>
      <c r="Z10" t="b">
        <v>0</v>
      </c>
      <c r="AA10">
        <v>2.3821464393179541</v>
      </c>
      <c r="AN10" t="e">
        <f>100*(1-E10/AL10)</f>
        <v>#DIV/0!</v>
      </c>
    </row>
    <row r="11" spans="1:40" x14ac:dyDescent="0.3">
      <c r="A11" t="s">
        <v>183</v>
      </c>
      <c r="B11" t="s">
        <v>526</v>
      </c>
      <c r="C11" t="s">
        <v>526</v>
      </c>
      <c r="D11" s="4">
        <v>45980</v>
      </c>
      <c r="E11">
        <v>86000</v>
      </c>
      <c r="F11" t="s">
        <v>424</v>
      </c>
      <c r="G11" t="s">
        <v>527</v>
      </c>
      <c r="H11" t="s">
        <v>196</v>
      </c>
      <c r="I11" t="s">
        <v>470</v>
      </c>
      <c r="J11" t="s">
        <v>396</v>
      </c>
      <c r="K11" t="s">
        <v>528</v>
      </c>
      <c r="L11" t="s">
        <v>44</v>
      </c>
      <c r="M11" t="s">
        <v>527</v>
      </c>
      <c r="N11">
        <v>85100</v>
      </c>
      <c r="O11" t="s">
        <v>45</v>
      </c>
      <c r="P11" t="s">
        <v>54</v>
      </c>
      <c r="Q11" t="s">
        <v>55</v>
      </c>
      <c r="R11">
        <v>0</v>
      </c>
      <c r="S11">
        <v>88.37</v>
      </c>
      <c r="T11">
        <v>0</v>
      </c>
      <c r="U11">
        <v>0</v>
      </c>
      <c r="V11" t="s">
        <v>529</v>
      </c>
      <c r="W11">
        <v>47401867</v>
      </c>
      <c r="X11" t="s">
        <v>49</v>
      </c>
      <c r="Y11">
        <v>0</v>
      </c>
      <c r="Z11" t="b">
        <v>0</v>
      </c>
      <c r="AA11">
        <v>973.18094375919429</v>
      </c>
      <c r="AN11" t="e">
        <f>100*(1-E11/AL11)</f>
        <v>#DIV/0!</v>
      </c>
    </row>
    <row r="12" spans="1:40" x14ac:dyDescent="0.3">
      <c r="A12" t="s">
        <v>71</v>
      </c>
      <c r="B12" t="s">
        <v>530</v>
      </c>
      <c r="C12" t="s">
        <v>531</v>
      </c>
      <c r="D12" s="4">
        <v>45980</v>
      </c>
      <c r="E12">
        <v>24000</v>
      </c>
      <c r="F12" t="s">
        <v>532</v>
      </c>
      <c r="G12" t="s">
        <v>372</v>
      </c>
      <c r="H12" t="s">
        <v>152</v>
      </c>
      <c r="I12" t="s">
        <v>373</v>
      </c>
      <c r="J12" t="s">
        <v>172</v>
      </c>
      <c r="K12" t="s">
        <v>533</v>
      </c>
      <c r="L12" t="s">
        <v>44</v>
      </c>
      <c r="M12" t="s">
        <v>534</v>
      </c>
      <c r="N12">
        <v>21300</v>
      </c>
      <c r="O12" t="s">
        <v>76</v>
      </c>
      <c r="P12" t="s">
        <v>133</v>
      </c>
      <c r="Q12">
        <v>0</v>
      </c>
      <c r="R12">
        <v>0</v>
      </c>
      <c r="S12">
        <v>33.57</v>
      </c>
      <c r="T12">
        <v>0</v>
      </c>
      <c r="U12">
        <v>0</v>
      </c>
      <c r="V12" t="s">
        <v>535</v>
      </c>
      <c r="W12">
        <v>107382765</v>
      </c>
      <c r="X12" t="s">
        <v>49</v>
      </c>
      <c r="Y12" t="s">
        <v>536</v>
      </c>
      <c r="Z12" t="b">
        <v>0</v>
      </c>
      <c r="AA12">
        <v>714.9240393208222</v>
      </c>
      <c r="AN12" t="e">
        <f>100*(1-E12/AL12)</f>
        <v>#DIV/0!</v>
      </c>
    </row>
    <row r="13" spans="1:40" x14ac:dyDescent="0.3">
      <c r="A13" t="s">
        <v>166</v>
      </c>
      <c r="B13" t="s">
        <v>537</v>
      </c>
      <c r="C13" t="s">
        <v>537</v>
      </c>
      <c r="D13" s="4">
        <v>45980</v>
      </c>
      <c r="E13">
        <v>1500</v>
      </c>
      <c r="F13" t="s">
        <v>538</v>
      </c>
      <c r="G13" t="s">
        <v>539</v>
      </c>
      <c r="H13" t="s">
        <v>136</v>
      </c>
      <c r="I13" t="s">
        <v>540</v>
      </c>
      <c r="J13" t="s">
        <v>149</v>
      </c>
      <c r="K13" t="s">
        <v>541</v>
      </c>
      <c r="L13" t="s">
        <v>44</v>
      </c>
      <c r="M13" t="s">
        <v>542</v>
      </c>
      <c r="N13">
        <v>40003</v>
      </c>
      <c r="O13" t="s">
        <v>76</v>
      </c>
      <c r="P13" t="s">
        <v>133</v>
      </c>
      <c r="Q13">
        <v>0</v>
      </c>
      <c r="R13">
        <v>0</v>
      </c>
      <c r="S13">
        <v>19</v>
      </c>
      <c r="T13" t="s">
        <v>48</v>
      </c>
      <c r="U13" t="s">
        <v>286</v>
      </c>
      <c r="V13" t="s">
        <v>543</v>
      </c>
      <c r="W13">
        <v>62351745</v>
      </c>
      <c r="X13" t="s">
        <v>86</v>
      </c>
      <c r="Y13" t="s">
        <v>544</v>
      </c>
      <c r="Z13" t="b">
        <v>0</v>
      </c>
      <c r="AA13">
        <v>78.94736842105263</v>
      </c>
      <c r="AN13" t="e">
        <f>100*(1-E13/AL13)</f>
        <v>#DIV/0!</v>
      </c>
    </row>
    <row r="14" spans="1:40" x14ac:dyDescent="0.3">
      <c r="A14" t="s">
        <v>166</v>
      </c>
      <c r="B14" t="s">
        <v>537</v>
      </c>
      <c r="C14" t="s">
        <v>537</v>
      </c>
      <c r="D14" s="4">
        <v>45980</v>
      </c>
      <c r="E14">
        <v>1500</v>
      </c>
      <c r="F14" t="s">
        <v>538</v>
      </c>
      <c r="G14" t="s">
        <v>539</v>
      </c>
      <c r="H14" t="s">
        <v>136</v>
      </c>
      <c r="I14" t="s">
        <v>540</v>
      </c>
      <c r="J14" t="s">
        <v>149</v>
      </c>
      <c r="K14" t="s">
        <v>541</v>
      </c>
      <c r="L14" t="s">
        <v>44</v>
      </c>
      <c r="M14" t="s">
        <v>542</v>
      </c>
      <c r="N14">
        <v>40003</v>
      </c>
      <c r="O14" t="s">
        <v>76</v>
      </c>
      <c r="P14" t="s">
        <v>133</v>
      </c>
      <c r="Q14">
        <v>0</v>
      </c>
      <c r="R14">
        <v>0</v>
      </c>
      <c r="S14">
        <v>19</v>
      </c>
      <c r="T14" t="s">
        <v>48</v>
      </c>
      <c r="U14" t="s">
        <v>286</v>
      </c>
      <c r="V14" t="s">
        <v>543</v>
      </c>
      <c r="W14">
        <v>62351745</v>
      </c>
      <c r="X14" t="s">
        <v>86</v>
      </c>
      <c r="Y14" t="s">
        <v>544</v>
      </c>
      <c r="Z14" t="b">
        <v>0</v>
      </c>
      <c r="AA14">
        <v>78.94736842105263</v>
      </c>
      <c r="AN14" t="e">
        <f>100*(1-E14/AL14)</f>
        <v>#DIV/0!</v>
      </c>
    </row>
    <row r="15" spans="1:40" x14ac:dyDescent="0.3">
      <c r="A15" t="s">
        <v>166</v>
      </c>
      <c r="B15" t="s">
        <v>537</v>
      </c>
      <c r="C15" t="s">
        <v>537</v>
      </c>
      <c r="D15" s="4">
        <v>45980</v>
      </c>
      <c r="E15">
        <v>1500</v>
      </c>
      <c r="F15" t="s">
        <v>538</v>
      </c>
      <c r="G15" t="s">
        <v>539</v>
      </c>
      <c r="H15" t="s">
        <v>136</v>
      </c>
      <c r="I15" t="s">
        <v>540</v>
      </c>
      <c r="J15" t="s">
        <v>149</v>
      </c>
      <c r="K15" t="s">
        <v>541</v>
      </c>
      <c r="L15" t="s">
        <v>44</v>
      </c>
      <c r="M15" t="s">
        <v>542</v>
      </c>
      <c r="N15">
        <v>40003</v>
      </c>
      <c r="O15" t="s">
        <v>76</v>
      </c>
      <c r="P15" t="s">
        <v>133</v>
      </c>
      <c r="Q15">
        <v>0</v>
      </c>
      <c r="R15">
        <v>0</v>
      </c>
      <c r="S15">
        <v>19</v>
      </c>
      <c r="T15" t="s">
        <v>48</v>
      </c>
      <c r="U15" t="s">
        <v>286</v>
      </c>
      <c r="V15" t="s">
        <v>543</v>
      </c>
      <c r="W15">
        <v>62351745</v>
      </c>
      <c r="X15" t="s">
        <v>86</v>
      </c>
      <c r="Y15" t="s">
        <v>544</v>
      </c>
      <c r="Z15" t="b">
        <v>0</v>
      </c>
      <c r="AA15">
        <v>78.94736842105263</v>
      </c>
      <c r="AN15" t="e">
        <f>100*(1-E15/AL15)</f>
        <v>#DIV/0!</v>
      </c>
    </row>
    <row r="16" spans="1:40" x14ac:dyDescent="0.3">
      <c r="A16" t="s">
        <v>166</v>
      </c>
      <c r="B16" t="s">
        <v>537</v>
      </c>
      <c r="C16" t="s">
        <v>537</v>
      </c>
      <c r="D16" s="4">
        <v>45980</v>
      </c>
      <c r="E16">
        <v>1500</v>
      </c>
      <c r="F16" t="s">
        <v>538</v>
      </c>
      <c r="G16" t="s">
        <v>539</v>
      </c>
      <c r="H16" t="s">
        <v>136</v>
      </c>
      <c r="I16" t="s">
        <v>540</v>
      </c>
      <c r="J16" t="s">
        <v>149</v>
      </c>
      <c r="K16" t="s">
        <v>541</v>
      </c>
      <c r="L16" t="s">
        <v>44</v>
      </c>
      <c r="M16" t="s">
        <v>542</v>
      </c>
      <c r="N16">
        <v>40003</v>
      </c>
      <c r="O16" t="s">
        <v>76</v>
      </c>
      <c r="P16" t="s">
        <v>133</v>
      </c>
      <c r="Q16">
        <v>0</v>
      </c>
      <c r="R16">
        <v>0</v>
      </c>
      <c r="S16">
        <v>19</v>
      </c>
      <c r="T16" t="s">
        <v>48</v>
      </c>
      <c r="U16" t="s">
        <v>286</v>
      </c>
      <c r="V16" t="s">
        <v>543</v>
      </c>
      <c r="W16">
        <v>62351745</v>
      </c>
      <c r="X16" t="s">
        <v>86</v>
      </c>
      <c r="Y16" t="s">
        <v>544</v>
      </c>
      <c r="Z16" t="b">
        <v>0</v>
      </c>
      <c r="AA16">
        <v>78.94736842105263</v>
      </c>
      <c r="AN16" t="e">
        <f>100*(1-E16/AL16)</f>
        <v>#DIV/0!</v>
      </c>
    </row>
    <row r="17" spans="1:40" x14ac:dyDescent="0.3">
      <c r="A17" t="s">
        <v>166</v>
      </c>
      <c r="B17" t="s">
        <v>537</v>
      </c>
      <c r="C17" t="s">
        <v>537</v>
      </c>
      <c r="D17" s="4">
        <v>45980</v>
      </c>
      <c r="E17">
        <v>1500</v>
      </c>
      <c r="F17" t="s">
        <v>538</v>
      </c>
      <c r="G17" t="s">
        <v>539</v>
      </c>
      <c r="H17" t="s">
        <v>136</v>
      </c>
      <c r="I17" t="s">
        <v>540</v>
      </c>
      <c r="J17" t="s">
        <v>149</v>
      </c>
      <c r="K17" t="s">
        <v>541</v>
      </c>
      <c r="L17" t="s">
        <v>44</v>
      </c>
      <c r="M17" t="s">
        <v>542</v>
      </c>
      <c r="N17">
        <v>40003</v>
      </c>
      <c r="O17" t="s">
        <v>76</v>
      </c>
      <c r="P17" t="s">
        <v>133</v>
      </c>
      <c r="Q17">
        <v>0</v>
      </c>
      <c r="R17">
        <v>0</v>
      </c>
      <c r="S17">
        <v>19</v>
      </c>
      <c r="T17" t="s">
        <v>48</v>
      </c>
      <c r="U17" t="s">
        <v>286</v>
      </c>
      <c r="V17" t="s">
        <v>543</v>
      </c>
      <c r="W17">
        <v>62351745</v>
      </c>
      <c r="X17" t="s">
        <v>86</v>
      </c>
      <c r="Y17" t="s">
        <v>544</v>
      </c>
      <c r="Z17" t="b">
        <v>0</v>
      </c>
      <c r="AA17">
        <v>78.94736842105263</v>
      </c>
      <c r="AN17" t="e">
        <f>100*(1-E17/AL17)</f>
        <v>#DIV/0!</v>
      </c>
    </row>
    <row r="18" spans="1:40" x14ac:dyDescent="0.3">
      <c r="A18" t="s">
        <v>166</v>
      </c>
      <c r="B18" t="s">
        <v>537</v>
      </c>
      <c r="C18" t="s">
        <v>537</v>
      </c>
      <c r="D18" s="4">
        <v>45980</v>
      </c>
      <c r="E18">
        <v>1500</v>
      </c>
      <c r="F18" t="s">
        <v>538</v>
      </c>
      <c r="G18" t="s">
        <v>539</v>
      </c>
      <c r="H18" t="s">
        <v>136</v>
      </c>
      <c r="I18" t="s">
        <v>540</v>
      </c>
      <c r="J18" t="s">
        <v>149</v>
      </c>
      <c r="K18" t="s">
        <v>541</v>
      </c>
      <c r="L18" t="s">
        <v>44</v>
      </c>
      <c r="M18" t="s">
        <v>542</v>
      </c>
      <c r="N18">
        <v>40003</v>
      </c>
      <c r="O18" t="s">
        <v>76</v>
      </c>
      <c r="P18" t="s">
        <v>133</v>
      </c>
      <c r="Q18">
        <v>0</v>
      </c>
      <c r="R18">
        <v>0</v>
      </c>
      <c r="S18">
        <v>19</v>
      </c>
      <c r="T18" t="s">
        <v>48</v>
      </c>
      <c r="U18" t="s">
        <v>286</v>
      </c>
      <c r="V18" t="s">
        <v>543</v>
      </c>
      <c r="W18">
        <v>62351745</v>
      </c>
      <c r="X18" t="s">
        <v>86</v>
      </c>
      <c r="Y18" t="s">
        <v>544</v>
      </c>
      <c r="Z18" t="b">
        <v>0</v>
      </c>
      <c r="AA18">
        <v>78.94736842105263</v>
      </c>
      <c r="AN18" t="e">
        <f>100*(1-E18/AL18)</f>
        <v>#DIV/0!</v>
      </c>
    </row>
    <row r="19" spans="1:40" x14ac:dyDescent="0.3">
      <c r="A19" t="s">
        <v>166</v>
      </c>
      <c r="B19" t="s">
        <v>537</v>
      </c>
      <c r="C19" t="s">
        <v>537</v>
      </c>
      <c r="D19" s="4">
        <v>45980</v>
      </c>
      <c r="E19">
        <v>1500</v>
      </c>
      <c r="F19" t="s">
        <v>538</v>
      </c>
      <c r="G19" t="s">
        <v>539</v>
      </c>
      <c r="H19" t="s">
        <v>136</v>
      </c>
      <c r="I19" t="s">
        <v>540</v>
      </c>
      <c r="J19" t="s">
        <v>149</v>
      </c>
      <c r="K19" t="s">
        <v>541</v>
      </c>
      <c r="L19" t="s">
        <v>44</v>
      </c>
      <c r="M19" t="s">
        <v>542</v>
      </c>
      <c r="N19">
        <v>40003</v>
      </c>
      <c r="O19" t="s">
        <v>76</v>
      </c>
      <c r="P19" t="s">
        <v>133</v>
      </c>
      <c r="Q19">
        <v>0</v>
      </c>
      <c r="R19">
        <v>0</v>
      </c>
      <c r="S19">
        <v>19</v>
      </c>
      <c r="T19" t="s">
        <v>48</v>
      </c>
      <c r="U19" t="s">
        <v>286</v>
      </c>
      <c r="V19" t="s">
        <v>543</v>
      </c>
      <c r="W19">
        <v>62351745</v>
      </c>
      <c r="X19" t="s">
        <v>86</v>
      </c>
      <c r="Y19" t="s">
        <v>544</v>
      </c>
      <c r="Z19" t="b">
        <v>0</v>
      </c>
      <c r="AA19">
        <v>78.94736842105263</v>
      </c>
      <c r="AN19" t="e">
        <f>100*(1-E19/AL19)</f>
        <v>#DIV/0!</v>
      </c>
    </row>
    <row r="20" spans="1:40" x14ac:dyDescent="0.3">
      <c r="A20" t="s">
        <v>166</v>
      </c>
      <c r="B20" t="s">
        <v>537</v>
      </c>
      <c r="C20" t="s">
        <v>537</v>
      </c>
      <c r="D20" s="4">
        <v>45980</v>
      </c>
      <c r="E20">
        <v>1500</v>
      </c>
      <c r="F20" t="s">
        <v>538</v>
      </c>
      <c r="G20" t="s">
        <v>539</v>
      </c>
      <c r="H20" t="s">
        <v>136</v>
      </c>
      <c r="I20" t="s">
        <v>540</v>
      </c>
      <c r="J20" t="s">
        <v>149</v>
      </c>
      <c r="K20" t="s">
        <v>541</v>
      </c>
      <c r="L20" t="s">
        <v>44</v>
      </c>
      <c r="M20" t="s">
        <v>542</v>
      </c>
      <c r="N20">
        <v>40003</v>
      </c>
      <c r="O20" t="s">
        <v>76</v>
      </c>
      <c r="P20" t="s">
        <v>133</v>
      </c>
      <c r="Q20">
        <v>0</v>
      </c>
      <c r="R20">
        <v>0</v>
      </c>
      <c r="S20">
        <v>19</v>
      </c>
      <c r="T20" t="s">
        <v>48</v>
      </c>
      <c r="U20" t="s">
        <v>286</v>
      </c>
      <c r="V20" t="s">
        <v>543</v>
      </c>
      <c r="W20">
        <v>62351745</v>
      </c>
      <c r="X20" t="s">
        <v>86</v>
      </c>
      <c r="Y20" t="s">
        <v>544</v>
      </c>
      <c r="Z20" t="b">
        <v>0</v>
      </c>
      <c r="AA20">
        <v>78.94736842105263</v>
      </c>
      <c r="AN20" t="e">
        <f>100*(1-E20/AL20)</f>
        <v>#DIV/0!</v>
      </c>
    </row>
    <row r="21" spans="1:40" x14ac:dyDescent="0.3">
      <c r="A21" t="s">
        <v>166</v>
      </c>
      <c r="B21" t="s">
        <v>537</v>
      </c>
      <c r="C21" t="s">
        <v>537</v>
      </c>
      <c r="D21" s="4">
        <v>45980</v>
      </c>
      <c r="E21">
        <v>1500</v>
      </c>
      <c r="F21" t="s">
        <v>538</v>
      </c>
      <c r="G21" t="s">
        <v>539</v>
      </c>
      <c r="H21" t="s">
        <v>136</v>
      </c>
      <c r="I21" t="s">
        <v>540</v>
      </c>
      <c r="J21" t="s">
        <v>149</v>
      </c>
      <c r="K21" t="s">
        <v>541</v>
      </c>
      <c r="L21" t="s">
        <v>44</v>
      </c>
      <c r="M21" t="s">
        <v>542</v>
      </c>
      <c r="N21">
        <v>40003</v>
      </c>
      <c r="O21" t="s">
        <v>76</v>
      </c>
      <c r="P21" t="s">
        <v>133</v>
      </c>
      <c r="Q21">
        <v>0</v>
      </c>
      <c r="R21">
        <v>0</v>
      </c>
      <c r="S21">
        <v>19</v>
      </c>
      <c r="T21" t="s">
        <v>48</v>
      </c>
      <c r="U21" t="s">
        <v>286</v>
      </c>
      <c r="V21" t="s">
        <v>543</v>
      </c>
      <c r="W21">
        <v>62351745</v>
      </c>
      <c r="X21" t="s">
        <v>86</v>
      </c>
      <c r="Y21" t="s">
        <v>544</v>
      </c>
      <c r="Z21" t="b">
        <v>0</v>
      </c>
      <c r="AA21">
        <v>78.94736842105263</v>
      </c>
      <c r="AN21" t="e">
        <f>100*(1-E21/AL21)</f>
        <v>#DIV/0!</v>
      </c>
    </row>
    <row r="22" spans="1:40" x14ac:dyDescent="0.3">
      <c r="A22" t="s">
        <v>39</v>
      </c>
      <c r="B22" t="s">
        <v>545</v>
      </c>
      <c r="C22" t="s">
        <v>545</v>
      </c>
      <c r="D22" s="4">
        <v>45980</v>
      </c>
      <c r="E22">
        <v>276000</v>
      </c>
      <c r="F22" t="s">
        <v>546</v>
      </c>
      <c r="G22" t="s">
        <v>178</v>
      </c>
      <c r="H22" t="s">
        <v>111</v>
      </c>
      <c r="I22" t="s">
        <v>179</v>
      </c>
      <c r="J22" t="s">
        <v>175</v>
      </c>
      <c r="K22" t="s">
        <v>547</v>
      </c>
      <c r="L22" t="s">
        <v>44</v>
      </c>
      <c r="M22" t="s">
        <v>548</v>
      </c>
      <c r="N22">
        <v>34001</v>
      </c>
      <c r="O22" t="s">
        <v>97</v>
      </c>
      <c r="P22" t="s">
        <v>118</v>
      </c>
      <c r="Q22">
        <v>0</v>
      </c>
      <c r="R22">
        <v>0</v>
      </c>
      <c r="S22">
        <v>77311.8</v>
      </c>
      <c r="T22">
        <v>0</v>
      </c>
      <c r="U22">
        <v>0</v>
      </c>
      <c r="V22" t="s">
        <v>549</v>
      </c>
      <c r="W22">
        <v>36309351</v>
      </c>
      <c r="X22" t="s">
        <v>86</v>
      </c>
      <c r="Y22" t="s">
        <v>550</v>
      </c>
      <c r="Z22" t="b">
        <v>0</v>
      </c>
      <c r="AA22">
        <v>3.5699595663275199</v>
      </c>
      <c r="AN22" t="e">
        <f>100*(1-E22/AL22)</f>
        <v>#DIV/0!</v>
      </c>
    </row>
    <row r="23" spans="1:40" x14ac:dyDescent="0.3">
      <c r="A23" t="s">
        <v>39</v>
      </c>
      <c r="B23" t="s">
        <v>545</v>
      </c>
      <c r="C23" t="s">
        <v>545</v>
      </c>
      <c r="D23" s="4">
        <v>45980</v>
      </c>
      <c r="E23">
        <v>276000</v>
      </c>
      <c r="F23" t="s">
        <v>546</v>
      </c>
      <c r="G23" t="s">
        <v>178</v>
      </c>
      <c r="H23" t="s">
        <v>111</v>
      </c>
      <c r="I23" t="s">
        <v>179</v>
      </c>
      <c r="J23" t="s">
        <v>175</v>
      </c>
      <c r="K23" t="s">
        <v>547</v>
      </c>
      <c r="L23" t="s">
        <v>44</v>
      </c>
      <c r="M23" t="s">
        <v>548</v>
      </c>
      <c r="N23">
        <v>34001</v>
      </c>
      <c r="O23" t="s">
        <v>97</v>
      </c>
      <c r="P23" t="s">
        <v>118</v>
      </c>
      <c r="Q23">
        <v>0</v>
      </c>
      <c r="R23">
        <v>0</v>
      </c>
      <c r="S23">
        <v>77311.8</v>
      </c>
      <c r="T23">
        <v>0</v>
      </c>
      <c r="U23">
        <v>0</v>
      </c>
      <c r="V23" t="s">
        <v>549</v>
      </c>
      <c r="W23">
        <v>36309351</v>
      </c>
      <c r="X23" t="s">
        <v>86</v>
      </c>
      <c r="Y23" t="s">
        <v>550</v>
      </c>
      <c r="Z23" t="b">
        <v>0</v>
      </c>
      <c r="AA23">
        <v>3.5699595663275199</v>
      </c>
      <c r="AN23" t="e">
        <f>100*(1-E23/AL23)</f>
        <v>#DIV/0!</v>
      </c>
    </row>
    <row r="24" spans="1:40" x14ac:dyDescent="0.3">
      <c r="A24" t="s">
        <v>120</v>
      </c>
      <c r="B24" t="s">
        <v>551</v>
      </c>
      <c r="C24" t="s">
        <v>551</v>
      </c>
      <c r="D24" s="4">
        <v>45980</v>
      </c>
      <c r="E24">
        <v>48500</v>
      </c>
      <c r="F24" t="s">
        <v>552</v>
      </c>
      <c r="G24" t="s">
        <v>284</v>
      </c>
      <c r="H24" t="s">
        <v>67</v>
      </c>
      <c r="I24" t="s">
        <v>285</v>
      </c>
      <c r="J24" t="s">
        <v>67</v>
      </c>
      <c r="K24" t="s">
        <v>553</v>
      </c>
      <c r="L24" t="s">
        <v>44</v>
      </c>
      <c r="M24" t="s">
        <v>554</v>
      </c>
      <c r="N24">
        <v>19400</v>
      </c>
      <c r="O24" t="s">
        <v>97</v>
      </c>
      <c r="P24" t="s">
        <v>118</v>
      </c>
      <c r="Q24">
        <v>0</v>
      </c>
      <c r="R24">
        <v>0</v>
      </c>
      <c r="S24">
        <v>2581</v>
      </c>
      <c r="T24">
        <v>0</v>
      </c>
      <c r="U24">
        <v>0</v>
      </c>
      <c r="V24" t="s">
        <v>555</v>
      </c>
      <c r="W24">
        <v>94432712</v>
      </c>
      <c r="X24" t="s">
        <v>86</v>
      </c>
      <c r="Y24" t="s">
        <v>556</v>
      </c>
      <c r="Z24" t="b">
        <v>0</v>
      </c>
      <c r="AA24">
        <v>18.791166214645489</v>
      </c>
      <c r="AN24" t="e">
        <f>100*(1-E24/AL24)</f>
        <v>#DIV/0!</v>
      </c>
    </row>
    <row r="25" spans="1:40" x14ac:dyDescent="0.3">
      <c r="A25" t="s">
        <v>139</v>
      </c>
      <c r="B25" t="s">
        <v>557</v>
      </c>
      <c r="C25" t="s">
        <v>557</v>
      </c>
      <c r="D25" s="4">
        <v>45980</v>
      </c>
      <c r="E25">
        <v>900</v>
      </c>
      <c r="F25" t="s">
        <v>558</v>
      </c>
      <c r="G25" t="s">
        <v>115</v>
      </c>
      <c r="H25" t="s">
        <v>67</v>
      </c>
      <c r="I25" t="s">
        <v>116</v>
      </c>
      <c r="J25" t="s">
        <v>67</v>
      </c>
      <c r="K25" t="s">
        <v>559</v>
      </c>
      <c r="L25" t="s">
        <v>44</v>
      </c>
      <c r="M25" t="s">
        <v>560</v>
      </c>
      <c r="N25">
        <v>10446</v>
      </c>
      <c r="O25" t="s">
        <v>45</v>
      </c>
      <c r="P25" t="s">
        <v>46</v>
      </c>
      <c r="Q25" t="s">
        <v>47</v>
      </c>
      <c r="R25">
        <v>0</v>
      </c>
      <c r="S25">
        <v>3</v>
      </c>
      <c r="T25">
        <v>0</v>
      </c>
      <c r="U25">
        <v>0</v>
      </c>
      <c r="V25" t="s">
        <v>561</v>
      </c>
      <c r="W25">
        <v>31088118</v>
      </c>
      <c r="X25" t="s">
        <v>86</v>
      </c>
      <c r="Y25" t="s">
        <v>562</v>
      </c>
      <c r="Z25" t="b">
        <v>0</v>
      </c>
      <c r="AA25">
        <v>300</v>
      </c>
      <c r="AN25" t="e">
        <f>100*(1-E25/AL25)</f>
        <v>#DIV/0!</v>
      </c>
    </row>
    <row r="26" spans="1:40" x14ac:dyDescent="0.3">
      <c r="A26" t="s">
        <v>139</v>
      </c>
      <c r="B26" t="s">
        <v>557</v>
      </c>
      <c r="C26" t="s">
        <v>557</v>
      </c>
      <c r="D26" s="4">
        <v>45980</v>
      </c>
      <c r="E26">
        <v>900</v>
      </c>
      <c r="F26" t="s">
        <v>558</v>
      </c>
      <c r="G26" t="s">
        <v>115</v>
      </c>
      <c r="H26" t="s">
        <v>67</v>
      </c>
      <c r="I26" t="s">
        <v>116</v>
      </c>
      <c r="J26" t="s">
        <v>67</v>
      </c>
      <c r="K26" t="s">
        <v>559</v>
      </c>
      <c r="L26" t="s">
        <v>44</v>
      </c>
      <c r="M26" t="s">
        <v>560</v>
      </c>
      <c r="N26">
        <v>10446</v>
      </c>
      <c r="O26" t="s">
        <v>45</v>
      </c>
      <c r="P26" t="s">
        <v>46</v>
      </c>
      <c r="Q26" t="s">
        <v>47</v>
      </c>
      <c r="R26">
        <v>0</v>
      </c>
      <c r="S26">
        <v>3</v>
      </c>
      <c r="T26">
        <v>0</v>
      </c>
      <c r="U26">
        <v>0</v>
      </c>
      <c r="V26" t="s">
        <v>561</v>
      </c>
      <c r="W26">
        <v>31088118</v>
      </c>
      <c r="X26" t="s">
        <v>86</v>
      </c>
      <c r="Y26" t="s">
        <v>562</v>
      </c>
      <c r="Z26" t="b">
        <v>0</v>
      </c>
      <c r="AA26">
        <v>300</v>
      </c>
      <c r="AN26" t="e">
        <f>100*(1-E26/AL26)</f>
        <v>#DIV/0!</v>
      </c>
    </row>
    <row r="27" spans="1:40" x14ac:dyDescent="0.3">
      <c r="A27" t="s">
        <v>215</v>
      </c>
      <c r="B27" t="s">
        <v>563</v>
      </c>
      <c r="C27" t="s">
        <v>563</v>
      </c>
      <c r="D27" s="4">
        <v>45980</v>
      </c>
      <c r="E27">
        <v>57500</v>
      </c>
      <c r="F27" t="s">
        <v>564</v>
      </c>
      <c r="G27" t="s">
        <v>298</v>
      </c>
      <c r="H27" t="s">
        <v>67</v>
      </c>
      <c r="I27" t="s">
        <v>299</v>
      </c>
      <c r="J27" t="s">
        <v>67</v>
      </c>
      <c r="K27" t="s">
        <v>565</v>
      </c>
      <c r="L27" t="s">
        <v>44</v>
      </c>
      <c r="M27" t="s">
        <v>566</v>
      </c>
      <c r="N27">
        <v>13122</v>
      </c>
      <c r="O27" t="s">
        <v>45</v>
      </c>
      <c r="P27" t="s">
        <v>54</v>
      </c>
      <c r="Q27" t="s">
        <v>52</v>
      </c>
      <c r="R27">
        <v>0</v>
      </c>
      <c r="S27">
        <v>54</v>
      </c>
      <c r="T27">
        <v>0</v>
      </c>
      <c r="U27">
        <v>0</v>
      </c>
      <c r="V27" t="s">
        <v>567</v>
      </c>
      <c r="W27" t="s">
        <v>568</v>
      </c>
      <c r="X27" t="s">
        <v>86</v>
      </c>
      <c r="Y27" t="s">
        <v>569</v>
      </c>
      <c r="Z27" t="b">
        <v>0</v>
      </c>
      <c r="AA27">
        <v>1064.814814814815</v>
      </c>
      <c r="AN27" t="e">
        <f>100*(1-E27/AL27)</f>
        <v>#DIV/0!</v>
      </c>
    </row>
    <row r="28" spans="1:40" x14ac:dyDescent="0.3">
      <c r="A28" t="s">
        <v>39</v>
      </c>
      <c r="B28" t="s">
        <v>545</v>
      </c>
      <c r="C28" t="s">
        <v>545</v>
      </c>
      <c r="D28" s="4">
        <v>45980</v>
      </c>
      <c r="E28">
        <v>276000</v>
      </c>
      <c r="F28" t="s">
        <v>546</v>
      </c>
      <c r="G28" t="s">
        <v>178</v>
      </c>
      <c r="H28" t="s">
        <v>111</v>
      </c>
      <c r="I28" t="s">
        <v>179</v>
      </c>
      <c r="J28" t="s">
        <v>175</v>
      </c>
      <c r="K28" t="s">
        <v>547</v>
      </c>
      <c r="L28" t="s">
        <v>44</v>
      </c>
      <c r="M28" t="s">
        <v>548</v>
      </c>
      <c r="N28">
        <v>34001</v>
      </c>
      <c r="O28" t="s">
        <v>97</v>
      </c>
      <c r="P28" t="s">
        <v>118</v>
      </c>
      <c r="Q28">
        <v>0</v>
      </c>
      <c r="R28">
        <v>0</v>
      </c>
      <c r="S28">
        <v>77311.8</v>
      </c>
      <c r="T28">
        <v>0</v>
      </c>
      <c r="U28">
        <v>0</v>
      </c>
      <c r="V28" t="s">
        <v>549</v>
      </c>
      <c r="W28">
        <v>36309351</v>
      </c>
      <c r="X28" t="s">
        <v>86</v>
      </c>
      <c r="Y28" t="s">
        <v>550</v>
      </c>
      <c r="Z28" t="b">
        <v>0</v>
      </c>
      <c r="AA28">
        <v>3.5699595663275199</v>
      </c>
      <c r="AN28" t="e">
        <f>100*(1-E28/AL28)</f>
        <v>#DIV/0!</v>
      </c>
    </row>
    <row r="29" spans="1:40" x14ac:dyDescent="0.3">
      <c r="A29" t="s">
        <v>215</v>
      </c>
      <c r="B29" t="s">
        <v>563</v>
      </c>
      <c r="C29" t="s">
        <v>563</v>
      </c>
      <c r="D29" s="4">
        <v>45980</v>
      </c>
      <c r="E29">
        <v>57500</v>
      </c>
      <c r="F29" t="s">
        <v>564</v>
      </c>
      <c r="G29" t="s">
        <v>298</v>
      </c>
      <c r="H29" t="s">
        <v>67</v>
      </c>
      <c r="I29" t="s">
        <v>299</v>
      </c>
      <c r="J29" t="s">
        <v>67</v>
      </c>
      <c r="K29" t="s">
        <v>565</v>
      </c>
      <c r="L29" t="s">
        <v>44</v>
      </c>
      <c r="M29" t="s">
        <v>566</v>
      </c>
      <c r="N29">
        <v>13122</v>
      </c>
      <c r="O29" t="s">
        <v>45</v>
      </c>
      <c r="P29" t="s">
        <v>54</v>
      </c>
      <c r="Q29" t="s">
        <v>52</v>
      </c>
      <c r="R29">
        <v>0</v>
      </c>
      <c r="S29">
        <v>54</v>
      </c>
      <c r="T29">
        <v>0</v>
      </c>
      <c r="U29">
        <v>0</v>
      </c>
      <c r="V29" t="s">
        <v>567</v>
      </c>
      <c r="W29" t="s">
        <v>568</v>
      </c>
      <c r="X29" t="s">
        <v>86</v>
      </c>
      <c r="Y29" t="s">
        <v>569</v>
      </c>
      <c r="Z29" t="b">
        <v>0</v>
      </c>
      <c r="AA29">
        <v>1064.814814814815</v>
      </c>
      <c r="AN29" t="e">
        <f>100*(1-E29/AL29)</f>
        <v>#DIV/0!</v>
      </c>
    </row>
    <row r="30" spans="1:40" x14ac:dyDescent="0.3">
      <c r="A30" t="s">
        <v>39</v>
      </c>
      <c r="B30" t="s">
        <v>545</v>
      </c>
      <c r="C30" t="s">
        <v>545</v>
      </c>
      <c r="D30" s="4">
        <v>45980</v>
      </c>
      <c r="E30">
        <v>276000</v>
      </c>
      <c r="F30" t="s">
        <v>546</v>
      </c>
      <c r="G30" t="s">
        <v>178</v>
      </c>
      <c r="H30" t="s">
        <v>111</v>
      </c>
      <c r="I30" t="s">
        <v>179</v>
      </c>
      <c r="J30" t="s">
        <v>175</v>
      </c>
      <c r="K30" t="s">
        <v>547</v>
      </c>
      <c r="L30" t="s">
        <v>44</v>
      </c>
      <c r="M30" t="s">
        <v>548</v>
      </c>
      <c r="N30">
        <v>34001</v>
      </c>
      <c r="O30" t="s">
        <v>97</v>
      </c>
      <c r="P30" t="s">
        <v>118</v>
      </c>
      <c r="Q30">
        <v>0</v>
      </c>
      <c r="R30">
        <v>0</v>
      </c>
      <c r="S30">
        <v>77311.8</v>
      </c>
      <c r="T30">
        <v>0</v>
      </c>
      <c r="U30">
        <v>0</v>
      </c>
      <c r="V30" t="s">
        <v>549</v>
      </c>
      <c r="W30">
        <v>36309351</v>
      </c>
      <c r="X30" t="s">
        <v>86</v>
      </c>
      <c r="Y30" t="s">
        <v>550</v>
      </c>
      <c r="Z30" t="b">
        <v>0</v>
      </c>
      <c r="AA30">
        <v>3.5699595663275199</v>
      </c>
      <c r="AN30" t="e">
        <f>100*(1-E30/AL30)</f>
        <v>#DIV/0!</v>
      </c>
    </row>
    <row r="31" spans="1:40" x14ac:dyDescent="0.3">
      <c r="A31" t="s">
        <v>71</v>
      </c>
      <c r="B31" t="s">
        <v>570</v>
      </c>
      <c r="C31" t="s">
        <v>570</v>
      </c>
      <c r="D31" s="4">
        <v>45980</v>
      </c>
      <c r="E31">
        <v>210000</v>
      </c>
      <c r="F31" t="s">
        <v>571</v>
      </c>
      <c r="G31" t="s">
        <v>572</v>
      </c>
      <c r="H31" t="s">
        <v>94</v>
      </c>
      <c r="I31" t="s">
        <v>332</v>
      </c>
      <c r="J31" t="s">
        <v>105</v>
      </c>
      <c r="K31" t="s">
        <v>573</v>
      </c>
      <c r="L31" t="s">
        <v>80</v>
      </c>
      <c r="M31" t="s">
        <v>574</v>
      </c>
      <c r="N31">
        <v>73006</v>
      </c>
      <c r="O31" t="s">
        <v>45</v>
      </c>
      <c r="P31" t="s">
        <v>81</v>
      </c>
      <c r="Q31">
        <v>0</v>
      </c>
      <c r="R31">
        <v>0</v>
      </c>
      <c r="S31">
        <v>131.79</v>
      </c>
      <c r="T31">
        <v>0</v>
      </c>
      <c r="U31">
        <v>0</v>
      </c>
      <c r="V31" t="s">
        <v>575</v>
      </c>
      <c r="W31" t="s">
        <v>576</v>
      </c>
      <c r="X31" t="s">
        <v>86</v>
      </c>
      <c r="Y31">
        <v>0</v>
      </c>
      <c r="Z31" t="b">
        <v>0</v>
      </c>
      <c r="AA31">
        <v>1593.444115638516</v>
      </c>
      <c r="AN31" t="e">
        <f>100*(1-E31/AL31)</f>
        <v>#DIV/0!</v>
      </c>
    </row>
    <row r="32" spans="1:40" x14ac:dyDescent="0.3">
      <c r="A32" t="s">
        <v>59</v>
      </c>
      <c r="B32" t="s">
        <v>577</v>
      </c>
      <c r="C32" t="s">
        <v>577</v>
      </c>
      <c r="D32" s="4">
        <v>45980</v>
      </c>
      <c r="E32">
        <v>25000</v>
      </c>
      <c r="F32" t="s">
        <v>578</v>
      </c>
      <c r="G32" t="s">
        <v>416</v>
      </c>
      <c r="H32" t="s">
        <v>152</v>
      </c>
      <c r="I32" t="s">
        <v>373</v>
      </c>
      <c r="J32" t="s">
        <v>172</v>
      </c>
      <c r="K32" t="s">
        <v>579</v>
      </c>
      <c r="L32" t="s">
        <v>44</v>
      </c>
      <c r="M32" t="s">
        <v>580</v>
      </c>
      <c r="N32">
        <v>21051</v>
      </c>
      <c r="O32" t="s">
        <v>97</v>
      </c>
      <c r="P32" t="s">
        <v>98</v>
      </c>
      <c r="Q32">
        <v>0</v>
      </c>
      <c r="R32">
        <v>0</v>
      </c>
      <c r="S32">
        <v>308.12</v>
      </c>
      <c r="T32">
        <v>0</v>
      </c>
      <c r="U32">
        <v>0</v>
      </c>
      <c r="V32" t="s">
        <v>581</v>
      </c>
      <c r="W32">
        <v>34254966</v>
      </c>
      <c r="X32" t="s">
        <v>86</v>
      </c>
      <c r="Y32" t="s">
        <v>582</v>
      </c>
      <c r="Z32" t="b">
        <v>0</v>
      </c>
      <c r="AA32">
        <v>81.137219265221347</v>
      </c>
      <c r="AN32" t="e">
        <f>100*(1-E32/AL32)</f>
        <v>#DIV/0!</v>
      </c>
    </row>
    <row r="33" spans="1:40" x14ac:dyDescent="0.3">
      <c r="A33" t="s">
        <v>166</v>
      </c>
      <c r="B33" t="s">
        <v>583</v>
      </c>
      <c r="C33" t="s">
        <v>583</v>
      </c>
      <c r="D33" s="4">
        <v>45980</v>
      </c>
      <c r="E33">
        <v>255000</v>
      </c>
      <c r="F33" t="s">
        <v>584</v>
      </c>
      <c r="G33" t="s">
        <v>585</v>
      </c>
      <c r="H33" t="s">
        <v>62</v>
      </c>
      <c r="I33" t="s">
        <v>586</v>
      </c>
      <c r="J33" t="s">
        <v>63</v>
      </c>
      <c r="K33" t="s">
        <v>587</v>
      </c>
      <c r="L33" t="s">
        <v>44</v>
      </c>
      <c r="M33" t="s">
        <v>585</v>
      </c>
      <c r="N33">
        <v>57300</v>
      </c>
      <c r="O33" t="s">
        <v>45</v>
      </c>
      <c r="P33" t="s">
        <v>81</v>
      </c>
      <c r="Q33">
        <v>0</v>
      </c>
      <c r="R33">
        <v>0</v>
      </c>
      <c r="S33">
        <v>225</v>
      </c>
      <c r="T33">
        <v>0</v>
      </c>
      <c r="U33">
        <v>0</v>
      </c>
      <c r="V33" t="s">
        <v>588</v>
      </c>
      <c r="W33">
        <v>117852265</v>
      </c>
      <c r="X33" t="s">
        <v>86</v>
      </c>
      <c r="Y33" t="s">
        <v>589</v>
      </c>
      <c r="Z33" t="b">
        <v>0</v>
      </c>
      <c r="AA33">
        <v>1133.333333333333</v>
      </c>
      <c r="AN33" t="e">
        <f>100*(1-E33/AL33)</f>
        <v>#DIV/0!</v>
      </c>
    </row>
    <row r="34" spans="1:40" x14ac:dyDescent="0.3">
      <c r="A34" t="s">
        <v>215</v>
      </c>
      <c r="B34" t="s">
        <v>590</v>
      </c>
      <c r="C34" t="s">
        <v>590</v>
      </c>
      <c r="D34" s="4">
        <v>45980</v>
      </c>
      <c r="E34">
        <v>150000</v>
      </c>
      <c r="F34" t="s">
        <v>591</v>
      </c>
      <c r="G34" t="s">
        <v>453</v>
      </c>
      <c r="H34" t="s">
        <v>152</v>
      </c>
      <c r="I34" t="s">
        <v>423</v>
      </c>
      <c r="J34" t="s">
        <v>221</v>
      </c>
      <c r="K34" t="s">
        <v>592</v>
      </c>
      <c r="L34" t="s">
        <v>44</v>
      </c>
      <c r="M34" t="s">
        <v>593</v>
      </c>
      <c r="N34">
        <v>20400</v>
      </c>
      <c r="O34" t="s">
        <v>45</v>
      </c>
      <c r="P34" t="s">
        <v>54</v>
      </c>
      <c r="Q34" t="s">
        <v>52</v>
      </c>
      <c r="R34">
        <v>0</v>
      </c>
      <c r="S34">
        <v>126.03</v>
      </c>
      <c r="T34">
        <v>0</v>
      </c>
      <c r="U34">
        <v>0</v>
      </c>
      <c r="V34" t="s">
        <v>594</v>
      </c>
      <c r="W34" t="s">
        <v>595</v>
      </c>
      <c r="X34" t="s">
        <v>86</v>
      </c>
      <c r="Y34" t="s">
        <v>596</v>
      </c>
      <c r="Z34" t="b">
        <v>0</v>
      </c>
      <c r="AA34">
        <v>1190.1928112354201</v>
      </c>
      <c r="AN34" t="e">
        <f>100*(1-E34/AL34)</f>
        <v>#DIV/0!</v>
      </c>
    </row>
    <row r="35" spans="1:40" x14ac:dyDescent="0.3">
      <c r="A35" t="s">
        <v>39</v>
      </c>
      <c r="B35" t="s">
        <v>545</v>
      </c>
      <c r="C35" t="s">
        <v>545</v>
      </c>
      <c r="D35" s="4">
        <v>45980</v>
      </c>
      <c r="E35">
        <v>276000</v>
      </c>
      <c r="F35" t="s">
        <v>546</v>
      </c>
      <c r="G35" t="s">
        <v>178</v>
      </c>
      <c r="H35" t="s">
        <v>111</v>
      </c>
      <c r="I35" t="s">
        <v>179</v>
      </c>
      <c r="J35" t="s">
        <v>175</v>
      </c>
      <c r="K35" t="s">
        <v>547</v>
      </c>
      <c r="L35" t="s">
        <v>44</v>
      </c>
      <c r="M35" t="s">
        <v>548</v>
      </c>
      <c r="N35">
        <v>34001</v>
      </c>
      <c r="O35" t="s">
        <v>97</v>
      </c>
      <c r="P35" t="s">
        <v>118</v>
      </c>
      <c r="Q35">
        <v>0</v>
      </c>
      <c r="R35">
        <v>0</v>
      </c>
      <c r="S35">
        <v>77311.8</v>
      </c>
      <c r="T35">
        <v>0</v>
      </c>
      <c r="U35">
        <v>0</v>
      </c>
      <c r="V35" t="s">
        <v>549</v>
      </c>
      <c r="W35">
        <v>36309351</v>
      </c>
      <c r="X35" t="s">
        <v>86</v>
      </c>
      <c r="Y35" t="s">
        <v>550</v>
      </c>
      <c r="Z35" t="b">
        <v>0</v>
      </c>
      <c r="AA35">
        <v>3.5699595663275199</v>
      </c>
      <c r="AN35" t="e">
        <f>100*(1-E35/AL35)</f>
        <v>#DIV/0!</v>
      </c>
    </row>
    <row r="36" spans="1:40" x14ac:dyDescent="0.3">
      <c r="A36" t="s">
        <v>59</v>
      </c>
      <c r="B36" t="s">
        <v>597</v>
      </c>
      <c r="C36" t="s">
        <v>598</v>
      </c>
      <c r="D36" s="4">
        <v>45980</v>
      </c>
      <c r="E36">
        <v>8000</v>
      </c>
      <c r="F36" t="s">
        <v>599</v>
      </c>
      <c r="G36" t="s">
        <v>600</v>
      </c>
      <c r="H36" t="s">
        <v>152</v>
      </c>
      <c r="I36" t="s">
        <v>601</v>
      </c>
      <c r="J36" t="s">
        <v>221</v>
      </c>
      <c r="K36" t="s">
        <v>602</v>
      </c>
      <c r="L36" t="s">
        <v>44</v>
      </c>
      <c r="M36" t="s">
        <v>603</v>
      </c>
      <c r="N36">
        <v>20200</v>
      </c>
      <c r="O36" t="s">
        <v>45</v>
      </c>
      <c r="P36" t="s">
        <v>56</v>
      </c>
      <c r="Q36">
        <v>0</v>
      </c>
      <c r="R36">
        <v>0</v>
      </c>
      <c r="S36">
        <v>0</v>
      </c>
      <c r="T36" t="s">
        <v>92</v>
      </c>
      <c r="U36">
        <v>100</v>
      </c>
      <c r="V36" t="s">
        <v>604</v>
      </c>
      <c r="W36">
        <v>36521245</v>
      </c>
      <c r="X36" t="s">
        <v>49</v>
      </c>
      <c r="Y36" t="s">
        <v>605</v>
      </c>
      <c r="Z36" t="b">
        <v>0</v>
      </c>
      <c r="AA36" t="s">
        <v>58</v>
      </c>
      <c r="AN36" t="e">
        <f>100*(1-E36/AL36)</f>
        <v>#DIV/0!</v>
      </c>
    </row>
    <row r="37" spans="1:40" x14ac:dyDescent="0.3">
      <c r="A37" t="s">
        <v>39</v>
      </c>
      <c r="B37" t="s">
        <v>606</v>
      </c>
      <c r="C37" t="s">
        <v>606</v>
      </c>
      <c r="D37" s="4">
        <v>45980</v>
      </c>
      <c r="E37">
        <v>37000</v>
      </c>
      <c r="F37" t="s">
        <v>607</v>
      </c>
      <c r="G37" t="s">
        <v>608</v>
      </c>
      <c r="H37" t="s">
        <v>152</v>
      </c>
      <c r="I37" t="s">
        <v>609</v>
      </c>
      <c r="J37" t="s">
        <v>610</v>
      </c>
      <c r="K37" t="s">
        <v>611</v>
      </c>
      <c r="L37" t="s">
        <v>44</v>
      </c>
      <c r="M37" t="s">
        <v>612</v>
      </c>
      <c r="N37">
        <v>22300</v>
      </c>
      <c r="O37" t="s">
        <v>45</v>
      </c>
      <c r="P37" t="s">
        <v>54</v>
      </c>
      <c r="Q37" t="s">
        <v>47</v>
      </c>
      <c r="R37">
        <v>0</v>
      </c>
      <c r="S37">
        <v>66.540000000000006</v>
      </c>
      <c r="T37">
        <v>0</v>
      </c>
      <c r="U37">
        <v>0</v>
      </c>
      <c r="V37" t="s">
        <v>613</v>
      </c>
      <c r="W37">
        <v>19065551</v>
      </c>
      <c r="X37" t="s">
        <v>86</v>
      </c>
      <c r="Y37" t="s">
        <v>614</v>
      </c>
      <c r="Z37" t="b">
        <v>0</v>
      </c>
      <c r="AA37">
        <v>556.0565073639915</v>
      </c>
      <c r="AN37" t="e">
        <f>100*(1-E37/AL37)</f>
        <v>#DIV/0!</v>
      </c>
    </row>
    <row r="38" spans="1:40" x14ac:dyDescent="0.3">
      <c r="A38" t="s">
        <v>59</v>
      </c>
      <c r="B38" t="s">
        <v>615</v>
      </c>
      <c r="C38" t="s">
        <v>615</v>
      </c>
      <c r="D38" s="4">
        <v>45980</v>
      </c>
      <c r="E38">
        <v>132000</v>
      </c>
      <c r="F38" t="s">
        <v>616</v>
      </c>
      <c r="G38" t="s">
        <v>276</v>
      </c>
      <c r="H38" t="s">
        <v>152</v>
      </c>
      <c r="I38" t="s">
        <v>277</v>
      </c>
      <c r="J38" t="s">
        <v>221</v>
      </c>
      <c r="K38" t="s">
        <v>617</v>
      </c>
      <c r="L38" t="s">
        <v>44</v>
      </c>
      <c r="M38" t="s">
        <v>618</v>
      </c>
      <c r="N38">
        <v>20100</v>
      </c>
      <c r="O38" t="s">
        <v>45</v>
      </c>
      <c r="P38" t="s">
        <v>288</v>
      </c>
      <c r="Q38" t="s">
        <v>100</v>
      </c>
      <c r="R38">
        <v>0</v>
      </c>
      <c r="S38">
        <v>88.82</v>
      </c>
      <c r="T38" t="s">
        <v>161</v>
      </c>
      <c r="U38">
        <v>100</v>
      </c>
      <c r="V38" t="s">
        <v>619</v>
      </c>
      <c r="W38">
        <v>104151590</v>
      </c>
      <c r="X38" t="s">
        <v>49</v>
      </c>
      <c r="Y38" t="s">
        <v>620</v>
      </c>
      <c r="Z38" t="b">
        <v>0</v>
      </c>
      <c r="AA38">
        <v>1486.151767619906</v>
      </c>
      <c r="AN38" t="e">
        <f>100*(1-E38/AL38)</f>
        <v>#DIV/0!</v>
      </c>
    </row>
    <row r="39" spans="1:40" x14ac:dyDescent="0.3">
      <c r="A39" t="s">
        <v>183</v>
      </c>
      <c r="B39" t="s">
        <v>621</v>
      </c>
      <c r="C39" t="s">
        <v>621</v>
      </c>
      <c r="D39" s="4">
        <v>45980</v>
      </c>
      <c r="E39">
        <v>163000</v>
      </c>
      <c r="F39" t="s">
        <v>622</v>
      </c>
      <c r="G39" t="s">
        <v>306</v>
      </c>
      <c r="H39" t="s">
        <v>67</v>
      </c>
      <c r="I39" t="s">
        <v>307</v>
      </c>
      <c r="J39" t="s">
        <v>67</v>
      </c>
      <c r="K39" t="s">
        <v>623</v>
      </c>
      <c r="L39" t="s">
        <v>44</v>
      </c>
      <c r="M39" t="s">
        <v>624</v>
      </c>
      <c r="N39">
        <v>13121</v>
      </c>
      <c r="O39" t="s">
        <v>45</v>
      </c>
      <c r="P39" t="s">
        <v>54</v>
      </c>
      <c r="Q39" t="s">
        <v>100</v>
      </c>
      <c r="R39">
        <v>0</v>
      </c>
      <c r="S39">
        <v>90.25</v>
      </c>
      <c r="T39">
        <v>0</v>
      </c>
      <c r="U39">
        <v>0</v>
      </c>
      <c r="V39" t="s">
        <v>625</v>
      </c>
      <c r="W39" t="s">
        <v>626</v>
      </c>
      <c r="X39" t="s">
        <v>86</v>
      </c>
      <c r="Y39" t="s">
        <v>627</v>
      </c>
      <c r="Z39" t="b">
        <v>0</v>
      </c>
      <c r="AA39">
        <v>1806.0941828254849</v>
      </c>
      <c r="AN39" t="e">
        <f>100*(1-E39/AL39)</f>
        <v>#DIV/0!</v>
      </c>
    </row>
    <row r="40" spans="1:40" x14ac:dyDescent="0.3">
      <c r="A40" t="s">
        <v>39</v>
      </c>
      <c r="B40" t="s">
        <v>606</v>
      </c>
      <c r="C40" t="s">
        <v>606</v>
      </c>
      <c r="D40" s="4">
        <v>45980</v>
      </c>
      <c r="E40">
        <v>37000</v>
      </c>
      <c r="F40" t="s">
        <v>607</v>
      </c>
      <c r="G40" t="s">
        <v>608</v>
      </c>
      <c r="H40" t="s">
        <v>152</v>
      </c>
      <c r="I40" t="s">
        <v>609</v>
      </c>
      <c r="J40" t="s">
        <v>610</v>
      </c>
      <c r="K40" t="s">
        <v>611</v>
      </c>
      <c r="L40" t="s">
        <v>44</v>
      </c>
      <c r="M40" t="s">
        <v>612</v>
      </c>
      <c r="N40">
        <v>22300</v>
      </c>
      <c r="O40" t="s">
        <v>45</v>
      </c>
      <c r="P40" t="s">
        <v>54</v>
      </c>
      <c r="Q40" t="s">
        <v>47</v>
      </c>
      <c r="R40">
        <v>0</v>
      </c>
      <c r="S40">
        <v>66.540000000000006</v>
      </c>
      <c r="T40">
        <v>0</v>
      </c>
      <c r="U40">
        <v>0</v>
      </c>
      <c r="V40" t="s">
        <v>613</v>
      </c>
      <c r="W40">
        <v>19065551</v>
      </c>
      <c r="X40" t="s">
        <v>86</v>
      </c>
      <c r="Y40" t="s">
        <v>614</v>
      </c>
      <c r="Z40" t="b">
        <v>0</v>
      </c>
      <c r="AA40">
        <v>556.0565073639915</v>
      </c>
      <c r="AN40" t="e">
        <f>100*(1-E40/AL40)</f>
        <v>#DIV/0!</v>
      </c>
    </row>
    <row r="41" spans="1:40" x14ac:dyDescent="0.3">
      <c r="A41" t="s">
        <v>71</v>
      </c>
      <c r="B41" t="s">
        <v>628</v>
      </c>
      <c r="C41" t="s">
        <v>628</v>
      </c>
      <c r="D41" s="4">
        <v>45980</v>
      </c>
      <c r="E41">
        <v>23000</v>
      </c>
      <c r="F41" t="s">
        <v>366</v>
      </c>
      <c r="G41" t="s">
        <v>629</v>
      </c>
      <c r="H41" t="s">
        <v>230</v>
      </c>
      <c r="I41" t="s">
        <v>630</v>
      </c>
      <c r="J41" t="s">
        <v>631</v>
      </c>
      <c r="K41" t="s">
        <v>632</v>
      </c>
      <c r="L41" t="s">
        <v>44</v>
      </c>
      <c r="M41" t="s">
        <v>633</v>
      </c>
      <c r="N41">
        <v>69400</v>
      </c>
      <c r="O41" t="s">
        <v>45</v>
      </c>
      <c r="P41" t="s">
        <v>81</v>
      </c>
      <c r="Q41" t="s">
        <v>52</v>
      </c>
      <c r="R41">
        <v>0</v>
      </c>
      <c r="S41">
        <v>85.36</v>
      </c>
      <c r="T41">
        <v>0</v>
      </c>
      <c r="U41">
        <v>0</v>
      </c>
      <c r="V41" t="s">
        <v>634</v>
      </c>
      <c r="W41">
        <v>74580490</v>
      </c>
      <c r="X41" t="s">
        <v>86</v>
      </c>
      <c r="Y41" t="s">
        <v>635</v>
      </c>
      <c r="Z41" t="b">
        <v>0</v>
      </c>
      <c r="AA41">
        <v>269.44704779756319</v>
      </c>
      <c r="AN41" t="e">
        <f>100*(1-E41/AL41)</f>
        <v>#DIV/0!</v>
      </c>
    </row>
    <row r="42" spans="1:40" x14ac:dyDescent="0.3">
      <c r="A42" t="s">
        <v>183</v>
      </c>
      <c r="B42" t="s">
        <v>621</v>
      </c>
      <c r="C42" t="s">
        <v>621</v>
      </c>
      <c r="D42" s="4">
        <v>45980</v>
      </c>
      <c r="E42">
        <v>163000</v>
      </c>
      <c r="F42" t="s">
        <v>622</v>
      </c>
      <c r="G42" t="s">
        <v>306</v>
      </c>
      <c r="H42" t="s">
        <v>67</v>
      </c>
      <c r="I42" t="s">
        <v>307</v>
      </c>
      <c r="J42" t="s">
        <v>67</v>
      </c>
      <c r="K42" t="s">
        <v>623</v>
      </c>
      <c r="L42" t="s">
        <v>44</v>
      </c>
      <c r="M42" t="s">
        <v>624</v>
      </c>
      <c r="N42">
        <v>13121</v>
      </c>
      <c r="O42" t="s">
        <v>45</v>
      </c>
      <c r="P42" t="s">
        <v>54</v>
      </c>
      <c r="Q42" t="s">
        <v>100</v>
      </c>
      <c r="R42">
        <v>0</v>
      </c>
      <c r="S42">
        <v>90.25</v>
      </c>
      <c r="T42">
        <v>0</v>
      </c>
      <c r="U42">
        <v>0</v>
      </c>
      <c r="V42" t="s">
        <v>625</v>
      </c>
      <c r="W42" t="s">
        <v>626</v>
      </c>
      <c r="X42" t="s">
        <v>86</v>
      </c>
      <c r="Y42" t="s">
        <v>627</v>
      </c>
      <c r="Z42" t="b">
        <v>0</v>
      </c>
      <c r="AA42">
        <v>1806.0941828254849</v>
      </c>
      <c r="AN42" t="e">
        <f>100*(1-E42/AL42)</f>
        <v>#DIV/0!</v>
      </c>
    </row>
    <row r="43" spans="1:40" x14ac:dyDescent="0.3">
      <c r="A43" t="s">
        <v>59</v>
      </c>
      <c r="B43" t="s">
        <v>636</v>
      </c>
      <c r="C43" t="s">
        <v>636</v>
      </c>
      <c r="D43" s="4">
        <v>45980</v>
      </c>
      <c r="E43">
        <v>42300</v>
      </c>
      <c r="F43" t="s">
        <v>637</v>
      </c>
      <c r="G43" t="s">
        <v>638</v>
      </c>
      <c r="H43" t="s">
        <v>152</v>
      </c>
      <c r="I43" t="s">
        <v>277</v>
      </c>
      <c r="J43" t="s">
        <v>221</v>
      </c>
      <c r="K43" t="s">
        <v>639</v>
      </c>
      <c r="L43" t="s">
        <v>44</v>
      </c>
      <c r="M43" t="s">
        <v>640</v>
      </c>
      <c r="N43">
        <v>20004</v>
      </c>
      <c r="O43" t="s">
        <v>97</v>
      </c>
      <c r="P43" t="s">
        <v>98</v>
      </c>
      <c r="Q43">
        <v>0</v>
      </c>
      <c r="R43">
        <v>0</v>
      </c>
      <c r="S43">
        <v>1015</v>
      </c>
      <c r="T43" t="s">
        <v>48</v>
      </c>
      <c r="U43" t="s">
        <v>641</v>
      </c>
      <c r="V43" t="s">
        <v>642</v>
      </c>
      <c r="W43">
        <v>47838579</v>
      </c>
      <c r="X43" t="s">
        <v>49</v>
      </c>
      <c r="Y43" t="s">
        <v>643</v>
      </c>
      <c r="Z43" t="b">
        <v>0</v>
      </c>
      <c r="AA43">
        <v>41.674876847290641</v>
      </c>
      <c r="AN43" t="e">
        <f>100*(1-E43/AL43)</f>
        <v>#DIV/0!</v>
      </c>
    </row>
    <row r="44" spans="1:40" x14ac:dyDescent="0.3">
      <c r="A44" t="s">
        <v>166</v>
      </c>
      <c r="B44" t="s">
        <v>644</v>
      </c>
      <c r="C44" t="s">
        <v>644</v>
      </c>
      <c r="D44" s="4">
        <v>45980</v>
      </c>
      <c r="E44">
        <v>122000</v>
      </c>
      <c r="F44" t="s">
        <v>645</v>
      </c>
      <c r="G44" t="s">
        <v>646</v>
      </c>
      <c r="H44" t="s">
        <v>62</v>
      </c>
      <c r="I44" t="s">
        <v>586</v>
      </c>
      <c r="J44" t="s">
        <v>63</v>
      </c>
      <c r="K44" t="s">
        <v>647</v>
      </c>
      <c r="L44" t="s">
        <v>44</v>
      </c>
      <c r="M44" t="s">
        <v>648</v>
      </c>
      <c r="N44">
        <v>57400</v>
      </c>
      <c r="O44" t="s">
        <v>45</v>
      </c>
      <c r="P44" t="s">
        <v>288</v>
      </c>
      <c r="Q44" t="s">
        <v>85</v>
      </c>
      <c r="R44">
        <v>0</v>
      </c>
      <c r="S44">
        <v>135.22</v>
      </c>
      <c r="T44">
        <v>0</v>
      </c>
      <c r="U44">
        <v>0</v>
      </c>
      <c r="V44" t="s">
        <v>649</v>
      </c>
      <c r="W44">
        <v>70859290</v>
      </c>
      <c r="X44" t="s">
        <v>49</v>
      </c>
      <c r="Y44" t="s">
        <v>650</v>
      </c>
      <c r="Z44" t="b">
        <v>0</v>
      </c>
      <c r="AA44">
        <v>902.23339742641622</v>
      </c>
      <c r="AN44" t="e">
        <f>100*(1-E44/AL44)</f>
        <v>#DIV/0!</v>
      </c>
    </row>
    <row r="45" spans="1:40" x14ac:dyDescent="0.3">
      <c r="A45" t="s">
        <v>59</v>
      </c>
      <c r="B45" t="s">
        <v>651</v>
      </c>
      <c r="C45" t="s">
        <v>652</v>
      </c>
      <c r="D45" s="4">
        <v>45980</v>
      </c>
      <c r="E45">
        <v>17100</v>
      </c>
      <c r="F45" t="s">
        <v>653</v>
      </c>
      <c r="G45" t="s">
        <v>40</v>
      </c>
      <c r="H45" t="s">
        <v>41</v>
      </c>
      <c r="I45" t="s">
        <v>42</v>
      </c>
      <c r="J45" t="s">
        <v>43</v>
      </c>
      <c r="K45" t="s">
        <v>654</v>
      </c>
      <c r="L45" t="s">
        <v>44</v>
      </c>
      <c r="M45" t="s">
        <v>655</v>
      </c>
      <c r="N45">
        <v>48062</v>
      </c>
      <c r="O45" t="s">
        <v>50</v>
      </c>
      <c r="P45" t="s">
        <v>51</v>
      </c>
      <c r="Q45" t="s">
        <v>52</v>
      </c>
      <c r="R45">
        <v>0</v>
      </c>
      <c r="S45">
        <v>30.8</v>
      </c>
      <c r="T45" t="s">
        <v>161</v>
      </c>
      <c r="U45">
        <v>100</v>
      </c>
      <c r="V45" t="s">
        <v>656</v>
      </c>
      <c r="W45">
        <v>79258807</v>
      </c>
      <c r="X45" t="s">
        <v>49</v>
      </c>
      <c r="Y45">
        <v>0</v>
      </c>
      <c r="Z45" t="b">
        <v>0</v>
      </c>
      <c r="AA45">
        <v>555.19480519480521</v>
      </c>
      <c r="AN45" t="e">
        <f>100*(1-E45/AL45)</f>
        <v>#DIV/0!</v>
      </c>
    </row>
    <row r="46" spans="1:40" x14ac:dyDescent="0.3">
      <c r="A46" t="s">
        <v>59</v>
      </c>
      <c r="B46" t="s">
        <v>657</v>
      </c>
      <c r="C46" t="s">
        <v>652</v>
      </c>
      <c r="D46" s="4">
        <v>45980</v>
      </c>
      <c r="E46">
        <v>4300</v>
      </c>
      <c r="F46" t="s">
        <v>658</v>
      </c>
      <c r="G46" t="s">
        <v>40</v>
      </c>
      <c r="H46" t="s">
        <v>41</v>
      </c>
      <c r="I46" t="s">
        <v>42</v>
      </c>
      <c r="J46" t="s">
        <v>43</v>
      </c>
      <c r="K46" t="s">
        <v>654</v>
      </c>
      <c r="L46" t="s">
        <v>44</v>
      </c>
      <c r="M46" t="s">
        <v>655</v>
      </c>
      <c r="N46">
        <v>48062</v>
      </c>
      <c r="O46" t="s">
        <v>50</v>
      </c>
      <c r="P46" t="s">
        <v>51</v>
      </c>
      <c r="Q46" t="s">
        <v>52</v>
      </c>
      <c r="R46">
        <v>0</v>
      </c>
      <c r="S46">
        <v>30.8</v>
      </c>
      <c r="T46" t="s">
        <v>192</v>
      </c>
      <c r="U46">
        <v>100</v>
      </c>
      <c r="V46" t="s">
        <v>659</v>
      </c>
      <c r="W46">
        <v>48259230</v>
      </c>
      <c r="X46" t="s">
        <v>49</v>
      </c>
      <c r="Y46">
        <v>0</v>
      </c>
      <c r="Z46" t="b">
        <v>0</v>
      </c>
      <c r="AA46">
        <v>139.6103896103896</v>
      </c>
      <c r="AN46" t="e">
        <f>100*(1-E46/AL46)</f>
        <v>#DIV/0!</v>
      </c>
    </row>
    <row r="47" spans="1:40" x14ac:dyDescent="0.3">
      <c r="A47" t="s">
        <v>59</v>
      </c>
      <c r="B47" t="s">
        <v>660</v>
      </c>
      <c r="C47" t="s">
        <v>660</v>
      </c>
      <c r="D47" s="4">
        <v>45980</v>
      </c>
      <c r="E47">
        <v>21000</v>
      </c>
      <c r="F47" t="s">
        <v>661</v>
      </c>
      <c r="G47" t="s">
        <v>444</v>
      </c>
      <c r="H47" t="s">
        <v>152</v>
      </c>
      <c r="I47" t="s">
        <v>445</v>
      </c>
      <c r="J47" t="s">
        <v>221</v>
      </c>
      <c r="K47" t="s">
        <v>662</v>
      </c>
      <c r="L47" t="s">
        <v>44</v>
      </c>
      <c r="M47" t="s">
        <v>663</v>
      </c>
      <c r="N47">
        <v>20500</v>
      </c>
      <c r="O47" t="s">
        <v>97</v>
      </c>
      <c r="P47" t="s">
        <v>98</v>
      </c>
      <c r="Q47">
        <v>0</v>
      </c>
      <c r="R47">
        <v>0</v>
      </c>
      <c r="S47">
        <v>2906.22</v>
      </c>
      <c r="T47">
        <v>0</v>
      </c>
      <c r="U47">
        <v>0</v>
      </c>
      <c r="V47" t="s">
        <v>664</v>
      </c>
      <c r="W47">
        <v>43036819</v>
      </c>
      <c r="X47" t="s">
        <v>49</v>
      </c>
      <c r="Y47" t="s">
        <v>665</v>
      </c>
      <c r="Z47" t="b">
        <v>0</v>
      </c>
      <c r="AA47">
        <v>7.2258810413526851</v>
      </c>
      <c r="AN47" t="e">
        <f>100*(1-E47/AL47)</f>
        <v>#DIV/0!</v>
      </c>
    </row>
    <row r="48" spans="1:40" x14ac:dyDescent="0.3">
      <c r="A48" t="s">
        <v>183</v>
      </c>
      <c r="B48" t="s">
        <v>666</v>
      </c>
      <c r="C48" t="s">
        <v>667</v>
      </c>
      <c r="D48" s="4">
        <v>45980</v>
      </c>
      <c r="E48">
        <v>12000</v>
      </c>
      <c r="F48" t="s">
        <v>668</v>
      </c>
      <c r="G48" t="s">
        <v>669</v>
      </c>
      <c r="H48" t="s">
        <v>152</v>
      </c>
      <c r="I48" t="s">
        <v>670</v>
      </c>
      <c r="J48" t="s">
        <v>221</v>
      </c>
      <c r="K48" t="s">
        <v>671</v>
      </c>
      <c r="L48" t="s">
        <v>44</v>
      </c>
      <c r="M48" t="s">
        <v>672</v>
      </c>
      <c r="N48">
        <v>20300</v>
      </c>
      <c r="O48" t="s">
        <v>97</v>
      </c>
      <c r="P48" t="s">
        <v>118</v>
      </c>
      <c r="Q48">
        <v>0</v>
      </c>
      <c r="R48">
        <v>0</v>
      </c>
      <c r="S48">
        <v>1251.5</v>
      </c>
      <c r="T48">
        <v>0</v>
      </c>
      <c r="U48">
        <v>0</v>
      </c>
      <c r="V48" t="s">
        <v>673</v>
      </c>
      <c r="W48">
        <v>18435790</v>
      </c>
      <c r="X48" t="s">
        <v>49</v>
      </c>
      <c r="Y48" t="s">
        <v>674</v>
      </c>
      <c r="Z48" t="b">
        <v>0</v>
      </c>
      <c r="AA48">
        <v>9.5884938074310835</v>
      </c>
      <c r="AN48" t="e">
        <f>100*(1-E48/AL48)</f>
        <v>#DIV/0!</v>
      </c>
    </row>
    <row r="49" spans="1:40" x14ac:dyDescent="0.3">
      <c r="A49" t="s">
        <v>39</v>
      </c>
      <c r="B49" t="s">
        <v>675</v>
      </c>
      <c r="C49" t="s">
        <v>675</v>
      </c>
      <c r="D49" s="4">
        <v>45980</v>
      </c>
      <c r="E49">
        <v>79000</v>
      </c>
      <c r="F49" t="s">
        <v>676</v>
      </c>
      <c r="G49" t="s">
        <v>677</v>
      </c>
      <c r="H49" t="s">
        <v>41</v>
      </c>
      <c r="I49" t="s">
        <v>678</v>
      </c>
      <c r="J49" t="s">
        <v>679</v>
      </c>
      <c r="K49" t="s">
        <v>680</v>
      </c>
      <c r="L49" t="s">
        <v>44</v>
      </c>
      <c r="M49" t="s">
        <v>681</v>
      </c>
      <c r="N49">
        <v>46200</v>
      </c>
      <c r="O49" t="s">
        <v>50</v>
      </c>
      <c r="P49" t="s">
        <v>289</v>
      </c>
      <c r="Q49">
        <v>0</v>
      </c>
      <c r="R49">
        <v>0</v>
      </c>
      <c r="S49">
        <v>300</v>
      </c>
      <c r="T49">
        <v>0</v>
      </c>
      <c r="U49">
        <v>0</v>
      </c>
      <c r="V49" t="s">
        <v>682</v>
      </c>
      <c r="W49">
        <v>37881691</v>
      </c>
      <c r="X49" t="s">
        <v>49</v>
      </c>
      <c r="Y49">
        <v>0</v>
      </c>
      <c r="Z49" t="b">
        <v>0</v>
      </c>
      <c r="AA49">
        <v>263.33333333333331</v>
      </c>
      <c r="AN49" t="e">
        <f>100*(1-E49/AL49)</f>
        <v>#DIV/0!</v>
      </c>
    </row>
    <row r="50" spans="1:40" x14ac:dyDescent="0.3">
      <c r="A50" t="s">
        <v>71</v>
      </c>
      <c r="B50" t="s">
        <v>683</v>
      </c>
      <c r="C50" t="s">
        <v>683</v>
      </c>
      <c r="D50" s="4">
        <v>45980</v>
      </c>
      <c r="E50">
        <v>26499</v>
      </c>
      <c r="F50" t="s">
        <v>607</v>
      </c>
      <c r="G50" t="s">
        <v>684</v>
      </c>
      <c r="H50" t="s">
        <v>136</v>
      </c>
      <c r="I50" t="s">
        <v>451</v>
      </c>
      <c r="J50" t="s">
        <v>452</v>
      </c>
      <c r="K50" t="s">
        <v>685</v>
      </c>
      <c r="L50" t="s">
        <v>44</v>
      </c>
      <c r="M50" t="s">
        <v>686</v>
      </c>
      <c r="N50">
        <v>38446</v>
      </c>
      <c r="O50" t="s">
        <v>45</v>
      </c>
      <c r="P50" t="s">
        <v>54</v>
      </c>
      <c r="Q50" t="s">
        <v>100</v>
      </c>
      <c r="R50">
        <v>0</v>
      </c>
      <c r="S50">
        <v>66.510000000000005</v>
      </c>
      <c r="T50">
        <v>0</v>
      </c>
      <c r="U50">
        <v>0</v>
      </c>
      <c r="V50" t="s">
        <v>687</v>
      </c>
      <c r="W50">
        <v>32390540</v>
      </c>
      <c r="X50" t="s">
        <v>49</v>
      </c>
      <c r="Y50" t="s">
        <v>688</v>
      </c>
      <c r="Z50" t="b">
        <v>0</v>
      </c>
      <c r="AA50">
        <v>398.42129003157419</v>
      </c>
      <c r="AN50" t="e">
        <f>100*(1-E50/AL50)</f>
        <v>#DIV/0!</v>
      </c>
    </row>
    <row r="51" spans="1:40" x14ac:dyDescent="0.3">
      <c r="A51" t="s">
        <v>139</v>
      </c>
      <c r="B51" t="s">
        <v>689</v>
      </c>
      <c r="C51" t="s">
        <v>689</v>
      </c>
      <c r="D51" s="4">
        <v>45980</v>
      </c>
      <c r="E51">
        <v>28000</v>
      </c>
      <c r="F51" t="s">
        <v>690</v>
      </c>
      <c r="G51" t="s">
        <v>462</v>
      </c>
      <c r="H51" t="s">
        <v>230</v>
      </c>
      <c r="I51" t="s">
        <v>463</v>
      </c>
      <c r="J51" t="s">
        <v>464</v>
      </c>
      <c r="K51" t="s">
        <v>691</v>
      </c>
      <c r="L51" t="s">
        <v>44</v>
      </c>
      <c r="M51" t="s">
        <v>692</v>
      </c>
      <c r="N51">
        <v>68100</v>
      </c>
      <c r="O51" t="s">
        <v>45</v>
      </c>
      <c r="P51" t="s">
        <v>81</v>
      </c>
      <c r="Q51" t="s">
        <v>52</v>
      </c>
      <c r="R51">
        <v>0</v>
      </c>
      <c r="S51">
        <v>73.87</v>
      </c>
      <c r="T51">
        <v>0</v>
      </c>
      <c r="U51">
        <v>0</v>
      </c>
      <c r="V51" t="s">
        <v>693</v>
      </c>
      <c r="W51" t="s">
        <v>694</v>
      </c>
      <c r="X51" t="s">
        <v>49</v>
      </c>
      <c r="Y51" t="s">
        <v>695</v>
      </c>
      <c r="Z51" t="b">
        <v>0</v>
      </c>
      <c r="AA51">
        <v>379.04426695546232</v>
      </c>
      <c r="AN51" t="e">
        <f>100*(1-E51/AL51)</f>
        <v>#DIV/0!</v>
      </c>
    </row>
    <row r="52" spans="1:40" x14ac:dyDescent="0.3">
      <c r="A52" t="s">
        <v>139</v>
      </c>
      <c r="B52" t="s">
        <v>696</v>
      </c>
      <c r="C52" t="s">
        <v>696</v>
      </c>
      <c r="D52" s="4">
        <v>45980</v>
      </c>
      <c r="E52">
        <v>46350</v>
      </c>
      <c r="F52" t="s">
        <v>697</v>
      </c>
      <c r="G52" t="s">
        <v>83</v>
      </c>
      <c r="H52" t="s">
        <v>67</v>
      </c>
      <c r="I52" t="s">
        <v>84</v>
      </c>
      <c r="J52" t="s">
        <v>67</v>
      </c>
      <c r="K52" t="s">
        <v>698</v>
      </c>
      <c r="L52" t="s">
        <v>44</v>
      </c>
      <c r="M52" t="s">
        <v>699</v>
      </c>
      <c r="N52">
        <v>12132</v>
      </c>
      <c r="O52" t="s">
        <v>45</v>
      </c>
      <c r="P52" t="s">
        <v>54</v>
      </c>
      <c r="Q52" t="s">
        <v>55</v>
      </c>
      <c r="R52">
        <v>0</v>
      </c>
      <c r="S52">
        <v>49.74</v>
      </c>
      <c r="T52" t="s">
        <v>48</v>
      </c>
      <c r="U52">
        <v>50</v>
      </c>
      <c r="V52" t="s">
        <v>700</v>
      </c>
      <c r="W52">
        <v>39011275</v>
      </c>
      <c r="X52" t="s">
        <v>49</v>
      </c>
      <c r="Y52" t="s">
        <v>701</v>
      </c>
      <c r="Z52" t="b">
        <v>0</v>
      </c>
      <c r="AA52">
        <v>931.84559710494568</v>
      </c>
      <c r="AN52" t="e">
        <f>100*(1-E52/AL52)</f>
        <v>#DIV/0!</v>
      </c>
    </row>
    <row r="53" spans="1:40" x14ac:dyDescent="0.3">
      <c r="A53" t="s">
        <v>183</v>
      </c>
      <c r="B53" t="s">
        <v>702</v>
      </c>
      <c r="C53" t="s">
        <v>703</v>
      </c>
      <c r="D53" s="4">
        <v>45980</v>
      </c>
      <c r="E53">
        <v>30000</v>
      </c>
      <c r="F53" t="s">
        <v>704</v>
      </c>
      <c r="G53" t="s">
        <v>705</v>
      </c>
      <c r="H53" t="s">
        <v>94</v>
      </c>
      <c r="I53" t="s">
        <v>465</v>
      </c>
      <c r="J53" t="s">
        <v>105</v>
      </c>
      <c r="K53" t="s">
        <v>706</v>
      </c>
      <c r="L53" t="s">
        <v>44</v>
      </c>
      <c r="M53" t="s">
        <v>707</v>
      </c>
      <c r="N53">
        <v>73008</v>
      </c>
      <c r="O53" t="s">
        <v>97</v>
      </c>
      <c r="P53" t="s">
        <v>118</v>
      </c>
      <c r="Q53">
        <v>0</v>
      </c>
      <c r="R53">
        <v>0</v>
      </c>
      <c r="S53">
        <v>4002.39</v>
      </c>
      <c r="T53">
        <v>0</v>
      </c>
      <c r="U53">
        <v>0</v>
      </c>
      <c r="V53" t="s">
        <v>708</v>
      </c>
      <c r="W53">
        <v>42410236</v>
      </c>
      <c r="X53" t="s">
        <v>49</v>
      </c>
      <c r="Y53">
        <v>0</v>
      </c>
      <c r="Z53" t="b">
        <v>0</v>
      </c>
      <c r="AA53">
        <v>7.4955214259479961</v>
      </c>
      <c r="AN53" t="e">
        <f>100*(1-E53/AL53)</f>
        <v>#DIV/0!</v>
      </c>
    </row>
    <row r="54" spans="1:40" x14ac:dyDescent="0.3">
      <c r="A54" t="s">
        <v>183</v>
      </c>
      <c r="B54" t="s">
        <v>709</v>
      </c>
      <c r="C54" t="s">
        <v>703</v>
      </c>
      <c r="D54" s="4">
        <v>45980</v>
      </c>
      <c r="E54">
        <v>30000</v>
      </c>
      <c r="F54" t="s">
        <v>710</v>
      </c>
      <c r="G54" t="s">
        <v>705</v>
      </c>
      <c r="H54" t="s">
        <v>94</v>
      </c>
      <c r="I54" t="s">
        <v>465</v>
      </c>
      <c r="J54" t="s">
        <v>105</v>
      </c>
      <c r="K54" t="s">
        <v>706</v>
      </c>
      <c r="L54" t="s">
        <v>44</v>
      </c>
      <c r="M54" t="s">
        <v>707</v>
      </c>
      <c r="N54">
        <v>73008</v>
      </c>
      <c r="O54" t="s">
        <v>97</v>
      </c>
      <c r="P54" t="s">
        <v>118</v>
      </c>
      <c r="Q54">
        <v>0</v>
      </c>
      <c r="R54">
        <v>0</v>
      </c>
      <c r="S54">
        <v>4002.81</v>
      </c>
      <c r="T54">
        <v>0</v>
      </c>
      <c r="U54">
        <v>0</v>
      </c>
      <c r="V54" t="s">
        <v>708</v>
      </c>
      <c r="W54">
        <v>42410236</v>
      </c>
      <c r="X54" t="s">
        <v>49</v>
      </c>
      <c r="Y54">
        <v>0</v>
      </c>
      <c r="Z54" t="b">
        <v>0</v>
      </c>
      <c r="AA54">
        <v>7.4947349486985404</v>
      </c>
      <c r="AN54" t="e">
        <f>100*(1-E54/AL54)</f>
        <v>#DIV/0!</v>
      </c>
    </row>
    <row r="55" spans="1:40" x14ac:dyDescent="0.3">
      <c r="A55" t="s">
        <v>39</v>
      </c>
      <c r="B55" t="s">
        <v>606</v>
      </c>
      <c r="C55" t="s">
        <v>606</v>
      </c>
      <c r="D55" s="4">
        <v>45980</v>
      </c>
      <c r="E55">
        <v>37000</v>
      </c>
      <c r="F55" t="s">
        <v>607</v>
      </c>
      <c r="G55" t="s">
        <v>608</v>
      </c>
      <c r="H55" t="s">
        <v>152</v>
      </c>
      <c r="I55" t="s">
        <v>609</v>
      </c>
      <c r="J55" t="s">
        <v>610</v>
      </c>
      <c r="K55" t="s">
        <v>611</v>
      </c>
      <c r="L55" t="s">
        <v>44</v>
      </c>
      <c r="M55" t="s">
        <v>612</v>
      </c>
      <c r="N55">
        <v>22300</v>
      </c>
      <c r="O55" t="s">
        <v>45</v>
      </c>
      <c r="P55" t="s">
        <v>54</v>
      </c>
      <c r="Q55" t="s">
        <v>47</v>
      </c>
      <c r="R55">
        <v>0</v>
      </c>
      <c r="S55">
        <v>66.540000000000006</v>
      </c>
      <c r="T55">
        <v>0</v>
      </c>
      <c r="U55">
        <v>0</v>
      </c>
      <c r="V55" t="s">
        <v>613</v>
      </c>
      <c r="W55">
        <v>19065551</v>
      </c>
      <c r="X55" t="s">
        <v>86</v>
      </c>
      <c r="Y55" t="s">
        <v>614</v>
      </c>
      <c r="Z55" t="b">
        <v>0</v>
      </c>
      <c r="AA55">
        <v>556.0565073639915</v>
      </c>
      <c r="AN55" t="e">
        <f>100*(1-E55/AL55)</f>
        <v>#DIV/0!</v>
      </c>
    </row>
    <row r="56" spans="1:40" x14ac:dyDescent="0.3">
      <c r="A56" t="s">
        <v>215</v>
      </c>
      <c r="B56" t="s">
        <v>711</v>
      </c>
      <c r="C56" t="s">
        <v>712</v>
      </c>
      <c r="D56" s="4">
        <v>45980</v>
      </c>
      <c r="E56">
        <v>10500</v>
      </c>
      <c r="F56" t="s">
        <v>265</v>
      </c>
      <c r="G56" t="s">
        <v>263</v>
      </c>
      <c r="H56" t="s">
        <v>67</v>
      </c>
      <c r="I56" t="s">
        <v>264</v>
      </c>
      <c r="J56" t="s">
        <v>67</v>
      </c>
      <c r="K56" t="s">
        <v>713</v>
      </c>
      <c r="L56" t="s">
        <v>44</v>
      </c>
      <c r="M56" t="s">
        <v>714</v>
      </c>
      <c r="N56">
        <v>15126</v>
      </c>
      <c r="O56" t="s">
        <v>76</v>
      </c>
      <c r="P56" t="s">
        <v>133</v>
      </c>
      <c r="Q56">
        <v>0</v>
      </c>
      <c r="R56">
        <v>0</v>
      </c>
      <c r="S56">
        <v>11.25</v>
      </c>
      <c r="T56">
        <v>0</v>
      </c>
      <c r="U56">
        <v>0</v>
      </c>
      <c r="V56" t="s">
        <v>715</v>
      </c>
      <c r="W56">
        <v>30617490</v>
      </c>
      <c r="X56" t="s">
        <v>49</v>
      </c>
      <c r="Y56" t="s">
        <v>716</v>
      </c>
      <c r="Z56" t="b">
        <v>0</v>
      </c>
      <c r="AA56">
        <v>933.33333333333337</v>
      </c>
      <c r="AN56" t="e">
        <f>100*(1-E56/AL56)</f>
        <v>#DIV/0!</v>
      </c>
    </row>
    <row r="57" spans="1:40" x14ac:dyDescent="0.3">
      <c r="A57" t="s">
        <v>59</v>
      </c>
      <c r="B57" t="s">
        <v>717</v>
      </c>
      <c r="C57" t="s">
        <v>717</v>
      </c>
      <c r="D57" s="4">
        <v>45980</v>
      </c>
      <c r="E57">
        <v>99300</v>
      </c>
      <c r="F57" t="s">
        <v>718</v>
      </c>
      <c r="G57" t="s">
        <v>115</v>
      </c>
      <c r="H57" t="s">
        <v>67</v>
      </c>
      <c r="I57" t="s">
        <v>116</v>
      </c>
      <c r="J57" t="s">
        <v>67</v>
      </c>
      <c r="K57" t="s">
        <v>719</v>
      </c>
      <c r="L57" t="s">
        <v>44</v>
      </c>
      <c r="M57" t="s">
        <v>720</v>
      </c>
      <c r="N57">
        <v>11144</v>
      </c>
      <c r="O57" t="s">
        <v>45</v>
      </c>
      <c r="P57" t="s">
        <v>54</v>
      </c>
      <c r="Q57" t="s">
        <v>85</v>
      </c>
      <c r="R57">
        <v>0</v>
      </c>
      <c r="S57">
        <v>72</v>
      </c>
      <c r="T57">
        <v>0</v>
      </c>
      <c r="U57">
        <v>0</v>
      </c>
      <c r="V57" t="s">
        <v>721</v>
      </c>
      <c r="W57">
        <v>17750405</v>
      </c>
      <c r="X57" t="s">
        <v>86</v>
      </c>
      <c r="Y57" t="s">
        <v>722</v>
      </c>
      <c r="Z57" t="b">
        <v>0</v>
      </c>
      <c r="AA57">
        <v>1379.166666666667</v>
      </c>
      <c r="AN57" t="e">
        <f>100*(1-E57/AL57)</f>
        <v>#DIV/0!</v>
      </c>
    </row>
    <row r="58" spans="1:40" x14ac:dyDescent="0.3">
      <c r="A58" t="s">
        <v>59</v>
      </c>
      <c r="B58" t="s">
        <v>723</v>
      </c>
      <c r="C58" t="s">
        <v>724</v>
      </c>
      <c r="D58" s="4">
        <v>45980</v>
      </c>
      <c r="E58">
        <v>8411</v>
      </c>
      <c r="F58" t="s">
        <v>725</v>
      </c>
      <c r="G58" t="s">
        <v>705</v>
      </c>
      <c r="H58" t="s">
        <v>94</v>
      </c>
      <c r="I58" t="s">
        <v>465</v>
      </c>
      <c r="J58" t="s">
        <v>105</v>
      </c>
      <c r="K58" t="s">
        <v>726</v>
      </c>
      <c r="L58" t="s">
        <v>44</v>
      </c>
      <c r="M58" t="s">
        <v>727</v>
      </c>
      <c r="N58">
        <v>73008</v>
      </c>
      <c r="O58" t="s">
        <v>45</v>
      </c>
      <c r="P58" t="s">
        <v>56</v>
      </c>
      <c r="Q58" t="s">
        <v>55</v>
      </c>
      <c r="R58">
        <v>0</v>
      </c>
      <c r="S58">
        <v>0</v>
      </c>
      <c r="T58" t="s">
        <v>92</v>
      </c>
      <c r="U58">
        <v>100</v>
      </c>
      <c r="V58" t="s">
        <v>728</v>
      </c>
      <c r="W58">
        <v>46594571</v>
      </c>
      <c r="X58" t="s">
        <v>49</v>
      </c>
      <c r="Y58">
        <v>0</v>
      </c>
      <c r="Z58" t="b">
        <v>0</v>
      </c>
      <c r="AA58" t="s">
        <v>58</v>
      </c>
      <c r="AN58" t="e">
        <f>100*(1-E58/AL58)</f>
        <v>#DIV/0!</v>
      </c>
    </row>
    <row r="59" spans="1:40" x14ac:dyDescent="0.3">
      <c r="A59" t="s">
        <v>59</v>
      </c>
      <c r="B59" t="s">
        <v>729</v>
      </c>
      <c r="C59" t="s">
        <v>724</v>
      </c>
      <c r="D59" s="4">
        <v>45980</v>
      </c>
      <c r="E59">
        <v>8411</v>
      </c>
      <c r="F59" t="s">
        <v>725</v>
      </c>
      <c r="G59" t="s">
        <v>705</v>
      </c>
      <c r="H59" t="s">
        <v>94</v>
      </c>
      <c r="I59" t="s">
        <v>465</v>
      </c>
      <c r="J59" t="s">
        <v>105</v>
      </c>
      <c r="K59" t="s">
        <v>726</v>
      </c>
      <c r="L59" t="s">
        <v>44</v>
      </c>
      <c r="M59" t="s">
        <v>727</v>
      </c>
      <c r="N59">
        <v>73008</v>
      </c>
      <c r="O59" t="s">
        <v>45</v>
      </c>
      <c r="P59" t="s">
        <v>56</v>
      </c>
      <c r="Q59" t="s">
        <v>55</v>
      </c>
      <c r="R59">
        <v>0</v>
      </c>
      <c r="S59">
        <v>0</v>
      </c>
      <c r="T59" t="s">
        <v>92</v>
      </c>
      <c r="U59">
        <v>100</v>
      </c>
      <c r="V59" t="s">
        <v>728</v>
      </c>
      <c r="W59">
        <v>46594571</v>
      </c>
      <c r="X59" t="s">
        <v>49</v>
      </c>
      <c r="Y59">
        <v>0</v>
      </c>
      <c r="Z59" t="b">
        <v>0</v>
      </c>
      <c r="AA59" t="s">
        <v>58</v>
      </c>
      <c r="AN59" t="e">
        <f>100*(1-E59/AL59)</f>
        <v>#DIV/0!</v>
      </c>
    </row>
    <row r="60" spans="1:40" x14ac:dyDescent="0.3">
      <c r="A60" t="s">
        <v>59</v>
      </c>
      <c r="B60" t="s">
        <v>730</v>
      </c>
      <c r="C60" t="s">
        <v>730</v>
      </c>
      <c r="D60" s="4">
        <v>45980</v>
      </c>
      <c r="E60">
        <v>66000</v>
      </c>
      <c r="F60" t="s">
        <v>731</v>
      </c>
      <c r="G60" t="s">
        <v>732</v>
      </c>
      <c r="H60" t="s">
        <v>62</v>
      </c>
      <c r="I60" t="s">
        <v>477</v>
      </c>
      <c r="J60" t="s">
        <v>63</v>
      </c>
      <c r="K60" t="s">
        <v>733</v>
      </c>
      <c r="L60" t="s">
        <v>44</v>
      </c>
      <c r="M60" t="s">
        <v>734</v>
      </c>
      <c r="N60">
        <v>57001</v>
      </c>
      <c r="O60" t="s">
        <v>97</v>
      </c>
      <c r="P60" t="s">
        <v>98</v>
      </c>
      <c r="Q60">
        <v>0</v>
      </c>
      <c r="R60">
        <v>0</v>
      </c>
      <c r="S60">
        <v>225</v>
      </c>
      <c r="T60">
        <v>0</v>
      </c>
      <c r="U60">
        <v>0</v>
      </c>
      <c r="V60" t="s">
        <v>735</v>
      </c>
      <c r="W60" t="s">
        <v>736</v>
      </c>
      <c r="X60" t="s">
        <v>49</v>
      </c>
      <c r="Y60" t="s">
        <v>737</v>
      </c>
      <c r="Z60" t="b">
        <v>0</v>
      </c>
      <c r="AA60">
        <v>293.33333333333331</v>
      </c>
      <c r="AN60" t="e">
        <f>100*(1-E60/AL60)</f>
        <v>#DIV/0!</v>
      </c>
    </row>
    <row r="61" spans="1:40" x14ac:dyDescent="0.3">
      <c r="A61" t="s">
        <v>59</v>
      </c>
      <c r="B61" t="s">
        <v>738</v>
      </c>
      <c r="C61" t="s">
        <v>738</v>
      </c>
      <c r="D61" s="4">
        <v>45980</v>
      </c>
      <c r="E61">
        <v>97500</v>
      </c>
      <c r="F61" t="s">
        <v>739</v>
      </c>
      <c r="G61" t="s">
        <v>115</v>
      </c>
      <c r="H61" t="s">
        <v>67</v>
      </c>
      <c r="I61" t="s">
        <v>116</v>
      </c>
      <c r="J61" t="s">
        <v>67</v>
      </c>
      <c r="K61" t="s">
        <v>740</v>
      </c>
      <c r="L61" t="s">
        <v>44</v>
      </c>
      <c r="M61" t="s">
        <v>741</v>
      </c>
      <c r="N61">
        <v>11745</v>
      </c>
      <c r="O61" t="s">
        <v>45</v>
      </c>
      <c r="P61" t="s">
        <v>54</v>
      </c>
      <c r="Q61" t="s">
        <v>64</v>
      </c>
      <c r="R61">
        <v>0</v>
      </c>
      <c r="S61">
        <v>52.56</v>
      </c>
      <c r="T61">
        <v>0</v>
      </c>
      <c r="U61">
        <v>0</v>
      </c>
      <c r="V61" t="s">
        <v>742</v>
      </c>
      <c r="W61">
        <v>28095749</v>
      </c>
      <c r="X61" t="s">
        <v>86</v>
      </c>
      <c r="Y61" t="s">
        <v>743</v>
      </c>
      <c r="Z61" t="b">
        <v>0</v>
      </c>
      <c r="AA61">
        <v>1855.022831050228</v>
      </c>
      <c r="AN61" t="e">
        <f>100*(1-E61/AL61)</f>
        <v>#DIV/0!</v>
      </c>
    </row>
    <row r="62" spans="1:40" x14ac:dyDescent="0.3">
      <c r="A62" t="s">
        <v>59</v>
      </c>
      <c r="B62" t="s">
        <v>744</v>
      </c>
      <c r="C62" t="s">
        <v>744</v>
      </c>
      <c r="D62" s="4">
        <v>45980</v>
      </c>
      <c r="E62">
        <v>104000</v>
      </c>
      <c r="F62" t="s">
        <v>410</v>
      </c>
      <c r="G62" t="s">
        <v>745</v>
      </c>
      <c r="H62" t="s">
        <v>230</v>
      </c>
      <c r="I62" t="s">
        <v>746</v>
      </c>
      <c r="J62" t="s">
        <v>426</v>
      </c>
      <c r="K62" t="s">
        <v>747</v>
      </c>
      <c r="L62" t="s">
        <v>44</v>
      </c>
      <c r="M62" t="s">
        <v>748</v>
      </c>
      <c r="N62">
        <v>67100</v>
      </c>
      <c r="O62" t="s">
        <v>45</v>
      </c>
      <c r="P62" t="s">
        <v>81</v>
      </c>
      <c r="Q62" t="s">
        <v>55</v>
      </c>
      <c r="R62">
        <v>0</v>
      </c>
      <c r="S62">
        <v>184.58</v>
      </c>
      <c r="T62">
        <v>0</v>
      </c>
      <c r="U62">
        <v>0</v>
      </c>
      <c r="V62" t="s">
        <v>749</v>
      </c>
      <c r="W62" t="s">
        <v>750</v>
      </c>
      <c r="X62" t="s">
        <v>86</v>
      </c>
      <c r="Y62" t="s">
        <v>751</v>
      </c>
      <c r="Z62" t="b">
        <v>0</v>
      </c>
      <c r="AA62">
        <v>563.44132625419866</v>
      </c>
      <c r="AN62" t="e">
        <f>100*(1-E62/AL62)</f>
        <v>#DIV/0!</v>
      </c>
    </row>
    <row r="63" spans="1:40" x14ac:dyDescent="0.3">
      <c r="A63" t="s">
        <v>59</v>
      </c>
      <c r="B63" t="s">
        <v>752</v>
      </c>
      <c r="C63" t="s">
        <v>752</v>
      </c>
      <c r="D63" s="4">
        <v>45980</v>
      </c>
      <c r="E63">
        <v>87000</v>
      </c>
      <c r="F63" t="s">
        <v>109</v>
      </c>
      <c r="G63" t="s">
        <v>141</v>
      </c>
      <c r="H63" t="s">
        <v>67</v>
      </c>
      <c r="I63" t="s">
        <v>142</v>
      </c>
      <c r="J63" t="s">
        <v>67</v>
      </c>
      <c r="K63" t="s">
        <v>753</v>
      </c>
      <c r="L63" t="s">
        <v>44</v>
      </c>
      <c r="M63" t="s">
        <v>754</v>
      </c>
      <c r="N63">
        <v>13671</v>
      </c>
      <c r="O63" t="s">
        <v>45</v>
      </c>
      <c r="P63" t="s">
        <v>54</v>
      </c>
      <c r="Q63" t="s">
        <v>100</v>
      </c>
      <c r="R63">
        <v>0</v>
      </c>
      <c r="S63">
        <v>78</v>
      </c>
      <c r="T63">
        <v>0</v>
      </c>
      <c r="U63">
        <v>0</v>
      </c>
      <c r="V63" t="s">
        <v>755</v>
      </c>
      <c r="W63" t="s">
        <v>756</v>
      </c>
      <c r="X63" t="s">
        <v>86</v>
      </c>
      <c r="Y63" t="s">
        <v>757</v>
      </c>
      <c r="Z63" t="b">
        <v>0</v>
      </c>
      <c r="AA63">
        <v>1115.384615384615</v>
      </c>
      <c r="AN63" t="e">
        <f>100*(1-E63/AL63)</f>
        <v>#DIV/0!</v>
      </c>
    </row>
    <row r="64" spans="1:40" x14ac:dyDescent="0.3">
      <c r="A64" t="s">
        <v>39</v>
      </c>
      <c r="B64" t="s">
        <v>758</v>
      </c>
      <c r="C64" t="s">
        <v>758</v>
      </c>
      <c r="D64" s="4">
        <v>45980</v>
      </c>
      <c r="E64">
        <v>47000</v>
      </c>
      <c r="F64" t="s">
        <v>297</v>
      </c>
      <c r="G64" t="s">
        <v>759</v>
      </c>
      <c r="H64" t="s">
        <v>41</v>
      </c>
      <c r="I64" t="s">
        <v>760</v>
      </c>
      <c r="J64" t="s">
        <v>679</v>
      </c>
      <c r="K64" t="s">
        <v>761</v>
      </c>
      <c r="L64" t="s">
        <v>44</v>
      </c>
      <c r="M64" t="s">
        <v>762</v>
      </c>
      <c r="N64">
        <v>46100</v>
      </c>
      <c r="O64" t="s">
        <v>45</v>
      </c>
      <c r="P64" t="s">
        <v>54</v>
      </c>
      <c r="Q64" t="s">
        <v>52</v>
      </c>
      <c r="R64">
        <v>0</v>
      </c>
      <c r="S64">
        <v>81.58</v>
      </c>
      <c r="T64">
        <v>0</v>
      </c>
      <c r="U64">
        <v>0</v>
      </c>
      <c r="V64" t="s">
        <v>763</v>
      </c>
      <c r="W64">
        <v>39918635</v>
      </c>
      <c r="X64" t="s">
        <v>49</v>
      </c>
      <c r="Y64">
        <v>0</v>
      </c>
      <c r="Z64" t="b">
        <v>0</v>
      </c>
      <c r="AA64">
        <v>576.121598430988</v>
      </c>
      <c r="AN64" t="e">
        <f>100*(1-E64/AL64)</f>
        <v>#DIV/0!</v>
      </c>
    </row>
    <row r="65" spans="1:40" x14ac:dyDescent="0.3">
      <c r="A65" t="s">
        <v>59</v>
      </c>
      <c r="B65" t="s">
        <v>764</v>
      </c>
      <c r="C65" t="s">
        <v>764</v>
      </c>
      <c r="D65" s="4">
        <v>45980</v>
      </c>
      <c r="E65">
        <v>107000</v>
      </c>
      <c r="F65" t="s">
        <v>765</v>
      </c>
      <c r="G65" t="s">
        <v>766</v>
      </c>
      <c r="H65" t="s">
        <v>136</v>
      </c>
      <c r="I65" t="s">
        <v>767</v>
      </c>
      <c r="J65" t="s">
        <v>452</v>
      </c>
      <c r="K65" t="s">
        <v>768</v>
      </c>
      <c r="L65" t="s">
        <v>44</v>
      </c>
      <c r="M65" t="s">
        <v>769</v>
      </c>
      <c r="N65">
        <v>37012</v>
      </c>
      <c r="O65" t="s">
        <v>97</v>
      </c>
      <c r="P65" t="s">
        <v>98</v>
      </c>
      <c r="Q65">
        <v>0</v>
      </c>
      <c r="R65">
        <v>0</v>
      </c>
      <c r="S65">
        <v>4016.85</v>
      </c>
      <c r="T65">
        <v>0</v>
      </c>
      <c r="U65">
        <v>0</v>
      </c>
      <c r="V65" t="s">
        <v>770</v>
      </c>
      <c r="W65">
        <v>21510062</v>
      </c>
      <c r="X65" t="s">
        <v>49</v>
      </c>
      <c r="Y65" t="s">
        <v>771</v>
      </c>
      <c r="Z65" t="b">
        <v>0</v>
      </c>
      <c r="AA65">
        <v>26.637788316715831</v>
      </c>
      <c r="AN65" t="e">
        <f>100*(1-E65/AL65)</f>
        <v>#DIV/0!</v>
      </c>
    </row>
    <row r="66" spans="1:40" x14ac:dyDescent="0.3">
      <c r="A66" t="s">
        <v>183</v>
      </c>
      <c r="B66" t="s">
        <v>772</v>
      </c>
      <c r="C66" t="s">
        <v>772</v>
      </c>
      <c r="D66" s="4">
        <v>45980</v>
      </c>
      <c r="E66">
        <v>99000</v>
      </c>
      <c r="F66" t="s">
        <v>773</v>
      </c>
      <c r="G66" t="s">
        <v>774</v>
      </c>
      <c r="H66" t="s">
        <v>230</v>
      </c>
      <c r="I66" t="s">
        <v>413</v>
      </c>
      <c r="J66" t="s">
        <v>260</v>
      </c>
      <c r="K66" t="s">
        <v>414</v>
      </c>
      <c r="L66" t="s">
        <v>44</v>
      </c>
      <c r="M66" t="s">
        <v>775</v>
      </c>
      <c r="N66">
        <v>66100</v>
      </c>
      <c r="O66" t="s">
        <v>97</v>
      </c>
      <c r="P66" t="s">
        <v>118</v>
      </c>
      <c r="Q66">
        <v>0</v>
      </c>
      <c r="R66">
        <v>0</v>
      </c>
      <c r="S66">
        <v>40910</v>
      </c>
      <c r="T66">
        <v>0</v>
      </c>
      <c r="U66">
        <v>0</v>
      </c>
      <c r="V66" t="s">
        <v>776</v>
      </c>
      <c r="W66">
        <v>30682853</v>
      </c>
      <c r="X66" t="s">
        <v>49</v>
      </c>
      <c r="Y66" t="s">
        <v>415</v>
      </c>
      <c r="Z66" t="b">
        <v>0</v>
      </c>
      <c r="AA66">
        <v>2.419946223417258</v>
      </c>
      <c r="AN66" t="e">
        <f>100*(1-E66/AL66)</f>
        <v>#DIV/0!</v>
      </c>
    </row>
    <row r="67" spans="1:40" x14ac:dyDescent="0.3">
      <c r="A67" t="s">
        <v>71</v>
      </c>
      <c r="B67" t="s">
        <v>777</v>
      </c>
      <c r="C67" t="s">
        <v>777</v>
      </c>
      <c r="D67" s="4">
        <v>45980</v>
      </c>
      <c r="E67">
        <v>55000</v>
      </c>
      <c r="F67" t="s">
        <v>778</v>
      </c>
      <c r="G67" t="s">
        <v>779</v>
      </c>
      <c r="H67" t="s">
        <v>152</v>
      </c>
      <c r="I67" t="s">
        <v>780</v>
      </c>
      <c r="J67" t="s">
        <v>172</v>
      </c>
      <c r="K67" t="s">
        <v>781</v>
      </c>
      <c r="L67" t="s">
        <v>44</v>
      </c>
      <c r="M67" t="s">
        <v>782</v>
      </c>
      <c r="N67">
        <v>21200</v>
      </c>
      <c r="O67" t="s">
        <v>45</v>
      </c>
      <c r="P67" t="s">
        <v>54</v>
      </c>
      <c r="Q67" t="s">
        <v>55</v>
      </c>
      <c r="R67">
        <v>0</v>
      </c>
      <c r="S67">
        <v>88</v>
      </c>
      <c r="T67" t="s">
        <v>48</v>
      </c>
      <c r="U67">
        <v>50</v>
      </c>
      <c r="V67" t="s">
        <v>783</v>
      </c>
      <c r="W67">
        <v>70844830</v>
      </c>
      <c r="X67" t="s">
        <v>49</v>
      </c>
      <c r="Y67" t="s">
        <v>784</v>
      </c>
      <c r="Z67" t="b">
        <v>0</v>
      </c>
      <c r="AA67">
        <v>625</v>
      </c>
      <c r="AN67" t="e">
        <f>100*(1-E67/AL67)</f>
        <v>#DIV/0!</v>
      </c>
    </row>
    <row r="68" spans="1:40" x14ac:dyDescent="0.3">
      <c r="A68" t="s">
        <v>59</v>
      </c>
      <c r="B68" t="s">
        <v>785</v>
      </c>
      <c r="C68" t="s">
        <v>786</v>
      </c>
      <c r="D68" s="4">
        <v>45980</v>
      </c>
      <c r="E68">
        <v>42941</v>
      </c>
      <c r="F68" t="s">
        <v>367</v>
      </c>
      <c r="G68" t="s">
        <v>406</v>
      </c>
      <c r="H68" t="s">
        <v>124</v>
      </c>
      <c r="I68" t="s">
        <v>364</v>
      </c>
      <c r="J68" t="s">
        <v>256</v>
      </c>
      <c r="K68" t="s">
        <v>787</v>
      </c>
      <c r="L68" t="s">
        <v>44</v>
      </c>
      <c r="M68" t="s">
        <v>788</v>
      </c>
      <c r="N68">
        <v>30200</v>
      </c>
      <c r="O68" t="s">
        <v>45</v>
      </c>
      <c r="P68" t="s">
        <v>54</v>
      </c>
      <c r="Q68" t="s">
        <v>55</v>
      </c>
      <c r="R68">
        <v>0</v>
      </c>
      <c r="S68">
        <v>49.4</v>
      </c>
      <c r="T68">
        <v>0</v>
      </c>
      <c r="U68">
        <v>0</v>
      </c>
      <c r="V68" t="s">
        <v>789</v>
      </c>
      <c r="W68" t="s">
        <v>790</v>
      </c>
      <c r="X68" t="s">
        <v>49</v>
      </c>
      <c r="Y68" t="s">
        <v>791</v>
      </c>
      <c r="Z68" t="b">
        <v>0</v>
      </c>
      <c r="AA68">
        <v>869.25101214574897</v>
      </c>
      <c r="AN68" t="e">
        <f>100*(1-E68/AL68)</f>
        <v>#DIV/0!</v>
      </c>
    </row>
    <row r="69" spans="1:40" x14ac:dyDescent="0.3">
      <c r="A69" t="s">
        <v>183</v>
      </c>
      <c r="B69" t="s">
        <v>792</v>
      </c>
      <c r="C69" t="s">
        <v>792</v>
      </c>
      <c r="D69" s="4">
        <v>45980</v>
      </c>
      <c r="E69">
        <v>39000</v>
      </c>
      <c r="F69" t="s">
        <v>793</v>
      </c>
      <c r="G69" t="s">
        <v>794</v>
      </c>
      <c r="H69" t="s">
        <v>62</v>
      </c>
      <c r="I69" t="s">
        <v>495</v>
      </c>
      <c r="J69" t="s">
        <v>389</v>
      </c>
      <c r="K69" t="s">
        <v>795</v>
      </c>
      <c r="L69" t="s">
        <v>44</v>
      </c>
      <c r="M69" t="s">
        <v>796</v>
      </c>
      <c r="N69">
        <v>63071</v>
      </c>
      <c r="O69" t="s">
        <v>45</v>
      </c>
      <c r="P69" t="s">
        <v>81</v>
      </c>
      <c r="Q69" t="s">
        <v>52</v>
      </c>
      <c r="R69">
        <v>0</v>
      </c>
      <c r="S69">
        <v>100</v>
      </c>
      <c r="T69" t="s">
        <v>48</v>
      </c>
      <c r="U69">
        <v>50</v>
      </c>
      <c r="V69" t="s">
        <v>797</v>
      </c>
      <c r="W69">
        <v>18742187</v>
      </c>
      <c r="X69" t="s">
        <v>49</v>
      </c>
      <c r="Y69" t="s">
        <v>798</v>
      </c>
      <c r="Z69" t="b">
        <v>0</v>
      </c>
      <c r="AA69">
        <v>390</v>
      </c>
      <c r="AN69" t="e">
        <f>100*(1-E69/AL69)</f>
        <v>#DIV/0!</v>
      </c>
    </row>
    <row r="70" spans="1:40" x14ac:dyDescent="0.3">
      <c r="A70" t="s">
        <v>215</v>
      </c>
      <c r="B70" t="s">
        <v>799</v>
      </c>
      <c r="C70" t="s">
        <v>799</v>
      </c>
      <c r="D70" s="4">
        <v>45980</v>
      </c>
      <c r="E70">
        <v>75421</v>
      </c>
      <c r="F70" t="s">
        <v>800</v>
      </c>
      <c r="G70" t="s">
        <v>238</v>
      </c>
      <c r="H70" t="s">
        <v>62</v>
      </c>
      <c r="I70" t="s">
        <v>238</v>
      </c>
      <c r="J70" t="s">
        <v>238</v>
      </c>
      <c r="K70" t="s">
        <v>801</v>
      </c>
      <c r="L70" t="s">
        <v>44</v>
      </c>
      <c r="M70" t="s">
        <v>238</v>
      </c>
      <c r="N70">
        <v>61100</v>
      </c>
      <c r="O70" t="s">
        <v>45</v>
      </c>
      <c r="P70" t="s">
        <v>54</v>
      </c>
      <c r="Q70" t="s">
        <v>85</v>
      </c>
      <c r="R70">
        <v>0</v>
      </c>
      <c r="S70">
        <v>0</v>
      </c>
      <c r="T70">
        <v>0</v>
      </c>
      <c r="U70">
        <v>0</v>
      </c>
      <c r="V70" t="s">
        <v>802</v>
      </c>
      <c r="W70" t="s">
        <v>803</v>
      </c>
      <c r="X70" t="s">
        <v>86</v>
      </c>
      <c r="Y70" t="s">
        <v>804</v>
      </c>
      <c r="Z70" t="b">
        <v>0</v>
      </c>
      <c r="AA70" t="s">
        <v>58</v>
      </c>
      <c r="AN70" t="e">
        <f>100*(1-E70/AL70)</f>
        <v>#DIV/0!</v>
      </c>
    </row>
    <row r="71" spans="1:40" x14ac:dyDescent="0.3">
      <c r="A71" t="s">
        <v>59</v>
      </c>
      <c r="B71" t="s">
        <v>3454</v>
      </c>
      <c r="C71" t="s">
        <v>3454</v>
      </c>
      <c r="D71" s="4">
        <v>45980</v>
      </c>
      <c r="E71">
        <v>51509</v>
      </c>
      <c r="F71" t="s">
        <v>346</v>
      </c>
      <c r="G71" t="s">
        <v>229</v>
      </c>
      <c r="H71" t="s">
        <v>230</v>
      </c>
      <c r="I71" t="s">
        <v>231</v>
      </c>
      <c r="J71" t="s">
        <v>231</v>
      </c>
      <c r="K71" t="s">
        <v>3455</v>
      </c>
      <c r="L71" t="s">
        <v>44</v>
      </c>
      <c r="M71" t="s">
        <v>3456</v>
      </c>
      <c r="N71">
        <v>65302</v>
      </c>
      <c r="O71" t="s">
        <v>45</v>
      </c>
      <c r="P71" t="s">
        <v>54</v>
      </c>
      <c r="Q71" t="s">
        <v>52</v>
      </c>
      <c r="R71">
        <v>1954</v>
      </c>
      <c r="S71">
        <v>75.760000000000005</v>
      </c>
      <c r="T71">
        <v>0</v>
      </c>
      <c r="U71">
        <v>0</v>
      </c>
      <c r="V71" t="s">
        <v>3457</v>
      </c>
      <c r="W71">
        <v>71443809</v>
      </c>
      <c r="X71" t="s">
        <v>49</v>
      </c>
      <c r="Y71" t="s">
        <v>3458</v>
      </c>
      <c r="Z71" t="b">
        <v>0</v>
      </c>
      <c r="AA71">
        <v>679.89704329461449</v>
      </c>
      <c r="AN71" t="e">
        <f>100*(1-E71/AL71)</f>
        <v>#DIV/0!</v>
      </c>
    </row>
    <row r="72" spans="1:40" x14ac:dyDescent="0.3">
      <c r="A72" t="s">
        <v>59</v>
      </c>
      <c r="B72" t="s">
        <v>3465</v>
      </c>
      <c r="C72" t="s">
        <v>3465</v>
      </c>
      <c r="D72" s="4">
        <v>45980</v>
      </c>
      <c r="E72">
        <v>75500</v>
      </c>
      <c r="F72" t="s">
        <v>1034</v>
      </c>
      <c r="G72" t="s">
        <v>450</v>
      </c>
      <c r="H72" t="s">
        <v>136</v>
      </c>
      <c r="I72" t="s">
        <v>451</v>
      </c>
      <c r="J72" t="s">
        <v>452</v>
      </c>
      <c r="K72" t="s">
        <v>3466</v>
      </c>
      <c r="L72" t="s">
        <v>44</v>
      </c>
      <c r="M72" t="s">
        <v>3467</v>
      </c>
      <c r="N72">
        <v>37300</v>
      </c>
      <c r="O72" t="s">
        <v>45</v>
      </c>
      <c r="P72" t="s">
        <v>81</v>
      </c>
      <c r="Q72" t="s">
        <v>52</v>
      </c>
      <c r="R72">
        <v>1955</v>
      </c>
      <c r="S72">
        <v>71.23</v>
      </c>
      <c r="T72">
        <v>0</v>
      </c>
      <c r="U72">
        <v>0</v>
      </c>
      <c r="V72" t="s">
        <v>3468</v>
      </c>
      <c r="W72">
        <v>101045786</v>
      </c>
      <c r="X72" t="s">
        <v>86</v>
      </c>
      <c r="Y72" t="s">
        <v>3469</v>
      </c>
      <c r="Z72" t="b">
        <v>0</v>
      </c>
      <c r="AA72">
        <v>1059.946651691703</v>
      </c>
      <c r="AN72" t="e">
        <f>100*(1-E72/AL72)</f>
        <v>#DIV/0!</v>
      </c>
    </row>
    <row r="73" spans="1:40" x14ac:dyDescent="0.3">
      <c r="A73" t="s">
        <v>39</v>
      </c>
      <c r="B73" t="s">
        <v>3531</v>
      </c>
      <c r="C73" t="s">
        <v>3531</v>
      </c>
      <c r="D73" s="4">
        <v>45980</v>
      </c>
      <c r="E73">
        <v>221000</v>
      </c>
      <c r="F73" t="s">
        <v>3527</v>
      </c>
      <c r="G73" t="s">
        <v>104</v>
      </c>
      <c r="H73" t="s">
        <v>94</v>
      </c>
      <c r="I73" t="s">
        <v>105</v>
      </c>
      <c r="J73" t="s">
        <v>105</v>
      </c>
      <c r="K73" t="s">
        <v>3532</v>
      </c>
      <c r="L73" t="s">
        <v>44</v>
      </c>
      <c r="M73" t="s">
        <v>3533</v>
      </c>
      <c r="N73">
        <v>73133</v>
      </c>
      <c r="O73" t="s">
        <v>45</v>
      </c>
      <c r="P73" t="s">
        <v>81</v>
      </c>
      <c r="Q73" t="s">
        <v>55</v>
      </c>
      <c r="R73">
        <v>1960</v>
      </c>
      <c r="S73">
        <v>152.62</v>
      </c>
      <c r="T73">
        <v>0</v>
      </c>
      <c r="U73">
        <v>0</v>
      </c>
      <c r="V73" t="s">
        <v>3534</v>
      </c>
      <c r="W73">
        <v>54424601</v>
      </c>
      <c r="X73" t="s">
        <v>49</v>
      </c>
      <c r="Y73" t="s">
        <v>3535</v>
      </c>
      <c r="Z73" t="b">
        <v>0</v>
      </c>
      <c r="AA73">
        <v>1448.0408858603071</v>
      </c>
      <c r="AN73" t="e">
        <f>100*(1-E73/AL73)</f>
        <v>#DIV/0!</v>
      </c>
    </row>
    <row r="74" spans="1:40" x14ac:dyDescent="0.3">
      <c r="A74" t="s">
        <v>71</v>
      </c>
      <c r="B74" t="s">
        <v>3674</v>
      </c>
      <c r="C74" t="s">
        <v>3674</v>
      </c>
      <c r="D74" s="4">
        <v>45980</v>
      </c>
      <c r="E74">
        <v>79000</v>
      </c>
      <c r="F74" t="s">
        <v>3675</v>
      </c>
      <c r="G74" t="s">
        <v>229</v>
      </c>
      <c r="H74" t="s">
        <v>230</v>
      </c>
      <c r="I74" t="s">
        <v>231</v>
      </c>
      <c r="J74" t="s">
        <v>231</v>
      </c>
      <c r="K74" t="s">
        <v>3676</v>
      </c>
      <c r="L74" t="s">
        <v>44</v>
      </c>
      <c r="M74" t="s">
        <v>3677</v>
      </c>
      <c r="N74">
        <v>65403</v>
      </c>
      <c r="O74" t="s">
        <v>50</v>
      </c>
      <c r="P74" t="s">
        <v>51</v>
      </c>
      <c r="Q74" t="s">
        <v>52</v>
      </c>
      <c r="R74">
        <v>1967</v>
      </c>
      <c r="S74">
        <v>37</v>
      </c>
      <c r="T74">
        <v>0</v>
      </c>
      <c r="U74">
        <v>0</v>
      </c>
      <c r="V74" t="s">
        <v>3678</v>
      </c>
      <c r="W74">
        <v>58911050</v>
      </c>
      <c r="X74" t="s">
        <v>49</v>
      </c>
      <c r="Y74" t="s">
        <v>3679</v>
      </c>
      <c r="Z74" t="b">
        <v>0</v>
      </c>
      <c r="AA74">
        <v>2135.135135135135</v>
      </c>
      <c r="AN74" t="e">
        <f>100*(1-E74/AL74)</f>
        <v>#DIV/0!</v>
      </c>
    </row>
    <row r="75" spans="1:40" x14ac:dyDescent="0.3">
      <c r="A75" t="s">
        <v>59</v>
      </c>
      <c r="B75" t="s">
        <v>3720</v>
      </c>
      <c r="C75" t="s">
        <v>3720</v>
      </c>
      <c r="D75" s="4">
        <v>45980</v>
      </c>
      <c r="E75">
        <v>38800</v>
      </c>
      <c r="F75" t="s">
        <v>3721</v>
      </c>
      <c r="G75" t="s">
        <v>381</v>
      </c>
      <c r="H75" t="s">
        <v>124</v>
      </c>
      <c r="I75" t="s">
        <v>334</v>
      </c>
      <c r="J75" t="s">
        <v>126</v>
      </c>
      <c r="K75" t="s">
        <v>3722</v>
      </c>
      <c r="L75" t="s">
        <v>44</v>
      </c>
      <c r="M75" t="s">
        <v>3723</v>
      </c>
      <c r="N75">
        <v>25100</v>
      </c>
      <c r="O75" t="s">
        <v>45</v>
      </c>
      <c r="P75" t="s">
        <v>81</v>
      </c>
      <c r="Q75" t="s">
        <v>52</v>
      </c>
      <c r="R75">
        <v>1969</v>
      </c>
      <c r="S75">
        <v>113.4</v>
      </c>
      <c r="T75">
        <v>0</v>
      </c>
      <c r="U75">
        <v>0</v>
      </c>
      <c r="V75" t="s">
        <v>3724</v>
      </c>
      <c r="W75">
        <v>125814760</v>
      </c>
      <c r="X75" t="s">
        <v>49</v>
      </c>
      <c r="Y75">
        <v>60131519002</v>
      </c>
      <c r="Z75" t="b">
        <v>0</v>
      </c>
      <c r="AA75">
        <v>342.15167548500881</v>
      </c>
      <c r="AN75" t="e">
        <f>100*(1-E75/AL75)</f>
        <v>#DIV/0!</v>
      </c>
    </row>
    <row r="76" spans="1:40" x14ac:dyDescent="0.3">
      <c r="A76" t="s">
        <v>71</v>
      </c>
      <c r="B76" t="s">
        <v>3744</v>
      </c>
      <c r="C76" t="s">
        <v>3744</v>
      </c>
      <c r="D76" s="4">
        <v>45980</v>
      </c>
      <c r="E76">
        <v>81400</v>
      </c>
      <c r="F76" t="s">
        <v>3745</v>
      </c>
      <c r="G76" t="s">
        <v>450</v>
      </c>
      <c r="H76" t="s">
        <v>136</v>
      </c>
      <c r="I76" t="s">
        <v>451</v>
      </c>
      <c r="J76" t="s">
        <v>452</v>
      </c>
      <c r="K76" t="s">
        <v>3746</v>
      </c>
      <c r="L76" t="s">
        <v>44</v>
      </c>
      <c r="M76" t="s">
        <v>3747</v>
      </c>
      <c r="N76">
        <v>38221</v>
      </c>
      <c r="O76" t="s">
        <v>45</v>
      </c>
      <c r="P76" t="s">
        <v>81</v>
      </c>
      <c r="Q76" t="s">
        <v>52</v>
      </c>
      <c r="R76">
        <v>1970</v>
      </c>
      <c r="S76">
        <v>79.069999999999993</v>
      </c>
      <c r="T76">
        <v>0</v>
      </c>
      <c r="U76">
        <v>0</v>
      </c>
      <c r="V76" t="s">
        <v>3748</v>
      </c>
      <c r="W76" t="s">
        <v>3749</v>
      </c>
      <c r="X76" t="s">
        <v>86</v>
      </c>
      <c r="Y76" t="s">
        <v>3750</v>
      </c>
      <c r="Z76" t="b">
        <v>0</v>
      </c>
      <c r="AA76">
        <v>1029.467560389528</v>
      </c>
      <c r="AN76" t="e">
        <f>100*(1-E76/AL76)</f>
        <v>#DIV/0!</v>
      </c>
    </row>
    <row r="77" spans="1:40" x14ac:dyDescent="0.3">
      <c r="A77" t="s">
        <v>71</v>
      </c>
      <c r="B77" t="s">
        <v>3751</v>
      </c>
      <c r="C77" t="s">
        <v>3751</v>
      </c>
      <c r="D77" s="4">
        <v>45980</v>
      </c>
      <c r="E77">
        <v>155300</v>
      </c>
      <c r="F77" t="s">
        <v>3752</v>
      </c>
      <c r="G77" t="s">
        <v>227</v>
      </c>
      <c r="H77" t="s">
        <v>62</v>
      </c>
      <c r="I77" t="s">
        <v>228</v>
      </c>
      <c r="J77" t="s">
        <v>79</v>
      </c>
      <c r="K77" t="s">
        <v>3753</v>
      </c>
      <c r="L77" t="s">
        <v>44</v>
      </c>
      <c r="M77" t="s">
        <v>3754</v>
      </c>
      <c r="N77">
        <v>60100</v>
      </c>
      <c r="O77" t="s">
        <v>45</v>
      </c>
      <c r="P77" t="s">
        <v>81</v>
      </c>
      <c r="Q77" t="s">
        <v>55</v>
      </c>
      <c r="R77">
        <v>1970</v>
      </c>
      <c r="S77">
        <v>192.75</v>
      </c>
      <c r="T77">
        <v>0</v>
      </c>
      <c r="U77">
        <v>0</v>
      </c>
      <c r="V77" t="s">
        <v>3755</v>
      </c>
      <c r="W77">
        <v>27357130</v>
      </c>
      <c r="X77" t="s">
        <v>49</v>
      </c>
      <c r="Y77" t="s">
        <v>3756</v>
      </c>
      <c r="Z77" t="b">
        <v>0</v>
      </c>
      <c r="AA77">
        <v>805.7068741893645</v>
      </c>
      <c r="AN77" t="e">
        <f>100*(1-E77/AL77)</f>
        <v>#DIV/0!</v>
      </c>
    </row>
    <row r="78" spans="1:40" x14ac:dyDescent="0.3">
      <c r="A78" t="s">
        <v>166</v>
      </c>
      <c r="B78" t="s">
        <v>3757</v>
      </c>
      <c r="C78" t="s">
        <v>3757</v>
      </c>
      <c r="D78" s="4">
        <v>45980</v>
      </c>
      <c r="E78">
        <v>39000</v>
      </c>
      <c r="F78" t="s">
        <v>3758</v>
      </c>
      <c r="G78" t="s">
        <v>775</v>
      </c>
      <c r="H78" t="s">
        <v>62</v>
      </c>
      <c r="I78" t="s">
        <v>238</v>
      </c>
      <c r="J78" t="s">
        <v>238</v>
      </c>
      <c r="K78" t="s">
        <v>3759</v>
      </c>
      <c r="L78" t="s">
        <v>44</v>
      </c>
      <c r="M78" t="s">
        <v>3760</v>
      </c>
      <c r="N78">
        <v>61100</v>
      </c>
      <c r="O78" t="s">
        <v>45</v>
      </c>
      <c r="P78" t="s">
        <v>81</v>
      </c>
      <c r="Q78" t="s">
        <v>52</v>
      </c>
      <c r="R78">
        <v>1970</v>
      </c>
      <c r="S78">
        <v>70</v>
      </c>
      <c r="T78">
        <v>0</v>
      </c>
      <c r="U78">
        <v>0</v>
      </c>
      <c r="V78" t="s">
        <v>3761</v>
      </c>
      <c r="W78">
        <v>63079097</v>
      </c>
      <c r="X78" t="s">
        <v>49</v>
      </c>
      <c r="Y78" t="s">
        <v>3762</v>
      </c>
      <c r="Z78" t="b">
        <v>0</v>
      </c>
      <c r="AA78">
        <v>557.14285714285711</v>
      </c>
      <c r="AN78" t="e">
        <f>100*(1-E78/AL78)</f>
        <v>#DIV/0!</v>
      </c>
    </row>
    <row r="79" spans="1:40" x14ac:dyDescent="0.3">
      <c r="A79" t="s">
        <v>39</v>
      </c>
      <c r="B79" t="s">
        <v>3917</v>
      </c>
      <c r="C79" t="s">
        <v>3917</v>
      </c>
      <c r="D79" s="4">
        <v>45980</v>
      </c>
      <c r="E79">
        <v>317000</v>
      </c>
      <c r="F79" t="s">
        <v>3918</v>
      </c>
      <c r="G79" t="s">
        <v>3919</v>
      </c>
      <c r="H79" t="s">
        <v>94</v>
      </c>
      <c r="I79" t="s">
        <v>105</v>
      </c>
      <c r="J79" t="s">
        <v>105</v>
      </c>
      <c r="K79" t="s">
        <v>3920</v>
      </c>
      <c r="L79" t="s">
        <v>44</v>
      </c>
      <c r="M79" t="s">
        <v>3921</v>
      </c>
      <c r="N79">
        <v>73131</v>
      </c>
      <c r="O79" t="s">
        <v>331</v>
      </c>
      <c r="P79" t="s">
        <v>331</v>
      </c>
      <c r="Q79" t="s">
        <v>85</v>
      </c>
      <c r="R79">
        <v>1972</v>
      </c>
      <c r="S79">
        <v>353</v>
      </c>
      <c r="T79">
        <v>0</v>
      </c>
      <c r="U79">
        <v>0</v>
      </c>
      <c r="V79" t="s">
        <v>3922</v>
      </c>
      <c r="W79">
        <v>25557052</v>
      </c>
      <c r="X79" t="s">
        <v>49</v>
      </c>
      <c r="Y79">
        <v>0</v>
      </c>
      <c r="Z79" t="b">
        <v>0</v>
      </c>
      <c r="AA79">
        <v>898.01699716713881</v>
      </c>
      <c r="AN79" t="e">
        <f>100*(1-E79/AL79)</f>
        <v>#DIV/0!</v>
      </c>
    </row>
    <row r="80" spans="1:40" x14ac:dyDescent="0.3">
      <c r="A80" t="s">
        <v>59</v>
      </c>
      <c r="B80" t="s">
        <v>4003</v>
      </c>
      <c r="C80" t="s">
        <v>4003</v>
      </c>
      <c r="D80" s="4">
        <v>45980</v>
      </c>
      <c r="E80">
        <v>90500</v>
      </c>
      <c r="F80" t="s">
        <v>4004</v>
      </c>
      <c r="G80" t="s">
        <v>677</v>
      </c>
      <c r="H80" t="s">
        <v>41</v>
      </c>
      <c r="I80" t="s">
        <v>678</v>
      </c>
      <c r="J80" t="s">
        <v>679</v>
      </c>
      <c r="K80" t="s">
        <v>4005</v>
      </c>
      <c r="L80" t="s">
        <v>44</v>
      </c>
      <c r="M80" t="s">
        <v>4006</v>
      </c>
      <c r="N80">
        <v>46200</v>
      </c>
      <c r="O80" t="s">
        <v>45</v>
      </c>
      <c r="P80" t="s">
        <v>182</v>
      </c>
      <c r="Q80" t="s">
        <v>55</v>
      </c>
      <c r="R80">
        <v>1974</v>
      </c>
      <c r="S80">
        <v>400</v>
      </c>
      <c r="T80" t="s">
        <v>48</v>
      </c>
      <c r="U80" t="s">
        <v>4007</v>
      </c>
      <c r="V80" t="s">
        <v>4008</v>
      </c>
      <c r="W80">
        <v>45871869</v>
      </c>
      <c r="X80" t="s">
        <v>49</v>
      </c>
      <c r="Y80">
        <v>0</v>
      </c>
      <c r="Z80" t="b">
        <v>0</v>
      </c>
      <c r="AA80">
        <v>226.25</v>
      </c>
      <c r="AN80" t="e">
        <f>100*(1-E80/AL80)</f>
        <v>#DIV/0!</v>
      </c>
    </row>
    <row r="81" spans="1:40" x14ac:dyDescent="0.3">
      <c r="A81" t="s">
        <v>150</v>
      </c>
      <c r="B81" t="s">
        <v>4036</v>
      </c>
      <c r="C81" t="s">
        <v>4036</v>
      </c>
      <c r="D81" s="4">
        <v>45980</v>
      </c>
      <c r="E81">
        <v>57000</v>
      </c>
      <c r="F81" t="s">
        <v>193</v>
      </c>
      <c r="G81" t="s">
        <v>368</v>
      </c>
      <c r="H81" t="s">
        <v>62</v>
      </c>
      <c r="I81" t="s">
        <v>369</v>
      </c>
      <c r="J81" t="s">
        <v>88</v>
      </c>
      <c r="K81" t="s">
        <v>4037</v>
      </c>
      <c r="L81" t="s">
        <v>44</v>
      </c>
      <c r="M81" t="s">
        <v>4038</v>
      </c>
      <c r="N81">
        <v>58200</v>
      </c>
      <c r="O81" t="s">
        <v>45</v>
      </c>
      <c r="P81" t="s">
        <v>54</v>
      </c>
      <c r="Q81" t="s">
        <v>85</v>
      </c>
      <c r="R81">
        <v>1975</v>
      </c>
      <c r="S81">
        <v>94</v>
      </c>
      <c r="T81">
        <v>0</v>
      </c>
      <c r="U81">
        <v>0</v>
      </c>
      <c r="V81" t="s">
        <v>4039</v>
      </c>
      <c r="W81">
        <v>4656599</v>
      </c>
      <c r="X81" t="s">
        <v>49</v>
      </c>
      <c r="Y81" t="s">
        <v>4040</v>
      </c>
      <c r="Z81" t="b">
        <v>0</v>
      </c>
      <c r="AA81">
        <v>606.38297872340422</v>
      </c>
      <c r="AN81" t="e">
        <f>100*(1-E81/AL81)</f>
        <v>#DIV/0!</v>
      </c>
    </row>
    <row r="82" spans="1:40" x14ac:dyDescent="0.3">
      <c r="A82" t="s">
        <v>71</v>
      </c>
      <c r="B82" t="s">
        <v>4041</v>
      </c>
      <c r="C82" t="s">
        <v>4041</v>
      </c>
      <c r="D82" s="4">
        <v>45980</v>
      </c>
      <c r="E82">
        <v>59000</v>
      </c>
      <c r="F82" t="s">
        <v>367</v>
      </c>
      <c r="G82" t="s">
        <v>404</v>
      </c>
      <c r="H82" t="s">
        <v>124</v>
      </c>
      <c r="I82" t="s">
        <v>405</v>
      </c>
      <c r="J82" t="s">
        <v>126</v>
      </c>
      <c r="K82" t="s">
        <v>4042</v>
      </c>
      <c r="L82" t="s">
        <v>44</v>
      </c>
      <c r="M82" t="s">
        <v>4043</v>
      </c>
      <c r="N82">
        <v>26221</v>
      </c>
      <c r="O82" t="s">
        <v>45</v>
      </c>
      <c r="P82" t="s">
        <v>54</v>
      </c>
      <c r="Q82" t="s">
        <v>1321</v>
      </c>
      <c r="R82">
        <v>1975</v>
      </c>
      <c r="S82">
        <v>49.18</v>
      </c>
      <c r="T82">
        <v>0</v>
      </c>
      <c r="U82">
        <v>0</v>
      </c>
      <c r="V82" t="s">
        <v>4044</v>
      </c>
      <c r="W82">
        <v>154995197</v>
      </c>
      <c r="X82" t="s">
        <v>49</v>
      </c>
      <c r="Y82" t="s">
        <v>4045</v>
      </c>
      <c r="Z82" t="b">
        <v>0</v>
      </c>
      <c r="AA82">
        <v>1199.6746644977629</v>
      </c>
      <c r="AN82" t="e">
        <f>100*(1-E82/AL82)</f>
        <v>#DIV/0!</v>
      </c>
    </row>
    <row r="83" spans="1:40" x14ac:dyDescent="0.3">
      <c r="A83" t="s">
        <v>215</v>
      </c>
      <c r="B83" t="s">
        <v>4185</v>
      </c>
      <c r="C83" t="s">
        <v>4185</v>
      </c>
      <c r="D83" s="4">
        <v>45980</v>
      </c>
      <c r="E83">
        <v>131000</v>
      </c>
      <c r="F83" t="s">
        <v>283</v>
      </c>
      <c r="G83" t="s">
        <v>1874</v>
      </c>
      <c r="H83" t="s">
        <v>111</v>
      </c>
      <c r="I83" t="s">
        <v>185</v>
      </c>
      <c r="J83" t="s">
        <v>175</v>
      </c>
      <c r="K83" t="s">
        <v>4186</v>
      </c>
      <c r="L83" t="s">
        <v>44</v>
      </c>
      <c r="M83" t="s">
        <v>4187</v>
      </c>
      <c r="N83">
        <v>34012</v>
      </c>
      <c r="O83" t="s">
        <v>45</v>
      </c>
      <c r="P83" t="s">
        <v>81</v>
      </c>
      <c r="Q83" t="s">
        <v>52</v>
      </c>
      <c r="R83">
        <v>1977</v>
      </c>
      <c r="S83">
        <v>100</v>
      </c>
      <c r="T83">
        <v>0</v>
      </c>
      <c r="U83">
        <v>0</v>
      </c>
      <c r="V83" t="s">
        <v>4188</v>
      </c>
      <c r="W83" t="s">
        <v>4189</v>
      </c>
      <c r="X83" t="s">
        <v>86</v>
      </c>
      <c r="Y83" t="s">
        <v>4190</v>
      </c>
      <c r="Z83" t="b">
        <v>0</v>
      </c>
      <c r="AA83">
        <v>1310</v>
      </c>
      <c r="AN83" t="e">
        <f>100*(1-E83/AL83)</f>
        <v>#DIV/0!</v>
      </c>
    </row>
    <row r="84" spans="1:40" x14ac:dyDescent="0.3">
      <c r="A84" t="s">
        <v>71</v>
      </c>
      <c r="B84" t="s">
        <v>4191</v>
      </c>
      <c r="C84" t="s">
        <v>4192</v>
      </c>
      <c r="D84" s="4">
        <v>45980</v>
      </c>
      <c r="E84">
        <v>52000</v>
      </c>
      <c r="F84" t="s">
        <v>3529</v>
      </c>
      <c r="G84" t="s">
        <v>4193</v>
      </c>
      <c r="H84" t="s">
        <v>124</v>
      </c>
      <c r="I84" t="s">
        <v>405</v>
      </c>
      <c r="J84" t="s">
        <v>126</v>
      </c>
      <c r="K84" t="s">
        <v>4194</v>
      </c>
      <c r="L84" t="s">
        <v>44</v>
      </c>
      <c r="M84" t="s">
        <v>4195</v>
      </c>
      <c r="N84">
        <v>26504</v>
      </c>
      <c r="O84" t="s">
        <v>45</v>
      </c>
      <c r="P84" t="s">
        <v>54</v>
      </c>
      <c r="Q84" t="s">
        <v>55</v>
      </c>
      <c r="R84">
        <v>1977</v>
      </c>
      <c r="S84">
        <v>48.04</v>
      </c>
      <c r="T84">
        <v>0</v>
      </c>
      <c r="U84">
        <v>0</v>
      </c>
      <c r="V84" t="s">
        <v>4196</v>
      </c>
      <c r="W84">
        <v>32056315</v>
      </c>
      <c r="X84" t="s">
        <v>69</v>
      </c>
      <c r="Y84" t="s">
        <v>4197</v>
      </c>
      <c r="Z84" t="b">
        <v>0</v>
      </c>
      <c r="AA84">
        <v>1082.4313072439629</v>
      </c>
      <c r="AN84" t="e">
        <f>100*(1-E84/AL84)</f>
        <v>#DIV/0!</v>
      </c>
    </row>
    <row r="85" spans="1:40" x14ac:dyDescent="0.3">
      <c r="A85" t="s">
        <v>71</v>
      </c>
      <c r="B85" t="s">
        <v>4198</v>
      </c>
      <c r="C85" t="s">
        <v>4192</v>
      </c>
      <c r="D85" s="4">
        <v>45980</v>
      </c>
      <c r="E85">
        <v>76000</v>
      </c>
      <c r="F85" t="s">
        <v>483</v>
      </c>
      <c r="G85" t="s">
        <v>4193</v>
      </c>
      <c r="H85" t="s">
        <v>124</v>
      </c>
      <c r="I85" t="s">
        <v>405</v>
      </c>
      <c r="J85" t="s">
        <v>126</v>
      </c>
      <c r="K85" t="s">
        <v>4199</v>
      </c>
      <c r="L85" t="s">
        <v>44</v>
      </c>
      <c r="M85" t="s">
        <v>4195</v>
      </c>
      <c r="N85">
        <v>26504</v>
      </c>
      <c r="O85" t="s">
        <v>45</v>
      </c>
      <c r="P85" t="s">
        <v>54</v>
      </c>
      <c r="Q85" t="s">
        <v>1018</v>
      </c>
      <c r="R85">
        <v>1977</v>
      </c>
      <c r="S85">
        <v>79.13</v>
      </c>
      <c r="T85">
        <v>0</v>
      </c>
      <c r="U85">
        <v>0</v>
      </c>
      <c r="V85" t="s">
        <v>4196</v>
      </c>
      <c r="W85">
        <v>32056315</v>
      </c>
      <c r="X85" t="s">
        <v>69</v>
      </c>
      <c r="Y85" t="s">
        <v>4200</v>
      </c>
      <c r="Z85" t="b">
        <v>0</v>
      </c>
      <c r="AA85">
        <v>960.44483760899789</v>
      </c>
      <c r="AN85" t="e">
        <f>100*(1-E85/AL85)</f>
        <v>#DIV/0!</v>
      </c>
    </row>
    <row r="86" spans="1:40" x14ac:dyDescent="0.3">
      <c r="A86" t="s">
        <v>139</v>
      </c>
      <c r="B86" t="s">
        <v>4544</v>
      </c>
      <c r="C86" t="s">
        <v>4544</v>
      </c>
      <c r="D86" s="4">
        <v>45980</v>
      </c>
      <c r="E86">
        <v>50000</v>
      </c>
      <c r="F86" t="s">
        <v>270</v>
      </c>
      <c r="G86" t="s">
        <v>3703</v>
      </c>
      <c r="H86" t="s">
        <v>136</v>
      </c>
      <c r="I86" t="s">
        <v>3704</v>
      </c>
      <c r="J86" t="s">
        <v>361</v>
      </c>
      <c r="K86" t="s">
        <v>4545</v>
      </c>
      <c r="L86" t="s">
        <v>44</v>
      </c>
      <c r="M86" t="s">
        <v>239</v>
      </c>
      <c r="N86">
        <v>43061</v>
      </c>
      <c r="O86" t="s">
        <v>45</v>
      </c>
      <c r="P86" t="s">
        <v>54</v>
      </c>
      <c r="Q86" t="s">
        <v>55</v>
      </c>
      <c r="R86">
        <v>1981</v>
      </c>
      <c r="S86">
        <v>109.84</v>
      </c>
      <c r="T86">
        <v>0</v>
      </c>
      <c r="U86">
        <v>0</v>
      </c>
      <c r="V86" t="s">
        <v>4546</v>
      </c>
      <c r="W86">
        <v>44234742</v>
      </c>
      <c r="X86" t="s">
        <v>86</v>
      </c>
      <c r="Y86" t="s">
        <v>4547</v>
      </c>
      <c r="Z86" t="b">
        <v>0</v>
      </c>
      <c r="AA86">
        <v>455.20757465404222</v>
      </c>
      <c r="AN86" t="e">
        <f>100*(1-E86/AL86)</f>
        <v>#DIV/0!</v>
      </c>
    </row>
    <row r="87" spans="1:40" x14ac:dyDescent="0.3">
      <c r="A87" t="s">
        <v>59</v>
      </c>
      <c r="B87" t="s">
        <v>4548</v>
      </c>
      <c r="C87" t="s">
        <v>4548</v>
      </c>
      <c r="D87" s="4">
        <v>45980</v>
      </c>
      <c r="E87">
        <v>66000</v>
      </c>
      <c r="F87" t="s">
        <v>4549</v>
      </c>
      <c r="G87" t="s">
        <v>359</v>
      </c>
      <c r="H87" t="s">
        <v>136</v>
      </c>
      <c r="I87" t="s">
        <v>360</v>
      </c>
      <c r="J87" t="s">
        <v>361</v>
      </c>
      <c r="K87" t="s">
        <v>4550</v>
      </c>
      <c r="L87" t="s">
        <v>44</v>
      </c>
      <c r="M87" t="s">
        <v>4551</v>
      </c>
      <c r="N87">
        <v>43300</v>
      </c>
      <c r="O87" t="s">
        <v>45</v>
      </c>
      <c r="P87" t="s">
        <v>81</v>
      </c>
      <c r="Q87" t="s">
        <v>52</v>
      </c>
      <c r="R87">
        <v>1981</v>
      </c>
      <c r="S87">
        <v>112.86</v>
      </c>
      <c r="T87">
        <v>0</v>
      </c>
      <c r="U87">
        <v>0</v>
      </c>
      <c r="V87" t="s">
        <v>4552</v>
      </c>
      <c r="W87">
        <v>41734024</v>
      </c>
      <c r="X87" t="s">
        <v>86</v>
      </c>
      <c r="Y87" t="s">
        <v>4553</v>
      </c>
      <c r="Z87" t="b">
        <v>0</v>
      </c>
      <c r="AA87">
        <v>584.79532163742692</v>
      </c>
      <c r="AN87" t="e">
        <f>100*(1-E87/AL87)</f>
        <v>#DIV/0!</v>
      </c>
    </row>
    <row r="88" spans="1:40" x14ac:dyDescent="0.3">
      <c r="A88" t="s">
        <v>59</v>
      </c>
      <c r="B88" t="s">
        <v>4651</v>
      </c>
      <c r="C88" t="s">
        <v>4651</v>
      </c>
      <c r="D88" s="4">
        <v>45980</v>
      </c>
      <c r="E88">
        <v>233340</v>
      </c>
      <c r="F88" t="s">
        <v>4652</v>
      </c>
      <c r="G88" t="s">
        <v>4653</v>
      </c>
      <c r="H88" t="s">
        <v>152</v>
      </c>
      <c r="I88" t="s">
        <v>277</v>
      </c>
      <c r="J88" t="s">
        <v>221</v>
      </c>
      <c r="K88" t="s">
        <v>4654</v>
      </c>
      <c r="L88" t="s">
        <v>44</v>
      </c>
      <c r="M88" t="s">
        <v>4655</v>
      </c>
      <c r="N88">
        <v>20008</v>
      </c>
      <c r="O88" t="s">
        <v>45</v>
      </c>
      <c r="P88" t="s">
        <v>81</v>
      </c>
      <c r="Q88" t="s">
        <v>52</v>
      </c>
      <c r="R88">
        <v>1983</v>
      </c>
      <c r="S88">
        <v>150</v>
      </c>
      <c r="T88">
        <v>0</v>
      </c>
      <c r="U88">
        <v>0</v>
      </c>
      <c r="V88" t="s">
        <v>4656</v>
      </c>
      <c r="W88">
        <v>46071680</v>
      </c>
      <c r="X88" t="s">
        <v>49</v>
      </c>
      <c r="Y88" t="s">
        <v>4657</v>
      </c>
      <c r="Z88" t="b">
        <v>0</v>
      </c>
      <c r="AA88">
        <v>1555.6</v>
      </c>
      <c r="AN88" t="e">
        <f>100*(1-E88/AL88)</f>
        <v>#DIV/0!</v>
      </c>
    </row>
    <row r="89" spans="1:40" x14ac:dyDescent="0.3">
      <c r="A89" t="s">
        <v>59</v>
      </c>
      <c r="B89" t="s">
        <v>4658</v>
      </c>
      <c r="C89" t="s">
        <v>4658</v>
      </c>
      <c r="D89" s="4">
        <v>45980</v>
      </c>
      <c r="E89">
        <v>121600</v>
      </c>
      <c r="F89" t="s">
        <v>60</v>
      </c>
      <c r="G89" t="s">
        <v>1301</v>
      </c>
      <c r="H89" t="s">
        <v>67</v>
      </c>
      <c r="I89" t="s">
        <v>1302</v>
      </c>
      <c r="J89" t="s">
        <v>67</v>
      </c>
      <c r="K89" t="s">
        <v>4659</v>
      </c>
      <c r="L89" t="s">
        <v>44</v>
      </c>
      <c r="M89" t="s">
        <v>4660</v>
      </c>
      <c r="N89">
        <v>11147</v>
      </c>
      <c r="O89" t="s">
        <v>45</v>
      </c>
      <c r="P89" t="s">
        <v>54</v>
      </c>
      <c r="Q89" t="s">
        <v>85</v>
      </c>
      <c r="R89">
        <v>1983</v>
      </c>
      <c r="S89">
        <v>73.3</v>
      </c>
      <c r="T89">
        <v>0</v>
      </c>
      <c r="U89">
        <v>0</v>
      </c>
      <c r="V89" t="s">
        <v>4661</v>
      </c>
      <c r="W89">
        <v>26496090</v>
      </c>
      <c r="X89" t="s">
        <v>49</v>
      </c>
      <c r="Y89" t="s">
        <v>4662</v>
      </c>
      <c r="Z89" t="b">
        <v>0</v>
      </c>
      <c r="AA89">
        <v>1658.9358799454301</v>
      </c>
      <c r="AN89" t="e">
        <f>100*(1-E89/AL89)</f>
        <v>#DIV/0!</v>
      </c>
    </row>
    <row r="90" spans="1:40" x14ac:dyDescent="0.3">
      <c r="A90" t="s">
        <v>183</v>
      </c>
      <c r="B90" t="s">
        <v>4743</v>
      </c>
      <c r="C90" t="s">
        <v>4744</v>
      </c>
      <c r="D90" s="4">
        <v>45980</v>
      </c>
      <c r="E90">
        <v>76000</v>
      </c>
      <c r="F90" t="s">
        <v>4606</v>
      </c>
      <c r="G90" t="s">
        <v>456</v>
      </c>
      <c r="H90" t="s">
        <v>62</v>
      </c>
      <c r="I90" t="s">
        <v>457</v>
      </c>
      <c r="J90" t="s">
        <v>63</v>
      </c>
      <c r="K90" t="s">
        <v>4745</v>
      </c>
      <c r="L90" t="s">
        <v>44</v>
      </c>
      <c r="M90" t="s">
        <v>4193</v>
      </c>
      <c r="N90">
        <v>57200</v>
      </c>
      <c r="O90" t="s">
        <v>45</v>
      </c>
      <c r="P90" t="s">
        <v>54</v>
      </c>
      <c r="Q90" t="s">
        <v>52</v>
      </c>
      <c r="R90">
        <v>1985</v>
      </c>
      <c r="S90">
        <v>120.5</v>
      </c>
      <c r="T90">
        <v>0</v>
      </c>
      <c r="U90">
        <v>0</v>
      </c>
      <c r="V90" t="s">
        <v>4746</v>
      </c>
      <c r="W90">
        <v>37566076</v>
      </c>
      <c r="X90" t="s">
        <v>49</v>
      </c>
      <c r="Y90" t="s">
        <v>4747</v>
      </c>
      <c r="Z90" t="b">
        <v>0</v>
      </c>
      <c r="AA90">
        <v>630.7053941908714</v>
      </c>
      <c r="AN90" t="e">
        <f>100*(1-E90/AL90)</f>
        <v>#DIV/0!</v>
      </c>
    </row>
    <row r="91" spans="1:40" x14ac:dyDescent="0.3">
      <c r="A91" t="s">
        <v>183</v>
      </c>
      <c r="B91" t="s">
        <v>4748</v>
      </c>
      <c r="C91" t="s">
        <v>4744</v>
      </c>
      <c r="D91" s="4">
        <v>45980</v>
      </c>
      <c r="E91">
        <v>19000</v>
      </c>
      <c r="F91" t="s">
        <v>4749</v>
      </c>
      <c r="G91" t="s">
        <v>456</v>
      </c>
      <c r="H91" t="s">
        <v>62</v>
      </c>
      <c r="I91" t="s">
        <v>457</v>
      </c>
      <c r="J91" t="s">
        <v>63</v>
      </c>
      <c r="K91" t="s">
        <v>4745</v>
      </c>
      <c r="L91" t="s">
        <v>44</v>
      </c>
      <c r="M91" t="s">
        <v>4193</v>
      </c>
      <c r="N91">
        <v>57200</v>
      </c>
      <c r="O91" t="s">
        <v>45</v>
      </c>
      <c r="P91" t="s">
        <v>46</v>
      </c>
      <c r="Q91" t="s">
        <v>47</v>
      </c>
      <c r="R91">
        <v>1985</v>
      </c>
      <c r="S91">
        <v>120.5</v>
      </c>
      <c r="T91">
        <v>0</v>
      </c>
      <c r="U91">
        <v>0</v>
      </c>
      <c r="V91" t="s">
        <v>4746</v>
      </c>
      <c r="W91">
        <v>37566076</v>
      </c>
      <c r="X91" t="s">
        <v>49</v>
      </c>
      <c r="Y91" t="s">
        <v>4750</v>
      </c>
      <c r="Z91" t="b">
        <v>0</v>
      </c>
      <c r="AA91">
        <v>157.67634854771791</v>
      </c>
      <c r="AN91" t="e">
        <f>100*(1-E91/AL91)</f>
        <v>#DIV/0!</v>
      </c>
    </row>
    <row r="92" spans="1:40" x14ac:dyDescent="0.3">
      <c r="A92" t="s">
        <v>278</v>
      </c>
      <c r="B92" t="s">
        <v>4751</v>
      </c>
      <c r="C92" t="s">
        <v>4751</v>
      </c>
      <c r="D92" s="4">
        <v>45980</v>
      </c>
      <c r="E92">
        <v>41800</v>
      </c>
      <c r="F92" t="s">
        <v>4184</v>
      </c>
      <c r="G92" t="s">
        <v>419</v>
      </c>
      <c r="H92" t="s">
        <v>152</v>
      </c>
      <c r="I92" t="s">
        <v>153</v>
      </c>
      <c r="J92" t="s">
        <v>154</v>
      </c>
      <c r="K92" t="s">
        <v>4752</v>
      </c>
      <c r="L92" t="s">
        <v>44</v>
      </c>
      <c r="M92" t="s">
        <v>4753</v>
      </c>
      <c r="N92">
        <v>24100</v>
      </c>
      <c r="O92" t="s">
        <v>45</v>
      </c>
      <c r="P92" t="s">
        <v>54</v>
      </c>
      <c r="Q92" t="s">
        <v>52</v>
      </c>
      <c r="R92">
        <v>1985</v>
      </c>
      <c r="S92">
        <v>36</v>
      </c>
      <c r="T92">
        <v>0</v>
      </c>
      <c r="U92">
        <v>0</v>
      </c>
      <c r="V92" t="s">
        <v>4754</v>
      </c>
      <c r="W92">
        <v>50196750</v>
      </c>
      <c r="X92" t="s">
        <v>49</v>
      </c>
      <c r="Y92" t="s">
        <v>4755</v>
      </c>
      <c r="Z92" t="b">
        <v>0</v>
      </c>
      <c r="AA92">
        <v>1161.1111111111111</v>
      </c>
      <c r="AN92" t="e">
        <f>100*(1-E92/AL92)</f>
        <v>#DIV/0!</v>
      </c>
    </row>
    <row r="93" spans="1:40" x14ac:dyDescent="0.3">
      <c r="A93" t="s">
        <v>59</v>
      </c>
      <c r="B93" t="s">
        <v>4756</v>
      </c>
      <c r="C93" t="s">
        <v>4756</v>
      </c>
      <c r="D93" s="4">
        <v>45980</v>
      </c>
      <c r="E93">
        <v>70000</v>
      </c>
      <c r="F93" t="s">
        <v>4757</v>
      </c>
      <c r="G93" t="s">
        <v>669</v>
      </c>
      <c r="H93" t="s">
        <v>152</v>
      </c>
      <c r="I93" t="s">
        <v>670</v>
      </c>
      <c r="J93" t="s">
        <v>221</v>
      </c>
      <c r="K93" t="s">
        <v>4758</v>
      </c>
      <c r="L93" t="s">
        <v>44</v>
      </c>
      <c r="M93" t="s">
        <v>4759</v>
      </c>
      <c r="N93">
        <v>20300</v>
      </c>
      <c r="O93" t="s">
        <v>45</v>
      </c>
      <c r="P93" t="s">
        <v>54</v>
      </c>
      <c r="Q93" t="s">
        <v>55</v>
      </c>
      <c r="R93">
        <v>1985</v>
      </c>
      <c r="S93">
        <v>66.06</v>
      </c>
      <c r="T93">
        <v>0</v>
      </c>
      <c r="U93">
        <v>0</v>
      </c>
      <c r="V93" t="s">
        <v>4760</v>
      </c>
      <c r="W93">
        <v>116554436</v>
      </c>
      <c r="X93" t="s">
        <v>49</v>
      </c>
      <c r="Y93" t="s">
        <v>4761</v>
      </c>
      <c r="Z93" t="b">
        <v>0</v>
      </c>
      <c r="AA93">
        <v>1059.6427490160461</v>
      </c>
      <c r="AN93" t="e">
        <f>100*(1-E93/AL93)</f>
        <v>#DIV/0!</v>
      </c>
    </row>
    <row r="94" spans="1:40" x14ac:dyDescent="0.3">
      <c r="A94" t="s">
        <v>139</v>
      </c>
      <c r="B94" t="s">
        <v>4838</v>
      </c>
      <c r="C94" t="s">
        <v>4838</v>
      </c>
      <c r="D94" s="4">
        <v>45980</v>
      </c>
      <c r="E94">
        <v>143600</v>
      </c>
      <c r="F94" t="s">
        <v>424</v>
      </c>
      <c r="G94" t="s">
        <v>2026</v>
      </c>
      <c r="H94" t="s">
        <v>94</v>
      </c>
      <c r="I94" t="s">
        <v>2027</v>
      </c>
      <c r="J94" t="s">
        <v>96</v>
      </c>
      <c r="K94" t="s">
        <v>4839</v>
      </c>
      <c r="L94" t="s">
        <v>44</v>
      </c>
      <c r="M94" t="s">
        <v>4840</v>
      </c>
      <c r="N94">
        <v>71306</v>
      </c>
      <c r="O94" t="s">
        <v>45</v>
      </c>
      <c r="P94" t="s">
        <v>54</v>
      </c>
      <c r="Q94" t="s">
        <v>55</v>
      </c>
      <c r="R94">
        <v>1986</v>
      </c>
      <c r="S94">
        <v>88.38</v>
      </c>
      <c r="T94">
        <v>0</v>
      </c>
      <c r="U94">
        <v>0</v>
      </c>
      <c r="V94" t="s">
        <v>4841</v>
      </c>
      <c r="W94">
        <v>38065060</v>
      </c>
      <c r="X94" t="s">
        <v>49</v>
      </c>
      <c r="Y94" t="s">
        <v>4842</v>
      </c>
      <c r="Z94" t="b">
        <v>0</v>
      </c>
      <c r="AA94">
        <v>1624.80199140077</v>
      </c>
      <c r="AN94" t="e">
        <f>100*(1-E94/AL94)</f>
        <v>#DIV/0!</v>
      </c>
    </row>
    <row r="95" spans="1:40" x14ac:dyDescent="0.3">
      <c r="A95" t="s">
        <v>59</v>
      </c>
      <c r="B95" t="s">
        <v>4892</v>
      </c>
      <c r="C95" t="s">
        <v>4892</v>
      </c>
      <c r="D95" s="4">
        <v>45980</v>
      </c>
      <c r="E95">
        <v>238000</v>
      </c>
      <c r="F95" t="s">
        <v>4893</v>
      </c>
      <c r="G95" t="s">
        <v>4894</v>
      </c>
      <c r="H95" t="s">
        <v>67</v>
      </c>
      <c r="I95" t="s">
        <v>386</v>
      </c>
      <c r="J95" t="s">
        <v>67</v>
      </c>
      <c r="K95" t="s">
        <v>4895</v>
      </c>
      <c r="L95" t="s">
        <v>44</v>
      </c>
      <c r="M95" t="s">
        <v>4896</v>
      </c>
      <c r="N95">
        <v>16673</v>
      </c>
      <c r="O95" t="s">
        <v>45</v>
      </c>
      <c r="P95" t="s">
        <v>54</v>
      </c>
      <c r="Q95" t="s">
        <v>100</v>
      </c>
      <c r="R95">
        <v>1988</v>
      </c>
      <c r="S95">
        <v>91.5</v>
      </c>
      <c r="T95">
        <v>0</v>
      </c>
      <c r="U95">
        <v>0</v>
      </c>
      <c r="V95" t="s">
        <v>4897</v>
      </c>
      <c r="W95">
        <v>79384640</v>
      </c>
      <c r="X95" t="s">
        <v>49</v>
      </c>
      <c r="Y95" t="s">
        <v>4898</v>
      </c>
      <c r="Z95" t="b">
        <v>0</v>
      </c>
      <c r="AA95">
        <v>2601.0928961748632</v>
      </c>
      <c r="AN95" t="e">
        <f>100*(1-E95/AL95)</f>
        <v>#DIV/0!</v>
      </c>
    </row>
    <row r="96" spans="1:40" x14ac:dyDescent="0.3">
      <c r="A96" t="s">
        <v>183</v>
      </c>
      <c r="B96" t="s">
        <v>4944</v>
      </c>
      <c r="C96" t="s">
        <v>667</v>
      </c>
      <c r="D96" s="4">
        <v>45980</v>
      </c>
      <c r="E96">
        <v>372000</v>
      </c>
      <c r="F96" t="s">
        <v>4945</v>
      </c>
      <c r="G96" t="s">
        <v>669</v>
      </c>
      <c r="H96" t="s">
        <v>152</v>
      </c>
      <c r="I96" t="s">
        <v>670</v>
      </c>
      <c r="J96" t="s">
        <v>221</v>
      </c>
      <c r="K96" t="s">
        <v>4946</v>
      </c>
      <c r="L96" t="s">
        <v>44</v>
      </c>
      <c r="M96" t="s">
        <v>4947</v>
      </c>
      <c r="N96">
        <v>20300</v>
      </c>
      <c r="O96" t="s">
        <v>50</v>
      </c>
      <c r="P96" t="s">
        <v>186</v>
      </c>
      <c r="Q96">
        <v>0</v>
      </c>
      <c r="R96">
        <v>1989</v>
      </c>
      <c r="S96">
        <v>1275.1600000000001</v>
      </c>
      <c r="T96">
        <v>0</v>
      </c>
      <c r="U96">
        <v>0</v>
      </c>
      <c r="V96" t="s">
        <v>673</v>
      </c>
      <c r="W96">
        <v>18435790</v>
      </c>
      <c r="X96" t="s">
        <v>49</v>
      </c>
      <c r="Y96" t="s">
        <v>4948</v>
      </c>
      <c r="Z96" t="b">
        <v>0</v>
      </c>
      <c r="AA96">
        <v>291.72809686627562</v>
      </c>
      <c r="AN96" t="e">
        <f>100*(1-E96/AL96)</f>
        <v>#DIV/0!</v>
      </c>
    </row>
    <row r="97" spans="1:40" x14ac:dyDescent="0.3">
      <c r="A97" t="s">
        <v>139</v>
      </c>
      <c r="B97" t="s">
        <v>4981</v>
      </c>
      <c r="C97" t="s">
        <v>4981</v>
      </c>
      <c r="D97" s="4">
        <v>45980</v>
      </c>
      <c r="E97">
        <v>362000</v>
      </c>
      <c r="F97" t="s">
        <v>4982</v>
      </c>
      <c r="G97" t="s">
        <v>4979</v>
      </c>
      <c r="H97" t="s">
        <v>196</v>
      </c>
      <c r="I97" t="s">
        <v>4980</v>
      </c>
      <c r="J97" t="s">
        <v>198</v>
      </c>
      <c r="K97" t="s">
        <v>4983</v>
      </c>
      <c r="L97" t="s">
        <v>80</v>
      </c>
      <c r="M97" t="s">
        <v>4984</v>
      </c>
      <c r="N97">
        <v>84200</v>
      </c>
      <c r="O97" t="s">
        <v>45</v>
      </c>
      <c r="P97" t="s">
        <v>182</v>
      </c>
      <c r="Q97" t="s">
        <v>55</v>
      </c>
      <c r="R97">
        <v>1990</v>
      </c>
      <c r="S97">
        <v>217.92</v>
      </c>
      <c r="T97">
        <v>0</v>
      </c>
      <c r="U97">
        <v>0</v>
      </c>
      <c r="V97" t="s">
        <v>4985</v>
      </c>
      <c r="W97">
        <v>42499828</v>
      </c>
      <c r="X97" t="s">
        <v>86</v>
      </c>
      <c r="Y97">
        <v>0</v>
      </c>
      <c r="Z97" t="b">
        <v>0</v>
      </c>
      <c r="AA97">
        <v>1661.1600587371511</v>
      </c>
      <c r="AN97" t="e">
        <f>100*(1-E97/AL97)</f>
        <v>#DIV/0!</v>
      </c>
    </row>
    <row r="98" spans="1:40" x14ac:dyDescent="0.3">
      <c r="A98" t="s">
        <v>59</v>
      </c>
      <c r="B98" t="s">
        <v>4986</v>
      </c>
      <c r="C98" t="s">
        <v>4986</v>
      </c>
      <c r="D98" s="4">
        <v>45980</v>
      </c>
      <c r="E98">
        <v>145000</v>
      </c>
      <c r="F98" t="s">
        <v>4987</v>
      </c>
      <c r="G98" t="s">
        <v>471</v>
      </c>
      <c r="H98" t="s">
        <v>136</v>
      </c>
      <c r="I98" t="s">
        <v>472</v>
      </c>
      <c r="J98" t="s">
        <v>138</v>
      </c>
      <c r="K98" t="s">
        <v>4988</v>
      </c>
      <c r="L98" t="s">
        <v>44</v>
      </c>
      <c r="M98" t="s">
        <v>4989</v>
      </c>
      <c r="N98">
        <v>42100</v>
      </c>
      <c r="O98" t="s">
        <v>45</v>
      </c>
      <c r="P98" t="s">
        <v>81</v>
      </c>
      <c r="Q98" t="s">
        <v>55</v>
      </c>
      <c r="R98">
        <v>1990</v>
      </c>
      <c r="S98">
        <v>223.23</v>
      </c>
      <c r="T98">
        <v>0</v>
      </c>
      <c r="U98">
        <v>0</v>
      </c>
      <c r="V98" t="s">
        <v>4990</v>
      </c>
      <c r="W98">
        <v>130087963</v>
      </c>
      <c r="X98" t="s">
        <v>49</v>
      </c>
      <c r="Y98" t="s">
        <v>4991</v>
      </c>
      <c r="Z98" t="b">
        <v>0</v>
      </c>
      <c r="AA98">
        <v>649.55427137929496</v>
      </c>
      <c r="AN98" t="e">
        <f>100*(1-E98/AL98)</f>
        <v>#DIV/0!</v>
      </c>
    </row>
    <row r="99" spans="1:40" x14ac:dyDescent="0.3">
      <c r="A99" t="s">
        <v>183</v>
      </c>
      <c r="B99" t="s">
        <v>4992</v>
      </c>
      <c r="C99" t="s">
        <v>4993</v>
      </c>
      <c r="D99" s="4">
        <v>45980</v>
      </c>
      <c r="E99">
        <v>421000</v>
      </c>
      <c r="F99" t="s">
        <v>4994</v>
      </c>
      <c r="G99" t="s">
        <v>4995</v>
      </c>
      <c r="H99" t="s">
        <v>94</v>
      </c>
      <c r="I99" t="s">
        <v>105</v>
      </c>
      <c r="J99" t="s">
        <v>105</v>
      </c>
      <c r="K99" t="s">
        <v>4996</v>
      </c>
      <c r="L99" t="s">
        <v>44</v>
      </c>
      <c r="M99" t="s">
        <v>4997</v>
      </c>
      <c r="N99">
        <v>73100</v>
      </c>
      <c r="O99" t="s">
        <v>45</v>
      </c>
      <c r="P99" t="s">
        <v>182</v>
      </c>
      <c r="Q99" t="s">
        <v>55</v>
      </c>
      <c r="R99">
        <v>1990</v>
      </c>
      <c r="S99">
        <v>418.82</v>
      </c>
      <c r="T99">
        <v>0</v>
      </c>
      <c r="U99">
        <v>0</v>
      </c>
      <c r="V99" t="s">
        <v>708</v>
      </c>
      <c r="W99">
        <v>42410236</v>
      </c>
      <c r="X99" t="s">
        <v>49</v>
      </c>
      <c r="Y99" t="s">
        <v>4998</v>
      </c>
      <c r="Z99" t="b">
        <v>0</v>
      </c>
      <c r="AA99">
        <v>1005.205100042978</v>
      </c>
      <c r="AN99" t="e">
        <f>100*(1-E99/AL99)</f>
        <v>#DIV/0!</v>
      </c>
    </row>
    <row r="100" spans="1:40" x14ac:dyDescent="0.3">
      <c r="A100" t="s">
        <v>278</v>
      </c>
      <c r="B100" t="s">
        <v>4999</v>
      </c>
      <c r="C100" t="s">
        <v>4999</v>
      </c>
      <c r="D100" s="4">
        <v>45980</v>
      </c>
      <c r="E100">
        <v>538000</v>
      </c>
      <c r="F100" t="s">
        <v>5000</v>
      </c>
      <c r="G100" t="s">
        <v>2724</v>
      </c>
      <c r="H100" t="s">
        <v>94</v>
      </c>
      <c r="I100" t="s">
        <v>448</v>
      </c>
      <c r="J100" t="s">
        <v>449</v>
      </c>
      <c r="K100" t="s">
        <v>5001</v>
      </c>
      <c r="L100" t="s">
        <v>44</v>
      </c>
      <c r="M100" t="s">
        <v>5002</v>
      </c>
      <c r="N100">
        <v>74057</v>
      </c>
      <c r="O100" t="s">
        <v>50</v>
      </c>
      <c r="P100" t="s">
        <v>2521</v>
      </c>
      <c r="Q100" t="s">
        <v>55</v>
      </c>
      <c r="R100">
        <v>1990</v>
      </c>
      <c r="S100">
        <v>600</v>
      </c>
      <c r="T100">
        <v>0</v>
      </c>
      <c r="U100">
        <v>0</v>
      </c>
      <c r="V100" t="s">
        <v>5003</v>
      </c>
      <c r="W100" t="s">
        <v>5004</v>
      </c>
      <c r="X100" t="s">
        <v>49</v>
      </c>
      <c r="Y100">
        <v>0</v>
      </c>
      <c r="Z100" t="b">
        <v>0</v>
      </c>
      <c r="AA100">
        <v>896.66666666666663</v>
      </c>
      <c r="AN100" t="e">
        <f>100*(1-E100/AL100)</f>
        <v>#DIV/0!</v>
      </c>
    </row>
    <row r="101" spans="1:40" x14ac:dyDescent="0.3">
      <c r="A101" t="s">
        <v>59</v>
      </c>
      <c r="B101" t="s">
        <v>5115</v>
      </c>
      <c r="C101" t="s">
        <v>5115</v>
      </c>
      <c r="D101" s="4">
        <v>45980</v>
      </c>
      <c r="E101">
        <v>65000</v>
      </c>
      <c r="F101" t="s">
        <v>5116</v>
      </c>
      <c r="G101" t="s">
        <v>227</v>
      </c>
      <c r="H101" t="s">
        <v>62</v>
      </c>
      <c r="I101" t="s">
        <v>228</v>
      </c>
      <c r="J101" t="s">
        <v>79</v>
      </c>
      <c r="K101" t="s">
        <v>5117</v>
      </c>
      <c r="L101" t="s">
        <v>44</v>
      </c>
      <c r="M101" t="s">
        <v>5118</v>
      </c>
      <c r="N101">
        <v>60100</v>
      </c>
      <c r="O101" t="s">
        <v>45</v>
      </c>
      <c r="P101" t="s">
        <v>54</v>
      </c>
      <c r="Q101" t="s">
        <v>55</v>
      </c>
      <c r="R101">
        <v>1991</v>
      </c>
      <c r="S101">
        <v>167.64</v>
      </c>
      <c r="T101">
        <v>0</v>
      </c>
      <c r="U101">
        <v>0</v>
      </c>
      <c r="V101" t="s">
        <v>5119</v>
      </c>
      <c r="W101">
        <v>115356004</v>
      </c>
      <c r="X101" t="s">
        <v>49</v>
      </c>
      <c r="Y101" t="s">
        <v>5120</v>
      </c>
      <c r="Z101" t="b">
        <v>0</v>
      </c>
      <c r="AA101">
        <v>387.73562395609639</v>
      </c>
      <c r="AN101" t="e">
        <f>100*(1-E101/AL101)</f>
        <v>#DIV/0!</v>
      </c>
    </row>
    <row r="102" spans="1:40" x14ac:dyDescent="0.3">
      <c r="A102" t="s">
        <v>59</v>
      </c>
      <c r="B102" t="s">
        <v>5121</v>
      </c>
      <c r="C102" t="s">
        <v>5122</v>
      </c>
      <c r="D102" s="4">
        <v>45980</v>
      </c>
      <c r="E102">
        <v>43000</v>
      </c>
      <c r="F102" t="s">
        <v>5123</v>
      </c>
      <c r="G102" t="s">
        <v>353</v>
      </c>
      <c r="H102" t="s">
        <v>62</v>
      </c>
      <c r="I102" t="s">
        <v>354</v>
      </c>
      <c r="J102" t="s">
        <v>88</v>
      </c>
      <c r="K102" t="s">
        <v>5124</v>
      </c>
      <c r="L102" t="s">
        <v>44</v>
      </c>
      <c r="M102" t="s">
        <v>5125</v>
      </c>
      <c r="N102">
        <v>58400</v>
      </c>
      <c r="O102" t="s">
        <v>45</v>
      </c>
      <c r="P102" t="s">
        <v>54</v>
      </c>
      <c r="Q102" t="s">
        <v>55</v>
      </c>
      <c r="R102">
        <v>1991</v>
      </c>
      <c r="S102">
        <v>74.02</v>
      </c>
      <c r="T102">
        <v>0</v>
      </c>
      <c r="U102">
        <v>0</v>
      </c>
      <c r="V102" t="s">
        <v>5126</v>
      </c>
      <c r="W102">
        <v>21722060</v>
      </c>
      <c r="X102" t="s">
        <v>49</v>
      </c>
      <c r="Y102" t="s">
        <v>5127</v>
      </c>
      <c r="Z102" t="b">
        <v>0</v>
      </c>
      <c r="AA102">
        <v>580.92407457443937</v>
      </c>
      <c r="AN102" t="e">
        <f>100*(1-E102/AL102)</f>
        <v>#DIV/0!</v>
      </c>
    </row>
    <row r="103" spans="1:40" x14ac:dyDescent="0.3">
      <c r="A103" t="s">
        <v>59</v>
      </c>
      <c r="B103" t="s">
        <v>5128</v>
      </c>
      <c r="C103" t="s">
        <v>5122</v>
      </c>
      <c r="D103" s="4">
        <v>45980</v>
      </c>
      <c r="E103">
        <v>34000</v>
      </c>
      <c r="F103" t="s">
        <v>5129</v>
      </c>
      <c r="G103" t="s">
        <v>353</v>
      </c>
      <c r="H103" t="s">
        <v>62</v>
      </c>
      <c r="I103" t="s">
        <v>354</v>
      </c>
      <c r="J103" t="s">
        <v>88</v>
      </c>
      <c r="K103" t="s">
        <v>5124</v>
      </c>
      <c r="L103" t="s">
        <v>44</v>
      </c>
      <c r="M103" t="s">
        <v>5125</v>
      </c>
      <c r="N103">
        <v>58400</v>
      </c>
      <c r="O103" t="s">
        <v>45</v>
      </c>
      <c r="P103" t="s">
        <v>54</v>
      </c>
      <c r="Q103" t="s">
        <v>55</v>
      </c>
      <c r="R103">
        <v>1991</v>
      </c>
      <c r="S103">
        <v>61.12</v>
      </c>
      <c r="T103">
        <v>0</v>
      </c>
      <c r="U103">
        <v>0</v>
      </c>
      <c r="V103" t="s">
        <v>5126</v>
      </c>
      <c r="W103">
        <v>21722060</v>
      </c>
      <c r="X103" t="s">
        <v>49</v>
      </c>
      <c r="Y103" t="s">
        <v>5130</v>
      </c>
      <c r="Z103" t="b">
        <v>0</v>
      </c>
      <c r="AA103">
        <v>556.28272251308908</v>
      </c>
      <c r="AN103" t="e">
        <f>100*(1-E103/AL103)</f>
        <v>#DIV/0!</v>
      </c>
    </row>
    <row r="104" spans="1:40" x14ac:dyDescent="0.3">
      <c r="A104" t="s">
        <v>59</v>
      </c>
      <c r="B104" t="s">
        <v>5131</v>
      </c>
      <c r="C104" t="s">
        <v>5122</v>
      </c>
      <c r="D104" s="4">
        <v>45980</v>
      </c>
      <c r="E104">
        <v>63000</v>
      </c>
      <c r="F104" t="s">
        <v>5132</v>
      </c>
      <c r="G104" t="s">
        <v>353</v>
      </c>
      <c r="H104" t="s">
        <v>62</v>
      </c>
      <c r="I104" t="s">
        <v>354</v>
      </c>
      <c r="J104" t="s">
        <v>88</v>
      </c>
      <c r="K104" t="s">
        <v>5124</v>
      </c>
      <c r="L104" t="s">
        <v>44</v>
      </c>
      <c r="M104" t="s">
        <v>5125</v>
      </c>
      <c r="N104">
        <v>58400</v>
      </c>
      <c r="O104" t="s">
        <v>45</v>
      </c>
      <c r="P104" t="s">
        <v>54</v>
      </c>
      <c r="Q104" t="s">
        <v>100</v>
      </c>
      <c r="R104">
        <v>1991</v>
      </c>
      <c r="S104">
        <v>101.95</v>
      </c>
      <c r="T104">
        <v>0</v>
      </c>
      <c r="U104">
        <v>0</v>
      </c>
      <c r="V104" t="s">
        <v>5126</v>
      </c>
      <c r="W104">
        <v>21722060</v>
      </c>
      <c r="X104" t="s">
        <v>49</v>
      </c>
      <c r="Y104" t="s">
        <v>5133</v>
      </c>
      <c r="Z104" t="b">
        <v>0</v>
      </c>
      <c r="AA104">
        <v>617.94997547817559</v>
      </c>
      <c r="AN104" t="e">
        <f>100*(1-E104/AL104)</f>
        <v>#DIV/0!</v>
      </c>
    </row>
    <row r="105" spans="1:40" x14ac:dyDescent="0.3">
      <c r="A105" t="s">
        <v>59</v>
      </c>
      <c r="B105" t="s">
        <v>5134</v>
      </c>
      <c r="C105" t="s">
        <v>5122</v>
      </c>
      <c r="D105" s="4">
        <v>45980</v>
      </c>
      <c r="E105">
        <v>46000</v>
      </c>
      <c r="F105" t="s">
        <v>5135</v>
      </c>
      <c r="G105" t="s">
        <v>353</v>
      </c>
      <c r="H105" t="s">
        <v>62</v>
      </c>
      <c r="I105" t="s">
        <v>354</v>
      </c>
      <c r="J105" t="s">
        <v>88</v>
      </c>
      <c r="K105" t="s">
        <v>5124</v>
      </c>
      <c r="L105" t="s">
        <v>44</v>
      </c>
      <c r="M105" t="s">
        <v>5125</v>
      </c>
      <c r="N105">
        <v>58400</v>
      </c>
      <c r="O105" t="s">
        <v>45</v>
      </c>
      <c r="P105" t="s">
        <v>54</v>
      </c>
      <c r="Q105" t="s">
        <v>100</v>
      </c>
      <c r="R105">
        <v>1991</v>
      </c>
      <c r="S105">
        <v>75</v>
      </c>
      <c r="T105">
        <v>0</v>
      </c>
      <c r="U105">
        <v>0</v>
      </c>
      <c r="V105" t="s">
        <v>5126</v>
      </c>
      <c r="W105">
        <v>21722060</v>
      </c>
      <c r="X105" t="s">
        <v>49</v>
      </c>
      <c r="Y105" t="s">
        <v>5136</v>
      </c>
      <c r="Z105" t="b">
        <v>0</v>
      </c>
      <c r="AA105">
        <v>613.33333333333337</v>
      </c>
      <c r="AN105" t="e">
        <f>100*(1-E105/AL105)</f>
        <v>#DIV/0!</v>
      </c>
    </row>
    <row r="106" spans="1:40" x14ac:dyDescent="0.3">
      <c r="A106" t="s">
        <v>59</v>
      </c>
      <c r="B106" t="s">
        <v>5137</v>
      </c>
      <c r="C106" t="s">
        <v>5122</v>
      </c>
      <c r="D106" s="4">
        <v>45980</v>
      </c>
      <c r="E106">
        <v>36000</v>
      </c>
      <c r="F106" t="s">
        <v>5138</v>
      </c>
      <c r="G106" t="s">
        <v>353</v>
      </c>
      <c r="H106" t="s">
        <v>62</v>
      </c>
      <c r="I106" t="s">
        <v>354</v>
      </c>
      <c r="J106" t="s">
        <v>88</v>
      </c>
      <c r="K106" t="s">
        <v>5139</v>
      </c>
      <c r="L106" t="s">
        <v>44</v>
      </c>
      <c r="M106" t="s">
        <v>5125</v>
      </c>
      <c r="N106">
        <v>58400</v>
      </c>
      <c r="O106" t="s">
        <v>50</v>
      </c>
      <c r="P106" t="s">
        <v>51</v>
      </c>
      <c r="Q106" t="s">
        <v>52</v>
      </c>
      <c r="R106">
        <v>1991</v>
      </c>
      <c r="S106">
        <v>73.3</v>
      </c>
      <c r="T106">
        <v>0</v>
      </c>
      <c r="U106">
        <v>0</v>
      </c>
      <c r="V106" t="s">
        <v>5126</v>
      </c>
      <c r="W106">
        <v>21722060</v>
      </c>
      <c r="X106" t="s">
        <v>49</v>
      </c>
      <c r="Y106" t="s">
        <v>5140</v>
      </c>
      <c r="Z106" t="b">
        <v>0</v>
      </c>
      <c r="AA106">
        <v>491.13233287858122</v>
      </c>
      <c r="AN106" t="e">
        <f>100*(1-E106/AL106)</f>
        <v>#DIV/0!</v>
      </c>
    </row>
    <row r="107" spans="1:40" x14ac:dyDescent="0.3">
      <c r="A107" t="s">
        <v>59</v>
      </c>
      <c r="B107" t="s">
        <v>5141</v>
      </c>
      <c r="C107" t="s">
        <v>5122</v>
      </c>
      <c r="D107" s="4">
        <v>45980</v>
      </c>
      <c r="E107">
        <v>35000</v>
      </c>
      <c r="F107" t="s">
        <v>5129</v>
      </c>
      <c r="G107" t="s">
        <v>353</v>
      </c>
      <c r="H107" t="s">
        <v>62</v>
      </c>
      <c r="I107" t="s">
        <v>354</v>
      </c>
      <c r="J107" t="s">
        <v>88</v>
      </c>
      <c r="K107" t="s">
        <v>5139</v>
      </c>
      <c r="L107" t="s">
        <v>44</v>
      </c>
      <c r="M107" t="s">
        <v>5125</v>
      </c>
      <c r="N107">
        <v>58400</v>
      </c>
      <c r="O107" t="s">
        <v>45</v>
      </c>
      <c r="P107" t="s">
        <v>54</v>
      </c>
      <c r="Q107" t="s">
        <v>100</v>
      </c>
      <c r="R107">
        <v>1991</v>
      </c>
      <c r="S107">
        <v>61.12</v>
      </c>
      <c r="T107">
        <v>0</v>
      </c>
      <c r="U107">
        <v>0</v>
      </c>
      <c r="V107" t="s">
        <v>5126</v>
      </c>
      <c r="W107">
        <v>21722060</v>
      </c>
      <c r="X107" t="s">
        <v>49</v>
      </c>
      <c r="Y107" t="s">
        <v>5142</v>
      </c>
      <c r="Z107" t="b">
        <v>0</v>
      </c>
      <c r="AA107">
        <v>572.64397905759165</v>
      </c>
      <c r="AN107" t="e">
        <f>100*(1-E107/AL107)</f>
        <v>#DIV/0!</v>
      </c>
    </row>
    <row r="108" spans="1:40" x14ac:dyDescent="0.3">
      <c r="A108" t="s">
        <v>59</v>
      </c>
      <c r="B108" t="s">
        <v>5143</v>
      </c>
      <c r="C108" t="s">
        <v>5122</v>
      </c>
      <c r="D108" s="4">
        <v>45980</v>
      </c>
      <c r="E108">
        <v>44000</v>
      </c>
      <c r="F108" t="s">
        <v>5135</v>
      </c>
      <c r="G108" t="s">
        <v>353</v>
      </c>
      <c r="H108" t="s">
        <v>62</v>
      </c>
      <c r="I108" t="s">
        <v>354</v>
      </c>
      <c r="J108" t="s">
        <v>88</v>
      </c>
      <c r="K108" t="s">
        <v>5124</v>
      </c>
      <c r="L108" t="s">
        <v>44</v>
      </c>
      <c r="M108" t="s">
        <v>5125</v>
      </c>
      <c r="N108">
        <v>58400</v>
      </c>
      <c r="O108" t="s">
        <v>45</v>
      </c>
      <c r="P108" t="s">
        <v>54</v>
      </c>
      <c r="Q108" t="s">
        <v>55</v>
      </c>
      <c r="R108">
        <v>1991</v>
      </c>
      <c r="S108">
        <v>75</v>
      </c>
      <c r="T108">
        <v>0</v>
      </c>
      <c r="U108">
        <v>0</v>
      </c>
      <c r="V108" t="s">
        <v>5126</v>
      </c>
      <c r="W108">
        <v>21722060</v>
      </c>
      <c r="X108" t="s">
        <v>49</v>
      </c>
      <c r="Y108" t="s">
        <v>5144</v>
      </c>
      <c r="Z108" t="b">
        <v>0</v>
      </c>
      <c r="AA108">
        <v>586.66666666666663</v>
      </c>
      <c r="AN108" t="e">
        <f>100*(1-E108/AL108)</f>
        <v>#DIV/0!</v>
      </c>
    </row>
    <row r="109" spans="1:40" x14ac:dyDescent="0.3">
      <c r="A109" t="s">
        <v>59</v>
      </c>
      <c r="B109" t="s">
        <v>5145</v>
      </c>
      <c r="C109" t="s">
        <v>5122</v>
      </c>
      <c r="D109" s="4">
        <v>45980</v>
      </c>
      <c r="E109">
        <v>38000</v>
      </c>
      <c r="F109" t="s">
        <v>5146</v>
      </c>
      <c r="G109" t="s">
        <v>353</v>
      </c>
      <c r="H109" t="s">
        <v>62</v>
      </c>
      <c r="I109" t="s">
        <v>354</v>
      </c>
      <c r="J109" t="s">
        <v>88</v>
      </c>
      <c r="K109" t="s">
        <v>5139</v>
      </c>
      <c r="L109" t="s">
        <v>44</v>
      </c>
      <c r="M109" t="s">
        <v>5125</v>
      </c>
      <c r="N109">
        <v>58400</v>
      </c>
      <c r="O109" t="s">
        <v>50</v>
      </c>
      <c r="P109" t="s">
        <v>51</v>
      </c>
      <c r="Q109" t="s">
        <v>52</v>
      </c>
      <c r="R109">
        <v>1991</v>
      </c>
      <c r="S109">
        <v>72.3</v>
      </c>
      <c r="T109">
        <v>0</v>
      </c>
      <c r="U109">
        <v>0</v>
      </c>
      <c r="V109" t="s">
        <v>5126</v>
      </c>
      <c r="W109">
        <v>21722060</v>
      </c>
      <c r="X109" t="s">
        <v>49</v>
      </c>
      <c r="Y109" t="s">
        <v>5147</v>
      </c>
      <c r="Z109" t="b">
        <v>0</v>
      </c>
      <c r="AA109">
        <v>525.58782849239287</v>
      </c>
      <c r="AN109" t="e">
        <f>100*(1-E109/AL109)</f>
        <v>#DIV/0!</v>
      </c>
    </row>
    <row r="110" spans="1:40" x14ac:dyDescent="0.3">
      <c r="A110" t="s">
        <v>59</v>
      </c>
      <c r="B110" t="s">
        <v>5148</v>
      </c>
      <c r="C110" t="s">
        <v>5122</v>
      </c>
      <c r="D110" s="4">
        <v>45980</v>
      </c>
      <c r="E110">
        <v>46000</v>
      </c>
      <c r="F110" t="s">
        <v>5123</v>
      </c>
      <c r="G110" t="s">
        <v>353</v>
      </c>
      <c r="H110" t="s">
        <v>62</v>
      </c>
      <c r="I110" t="s">
        <v>354</v>
      </c>
      <c r="J110" t="s">
        <v>88</v>
      </c>
      <c r="K110" t="s">
        <v>5124</v>
      </c>
      <c r="L110" t="s">
        <v>44</v>
      </c>
      <c r="M110" t="s">
        <v>5125</v>
      </c>
      <c r="N110">
        <v>58400</v>
      </c>
      <c r="O110" t="s">
        <v>45</v>
      </c>
      <c r="P110" t="s">
        <v>54</v>
      </c>
      <c r="Q110" t="s">
        <v>100</v>
      </c>
      <c r="R110">
        <v>1991</v>
      </c>
      <c r="S110">
        <v>74.02</v>
      </c>
      <c r="T110">
        <v>0</v>
      </c>
      <c r="U110">
        <v>0</v>
      </c>
      <c r="V110" t="s">
        <v>5126</v>
      </c>
      <c r="W110">
        <v>21722060</v>
      </c>
      <c r="X110" t="s">
        <v>49</v>
      </c>
      <c r="Y110" t="s">
        <v>5149</v>
      </c>
      <c r="Z110" t="b">
        <v>0</v>
      </c>
      <c r="AA110">
        <v>621.4536611726561</v>
      </c>
      <c r="AN110" t="e">
        <f>100*(1-E110/AL110)</f>
        <v>#DIV/0!</v>
      </c>
    </row>
    <row r="111" spans="1:40" x14ac:dyDescent="0.3">
      <c r="A111" t="s">
        <v>59</v>
      </c>
      <c r="B111" t="s">
        <v>5150</v>
      </c>
      <c r="C111" t="s">
        <v>5122</v>
      </c>
      <c r="D111" s="4">
        <v>45980</v>
      </c>
      <c r="E111">
        <v>45000</v>
      </c>
      <c r="F111" t="s">
        <v>5151</v>
      </c>
      <c r="G111" t="s">
        <v>353</v>
      </c>
      <c r="H111" t="s">
        <v>62</v>
      </c>
      <c r="I111" t="s">
        <v>354</v>
      </c>
      <c r="J111" t="s">
        <v>88</v>
      </c>
      <c r="K111" t="s">
        <v>5139</v>
      </c>
      <c r="L111" t="s">
        <v>44</v>
      </c>
      <c r="M111" t="s">
        <v>5125</v>
      </c>
      <c r="N111">
        <v>58400</v>
      </c>
      <c r="O111" t="s">
        <v>50</v>
      </c>
      <c r="P111" t="s">
        <v>51</v>
      </c>
      <c r="Q111" t="s">
        <v>52</v>
      </c>
      <c r="R111">
        <v>1991</v>
      </c>
      <c r="S111">
        <v>92.92</v>
      </c>
      <c r="T111">
        <v>0</v>
      </c>
      <c r="U111">
        <v>0</v>
      </c>
      <c r="V111" t="s">
        <v>5126</v>
      </c>
      <c r="W111">
        <v>21722060</v>
      </c>
      <c r="X111" t="s">
        <v>49</v>
      </c>
      <c r="Y111" t="s">
        <v>5152</v>
      </c>
      <c r="Z111" t="b">
        <v>0</v>
      </c>
      <c r="AA111">
        <v>484.28755919070159</v>
      </c>
      <c r="AN111" t="e">
        <f>100*(1-E111/AL111)</f>
        <v>#DIV/0!</v>
      </c>
    </row>
    <row r="112" spans="1:40" x14ac:dyDescent="0.3">
      <c r="A112" t="s">
        <v>183</v>
      </c>
      <c r="B112" t="s">
        <v>5153</v>
      </c>
      <c r="C112" t="s">
        <v>5154</v>
      </c>
      <c r="D112" s="4">
        <v>45980</v>
      </c>
      <c r="E112">
        <v>141000</v>
      </c>
      <c r="F112" t="s">
        <v>5155</v>
      </c>
      <c r="G112" t="s">
        <v>72</v>
      </c>
      <c r="H112" t="s">
        <v>62</v>
      </c>
      <c r="I112" t="s">
        <v>73</v>
      </c>
      <c r="J112" t="s">
        <v>63</v>
      </c>
      <c r="K112" t="s">
        <v>5156</v>
      </c>
      <c r="L112" t="s">
        <v>44</v>
      </c>
      <c r="M112" t="s">
        <v>5157</v>
      </c>
      <c r="N112">
        <v>55236</v>
      </c>
      <c r="O112" t="s">
        <v>45</v>
      </c>
      <c r="P112" t="s">
        <v>182</v>
      </c>
      <c r="Q112" t="s">
        <v>85</v>
      </c>
      <c r="R112">
        <v>1991</v>
      </c>
      <c r="S112">
        <v>719.52</v>
      </c>
      <c r="T112" t="s">
        <v>48</v>
      </c>
      <c r="U112">
        <v>25</v>
      </c>
      <c r="V112" t="s">
        <v>5158</v>
      </c>
      <c r="W112">
        <v>70770257</v>
      </c>
      <c r="X112" t="s">
        <v>49</v>
      </c>
      <c r="Y112" t="s">
        <v>5159</v>
      </c>
      <c r="Z112" t="b">
        <v>0</v>
      </c>
      <c r="AA112">
        <v>195.96397598398929</v>
      </c>
      <c r="AN112" t="e">
        <f>100*(1-E112/AL112)</f>
        <v>#DIV/0!</v>
      </c>
    </row>
    <row r="113" spans="1:40" x14ac:dyDescent="0.3">
      <c r="A113" t="s">
        <v>183</v>
      </c>
      <c r="B113" t="s">
        <v>5160</v>
      </c>
      <c r="C113" t="s">
        <v>5154</v>
      </c>
      <c r="D113" s="4">
        <v>45980</v>
      </c>
      <c r="E113">
        <v>141000</v>
      </c>
      <c r="F113" t="s">
        <v>5155</v>
      </c>
      <c r="G113" t="s">
        <v>72</v>
      </c>
      <c r="H113" t="s">
        <v>62</v>
      </c>
      <c r="I113" t="s">
        <v>73</v>
      </c>
      <c r="J113" t="s">
        <v>63</v>
      </c>
      <c r="K113" t="s">
        <v>5156</v>
      </c>
      <c r="L113" t="s">
        <v>44</v>
      </c>
      <c r="M113" t="s">
        <v>5157</v>
      </c>
      <c r="N113">
        <v>55236</v>
      </c>
      <c r="O113" t="s">
        <v>45</v>
      </c>
      <c r="P113" t="s">
        <v>182</v>
      </c>
      <c r="Q113" t="s">
        <v>85</v>
      </c>
      <c r="R113">
        <v>1991</v>
      </c>
      <c r="S113">
        <v>719.52</v>
      </c>
      <c r="T113" t="s">
        <v>48</v>
      </c>
      <c r="U113">
        <v>25</v>
      </c>
      <c r="V113" t="s">
        <v>5161</v>
      </c>
      <c r="W113">
        <v>70770245</v>
      </c>
      <c r="X113" t="s">
        <v>49</v>
      </c>
      <c r="Y113" t="s">
        <v>5159</v>
      </c>
      <c r="Z113" t="b">
        <v>0</v>
      </c>
      <c r="AA113">
        <v>195.96397598398929</v>
      </c>
      <c r="AN113" t="e">
        <f>100*(1-E113/AL113)</f>
        <v>#DIV/0!</v>
      </c>
    </row>
    <row r="114" spans="1:40" x14ac:dyDescent="0.3">
      <c r="A114" t="s">
        <v>183</v>
      </c>
      <c r="B114" t="s">
        <v>5162</v>
      </c>
      <c r="C114" t="s">
        <v>5154</v>
      </c>
      <c r="D114" s="4">
        <v>45980</v>
      </c>
      <c r="E114">
        <v>141000</v>
      </c>
      <c r="F114" t="s">
        <v>5155</v>
      </c>
      <c r="G114" t="s">
        <v>72</v>
      </c>
      <c r="H114" t="s">
        <v>62</v>
      </c>
      <c r="I114" t="s">
        <v>73</v>
      </c>
      <c r="J114" t="s">
        <v>63</v>
      </c>
      <c r="K114" t="s">
        <v>5156</v>
      </c>
      <c r="L114" t="s">
        <v>44</v>
      </c>
      <c r="M114" t="s">
        <v>5157</v>
      </c>
      <c r="N114">
        <v>55236</v>
      </c>
      <c r="O114" t="s">
        <v>45</v>
      </c>
      <c r="P114" t="s">
        <v>182</v>
      </c>
      <c r="Q114" t="s">
        <v>85</v>
      </c>
      <c r="R114">
        <v>1991</v>
      </c>
      <c r="S114">
        <v>719.52</v>
      </c>
      <c r="T114" t="s">
        <v>48</v>
      </c>
      <c r="U114">
        <v>25</v>
      </c>
      <c r="V114" t="s">
        <v>5163</v>
      </c>
      <c r="W114">
        <v>70770269</v>
      </c>
      <c r="X114" t="s">
        <v>49</v>
      </c>
      <c r="Y114" t="s">
        <v>5159</v>
      </c>
      <c r="Z114" t="b">
        <v>0</v>
      </c>
      <c r="AA114">
        <v>195.96397598398929</v>
      </c>
      <c r="AN114" t="e">
        <f>100*(1-E114/AL114)</f>
        <v>#DIV/0!</v>
      </c>
    </row>
    <row r="115" spans="1:40" x14ac:dyDescent="0.3">
      <c r="A115" t="s">
        <v>183</v>
      </c>
      <c r="B115" t="s">
        <v>5164</v>
      </c>
      <c r="C115" t="s">
        <v>5154</v>
      </c>
      <c r="D115" s="4">
        <v>45980</v>
      </c>
      <c r="E115">
        <v>141000</v>
      </c>
      <c r="F115" t="s">
        <v>5155</v>
      </c>
      <c r="G115" t="s">
        <v>72</v>
      </c>
      <c r="H115" t="s">
        <v>62</v>
      </c>
      <c r="I115" t="s">
        <v>73</v>
      </c>
      <c r="J115" t="s">
        <v>63</v>
      </c>
      <c r="K115" t="s">
        <v>5156</v>
      </c>
      <c r="L115" t="s">
        <v>44</v>
      </c>
      <c r="M115" t="s">
        <v>5157</v>
      </c>
      <c r="N115">
        <v>55236</v>
      </c>
      <c r="O115" t="s">
        <v>45</v>
      </c>
      <c r="P115" t="s">
        <v>182</v>
      </c>
      <c r="Q115" t="s">
        <v>85</v>
      </c>
      <c r="R115">
        <v>1991</v>
      </c>
      <c r="S115">
        <v>719.52</v>
      </c>
      <c r="T115" t="s">
        <v>48</v>
      </c>
      <c r="U115">
        <v>25</v>
      </c>
      <c r="V115" t="s">
        <v>5165</v>
      </c>
      <c r="W115">
        <v>70770233</v>
      </c>
      <c r="X115" t="s">
        <v>49</v>
      </c>
      <c r="Y115" t="s">
        <v>5159</v>
      </c>
      <c r="Z115" t="b">
        <v>0</v>
      </c>
      <c r="AA115">
        <v>195.96397598398929</v>
      </c>
      <c r="AN115" t="e">
        <f>100*(1-E115/AL115)</f>
        <v>#DIV/0!</v>
      </c>
    </row>
    <row r="116" spans="1:40" x14ac:dyDescent="0.3">
      <c r="A116" t="s">
        <v>183</v>
      </c>
      <c r="B116" t="s">
        <v>5154</v>
      </c>
      <c r="C116" t="s">
        <v>5154</v>
      </c>
      <c r="D116" s="4">
        <v>45980</v>
      </c>
      <c r="E116">
        <v>141000</v>
      </c>
      <c r="F116">
        <v>0</v>
      </c>
      <c r="G116" t="s">
        <v>72</v>
      </c>
      <c r="H116" t="s">
        <v>62</v>
      </c>
      <c r="I116" t="s">
        <v>73</v>
      </c>
      <c r="J116" t="s">
        <v>63</v>
      </c>
      <c r="K116" t="s">
        <v>5166</v>
      </c>
      <c r="L116">
        <v>0</v>
      </c>
      <c r="M116">
        <v>0</v>
      </c>
      <c r="N116">
        <v>0</v>
      </c>
      <c r="O116" t="s">
        <v>5167</v>
      </c>
      <c r="P116">
        <v>0</v>
      </c>
      <c r="Q116" t="s">
        <v>85</v>
      </c>
      <c r="R116">
        <v>1991</v>
      </c>
      <c r="S116">
        <v>719.52</v>
      </c>
      <c r="T116">
        <v>0</v>
      </c>
      <c r="U116">
        <v>0</v>
      </c>
      <c r="V116" t="s">
        <v>5168</v>
      </c>
      <c r="W116" t="s">
        <v>5169</v>
      </c>
      <c r="X116" t="s">
        <v>49</v>
      </c>
      <c r="Y116">
        <v>0</v>
      </c>
      <c r="Z116" t="b">
        <v>0</v>
      </c>
      <c r="AA116">
        <v>195.96397598398929</v>
      </c>
      <c r="AN116" t="e">
        <f>100*(1-E116/AL116)</f>
        <v>#DIV/0!</v>
      </c>
    </row>
    <row r="117" spans="1:40" x14ac:dyDescent="0.3">
      <c r="A117" t="s">
        <v>213</v>
      </c>
      <c r="B117" t="s">
        <v>5192</v>
      </c>
      <c r="C117" t="s">
        <v>5192</v>
      </c>
      <c r="D117" s="4">
        <v>45980</v>
      </c>
      <c r="E117">
        <v>54000</v>
      </c>
      <c r="F117" t="s">
        <v>1251</v>
      </c>
      <c r="G117" t="s">
        <v>74</v>
      </c>
      <c r="H117" t="s">
        <v>62</v>
      </c>
      <c r="I117" t="s">
        <v>75</v>
      </c>
      <c r="J117" t="s">
        <v>63</v>
      </c>
      <c r="K117" t="s">
        <v>5193</v>
      </c>
      <c r="L117" t="s">
        <v>44</v>
      </c>
      <c r="M117" t="s">
        <v>5194</v>
      </c>
      <c r="N117">
        <v>56224</v>
      </c>
      <c r="O117" t="s">
        <v>45</v>
      </c>
      <c r="P117" t="s">
        <v>54</v>
      </c>
      <c r="Q117" t="s">
        <v>55</v>
      </c>
      <c r="R117">
        <v>1992</v>
      </c>
      <c r="S117">
        <v>42.6</v>
      </c>
      <c r="T117">
        <v>0</v>
      </c>
      <c r="U117">
        <v>0</v>
      </c>
      <c r="V117" t="s">
        <v>5195</v>
      </c>
      <c r="W117">
        <v>23977388</v>
      </c>
      <c r="X117" t="s">
        <v>86</v>
      </c>
      <c r="Y117" t="s">
        <v>5196</v>
      </c>
      <c r="Z117" t="b">
        <v>0</v>
      </c>
      <c r="AA117">
        <v>1267.605633802817</v>
      </c>
      <c r="AN117" t="e">
        <f>100*(1-E117/AL117)</f>
        <v>#DIV/0!</v>
      </c>
    </row>
    <row r="118" spans="1:40" x14ac:dyDescent="0.3">
      <c r="A118" t="s">
        <v>166</v>
      </c>
      <c r="B118" t="s">
        <v>5197</v>
      </c>
      <c r="C118" t="s">
        <v>5197</v>
      </c>
      <c r="D118" s="4">
        <v>45980</v>
      </c>
      <c r="E118">
        <v>105000</v>
      </c>
      <c r="F118" t="s">
        <v>483</v>
      </c>
      <c r="G118" t="s">
        <v>372</v>
      </c>
      <c r="H118" t="s">
        <v>152</v>
      </c>
      <c r="I118" t="s">
        <v>373</v>
      </c>
      <c r="J118" t="s">
        <v>172</v>
      </c>
      <c r="K118" t="s">
        <v>5198</v>
      </c>
      <c r="L118" t="s">
        <v>44</v>
      </c>
      <c r="M118" t="s">
        <v>5199</v>
      </c>
      <c r="N118">
        <v>21300</v>
      </c>
      <c r="O118" t="s">
        <v>45</v>
      </c>
      <c r="P118" t="s">
        <v>54</v>
      </c>
      <c r="Q118" t="s">
        <v>55</v>
      </c>
      <c r="R118">
        <v>1992</v>
      </c>
      <c r="S118">
        <v>78.599999999999994</v>
      </c>
      <c r="T118">
        <v>0</v>
      </c>
      <c r="U118">
        <v>0</v>
      </c>
      <c r="V118" t="s">
        <v>5200</v>
      </c>
      <c r="W118">
        <v>108371411</v>
      </c>
      <c r="X118" t="s">
        <v>49</v>
      </c>
      <c r="Y118" t="s">
        <v>5201</v>
      </c>
      <c r="Z118" t="b">
        <v>0</v>
      </c>
      <c r="AA118">
        <v>1335.8778625954201</v>
      </c>
      <c r="AN118" t="e">
        <f>100*(1-E118/AL118)</f>
        <v>#DIV/0!</v>
      </c>
    </row>
    <row r="119" spans="1:40" x14ac:dyDescent="0.3">
      <c r="A119" t="s">
        <v>39</v>
      </c>
      <c r="B119" t="s">
        <v>5314</v>
      </c>
      <c r="C119" t="s">
        <v>5314</v>
      </c>
      <c r="D119" s="4">
        <v>45980</v>
      </c>
      <c r="E119">
        <v>95000</v>
      </c>
      <c r="F119" t="s">
        <v>5315</v>
      </c>
      <c r="G119" t="s">
        <v>404</v>
      </c>
      <c r="H119" t="s">
        <v>124</v>
      </c>
      <c r="I119" t="s">
        <v>405</v>
      </c>
      <c r="J119" t="s">
        <v>126</v>
      </c>
      <c r="K119" t="s">
        <v>5316</v>
      </c>
      <c r="L119" t="s">
        <v>44</v>
      </c>
      <c r="M119" t="s">
        <v>5317</v>
      </c>
      <c r="N119">
        <v>26333</v>
      </c>
      <c r="O119" t="s">
        <v>45</v>
      </c>
      <c r="P119" t="s">
        <v>54</v>
      </c>
      <c r="Q119" t="s">
        <v>55</v>
      </c>
      <c r="R119">
        <v>1995</v>
      </c>
      <c r="S119">
        <v>80</v>
      </c>
      <c r="T119">
        <v>0</v>
      </c>
      <c r="U119">
        <v>0</v>
      </c>
      <c r="V119" t="s">
        <v>5318</v>
      </c>
      <c r="W119">
        <v>69723787</v>
      </c>
      <c r="X119" t="s">
        <v>49</v>
      </c>
      <c r="Y119" t="s">
        <v>5319</v>
      </c>
      <c r="Z119" t="b">
        <v>0</v>
      </c>
      <c r="AA119">
        <v>1187.5</v>
      </c>
      <c r="AN119" t="e">
        <f>100*(1-E119/AL119)</f>
        <v>#DIV/0!</v>
      </c>
    </row>
    <row r="120" spans="1:40" x14ac:dyDescent="0.3">
      <c r="A120" t="s">
        <v>183</v>
      </c>
      <c r="B120" t="s">
        <v>5320</v>
      </c>
      <c r="C120" t="s">
        <v>5320</v>
      </c>
      <c r="D120" s="4">
        <v>45980</v>
      </c>
      <c r="E120">
        <v>207000</v>
      </c>
      <c r="F120" t="s">
        <v>5321</v>
      </c>
      <c r="G120" t="s">
        <v>4995</v>
      </c>
      <c r="H120" t="s">
        <v>94</v>
      </c>
      <c r="I120" t="s">
        <v>105</v>
      </c>
      <c r="J120" t="s">
        <v>105</v>
      </c>
      <c r="K120" t="s">
        <v>5322</v>
      </c>
      <c r="L120" t="s">
        <v>44</v>
      </c>
      <c r="M120" t="s">
        <v>5323</v>
      </c>
      <c r="N120">
        <v>73100</v>
      </c>
      <c r="O120" t="s">
        <v>45</v>
      </c>
      <c r="P120" t="s">
        <v>81</v>
      </c>
      <c r="Q120" t="s">
        <v>52</v>
      </c>
      <c r="R120">
        <v>1995</v>
      </c>
      <c r="S120">
        <v>220.17</v>
      </c>
      <c r="T120">
        <v>0</v>
      </c>
      <c r="U120">
        <v>0</v>
      </c>
      <c r="V120" t="s">
        <v>708</v>
      </c>
      <c r="W120">
        <v>42410236</v>
      </c>
      <c r="X120" t="s">
        <v>49</v>
      </c>
      <c r="Y120" t="s">
        <v>5324</v>
      </c>
      <c r="Z120" t="b">
        <v>0</v>
      </c>
      <c r="AA120">
        <v>940.18258618340383</v>
      </c>
      <c r="AN120" t="e">
        <f>100*(1-E120/AL120)</f>
        <v>#DIV/0!</v>
      </c>
    </row>
    <row r="121" spans="1:40" x14ac:dyDescent="0.3">
      <c r="A121" t="s">
        <v>59</v>
      </c>
      <c r="B121" t="s">
        <v>5325</v>
      </c>
      <c r="C121" t="s">
        <v>5325</v>
      </c>
      <c r="D121" s="4">
        <v>45980</v>
      </c>
      <c r="E121">
        <v>130000</v>
      </c>
      <c r="F121" t="s">
        <v>5326</v>
      </c>
      <c r="G121" t="s">
        <v>5327</v>
      </c>
      <c r="H121" t="s">
        <v>152</v>
      </c>
      <c r="I121" t="s">
        <v>5328</v>
      </c>
      <c r="J121" t="s">
        <v>1996</v>
      </c>
      <c r="K121" t="s">
        <v>5329</v>
      </c>
      <c r="L121" t="s">
        <v>44</v>
      </c>
      <c r="M121" t="s">
        <v>5330</v>
      </c>
      <c r="N121">
        <v>23053</v>
      </c>
      <c r="O121" t="s">
        <v>45</v>
      </c>
      <c r="P121" t="s">
        <v>288</v>
      </c>
      <c r="Q121" t="s">
        <v>55</v>
      </c>
      <c r="R121">
        <v>1995</v>
      </c>
      <c r="S121">
        <v>83.22</v>
      </c>
      <c r="T121">
        <v>0</v>
      </c>
      <c r="U121">
        <v>0</v>
      </c>
      <c r="V121" t="s">
        <v>5331</v>
      </c>
      <c r="W121">
        <v>74979216</v>
      </c>
      <c r="X121" t="s">
        <v>49</v>
      </c>
      <c r="Y121">
        <v>301050301007</v>
      </c>
      <c r="Z121" t="b">
        <v>0</v>
      </c>
      <c r="AA121">
        <v>1562.124489305455</v>
      </c>
      <c r="AN121" t="e">
        <f>100*(1-E121/AL121)</f>
        <v>#DIV/0!</v>
      </c>
    </row>
    <row r="122" spans="1:40" x14ac:dyDescent="0.3">
      <c r="A122" t="s">
        <v>215</v>
      </c>
      <c r="B122" t="s">
        <v>5332</v>
      </c>
      <c r="C122" t="s">
        <v>5333</v>
      </c>
      <c r="D122" s="4">
        <v>45980</v>
      </c>
      <c r="E122">
        <v>38596</v>
      </c>
      <c r="F122" t="s">
        <v>5334</v>
      </c>
      <c r="G122" t="s">
        <v>490</v>
      </c>
      <c r="H122" t="s">
        <v>62</v>
      </c>
      <c r="I122" t="s">
        <v>491</v>
      </c>
      <c r="J122" t="s">
        <v>389</v>
      </c>
      <c r="K122" t="s">
        <v>5335</v>
      </c>
      <c r="L122" t="s">
        <v>44</v>
      </c>
      <c r="M122" t="s">
        <v>5336</v>
      </c>
      <c r="N122">
        <v>63077</v>
      </c>
      <c r="O122" t="s">
        <v>45</v>
      </c>
      <c r="P122" t="s">
        <v>288</v>
      </c>
      <c r="Q122" t="s">
        <v>55</v>
      </c>
      <c r="R122">
        <v>1995</v>
      </c>
      <c r="S122">
        <v>47.6</v>
      </c>
      <c r="T122" t="s">
        <v>48</v>
      </c>
      <c r="U122">
        <v>50</v>
      </c>
      <c r="V122" t="s">
        <v>5337</v>
      </c>
      <c r="W122">
        <v>27394531</v>
      </c>
      <c r="X122" t="s">
        <v>49</v>
      </c>
      <c r="Y122" t="s">
        <v>5338</v>
      </c>
      <c r="Z122" t="b">
        <v>0</v>
      </c>
      <c r="AA122">
        <v>810.84033613445376</v>
      </c>
      <c r="AN122" t="e">
        <f>100*(1-E122/AL122)</f>
        <v>#DIV/0!</v>
      </c>
    </row>
    <row r="123" spans="1:40" x14ac:dyDescent="0.3">
      <c r="A123" t="s">
        <v>215</v>
      </c>
      <c r="B123" t="s">
        <v>5339</v>
      </c>
      <c r="C123" t="s">
        <v>5333</v>
      </c>
      <c r="D123" s="4">
        <v>45980</v>
      </c>
      <c r="E123">
        <v>38596</v>
      </c>
      <c r="F123" t="s">
        <v>5334</v>
      </c>
      <c r="G123" t="s">
        <v>490</v>
      </c>
      <c r="H123" t="s">
        <v>62</v>
      </c>
      <c r="I123" t="s">
        <v>491</v>
      </c>
      <c r="J123" t="s">
        <v>389</v>
      </c>
      <c r="K123" t="s">
        <v>5335</v>
      </c>
      <c r="L123" t="s">
        <v>44</v>
      </c>
      <c r="M123" t="s">
        <v>5336</v>
      </c>
      <c r="N123">
        <v>63077</v>
      </c>
      <c r="O123" t="s">
        <v>45</v>
      </c>
      <c r="P123" t="s">
        <v>288</v>
      </c>
      <c r="Q123" t="s">
        <v>55</v>
      </c>
      <c r="R123">
        <v>1995</v>
      </c>
      <c r="S123">
        <v>47.6</v>
      </c>
      <c r="T123" t="s">
        <v>48</v>
      </c>
      <c r="U123">
        <v>50</v>
      </c>
      <c r="V123" t="s">
        <v>5340</v>
      </c>
      <c r="W123">
        <v>44953890</v>
      </c>
      <c r="X123" t="s">
        <v>49</v>
      </c>
      <c r="Y123" t="s">
        <v>5338</v>
      </c>
      <c r="Z123" t="b">
        <v>0</v>
      </c>
      <c r="AA123">
        <v>810.84033613445376</v>
      </c>
      <c r="AN123" t="e">
        <f>100*(1-E123/AL123)</f>
        <v>#DIV/0!</v>
      </c>
    </row>
    <row r="124" spans="1:40" x14ac:dyDescent="0.3">
      <c r="A124" t="s">
        <v>59</v>
      </c>
      <c r="B124" t="s">
        <v>5393</v>
      </c>
      <c r="C124" t="s">
        <v>598</v>
      </c>
      <c r="D124" s="4">
        <v>45980</v>
      </c>
      <c r="E124">
        <v>61000</v>
      </c>
      <c r="F124" t="s">
        <v>3283</v>
      </c>
      <c r="G124" t="s">
        <v>600</v>
      </c>
      <c r="H124" t="s">
        <v>152</v>
      </c>
      <c r="I124" t="s">
        <v>601</v>
      </c>
      <c r="J124" t="s">
        <v>221</v>
      </c>
      <c r="K124" t="s">
        <v>602</v>
      </c>
      <c r="L124" t="s">
        <v>44</v>
      </c>
      <c r="M124" t="s">
        <v>603</v>
      </c>
      <c r="N124">
        <v>20200</v>
      </c>
      <c r="O124" t="s">
        <v>45</v>
      </c>
      <c r="P124" t="s">
        <v>54</v>
      </c>
      <c r="Q124" t="s">
        <v>52</v>
      </c>
      <c r="R124">
        <v>1996</v>
      </c>
      <c r="S124">
        <v>62</v>
      </c>
      <c r="T124">
        <v>0</v>
      </c>
      <c r="U124">
        <v>0</v>
      </c>
      <c r="V124" t="s">
        <v>604</v>
      </c>
      <c r="W124">
        <v>36521245</v>
      </c>
      <c r="X124" t="s">
        <v>49</v>
      </c>
      <c r="Y124" t="s">
        <v>5394</v>
      </c>
      <c r="Z124" t="b">
        <v>0</v>
      </c>
      <c r="AA124">
        <v>983.87096774193549</v>
      </c>
      <c r="AN124" t="e">
        <f>100*(1-E124/AL124)</f>
        <v>#DIV/0!</v>
      </c>
    </row>
    <row r="125" spans="1:40" x14ac:dyDescent="0.3">
      <c r="A125" t="s">
        <v>139</v>
      </c>
      <c r="B125" t="s">
        <v>5406</v>
      </c>
      <c r="C125" t="s">
        <v>5406</v>
      </c>
      <c r="D125" s="4">
        <v>45980</v>
      </c>
      <c r="E125">
        <v>102000</v>
      </c>
      <c r="F125" t="s">
        <v>5407</v>
      </c>
      <c r="G125" t="s">
        <v>404</v>
      </c>
      <c r="H125" t="s">
        <v>124</v>
      </c>
      <c r="I125" t="s">
        <v>405</v>
      </c>
      <c r="J125" t="s">
        <v>126</v>
      </c>
      <c r="K125" t="s">
        <v>5408</v>
      </c>
      <c r="L125" t="s">
        <v>44</v>
      </c>
      <c r="M125" t="s">
        <v>5409</v>
      </c>
      <c r="N125">
        <v>26333</v>
      </c>
      <c r="O125" t="s">
        <v>45</v>
      </c>
      <c r="P125" t="s">
        <v>288</v>
      </c>
      <c r="Q125" t="s">
        <v>55</v>
      </c>
      <c r="R125">
        <v>1997</v>
      </c>
      <c r="S125">
        <v>167.98</v>
      </c>
      <c r="T125">
        <v>0</v>
      </c>
      <c r="U125">
        <v>0</v>
      </c>
      <c r="V125" t="s">
        <v>5410</v>
      </c>
      <c r="W125" t="s">
        <v>5411</v>
      </c>
      <c r="X125" t="s">
        <v>49</v>
      </c>
      <c r="Y125" t="s">
        <v>5412</v>
      </c>
      <c r="Z125" t="b">
        <v>0</v>
      </c>
      <c r="AA125">
        <v>607.21514466007864</v>
      </c>
      <c r="AN125" t="e">
        <f>100*(1-E125/AL125)</f>
        <v>#DIV/0!</v>
      </c>
    </row>
    <row r="126" spans="1:40" x14ac:dyDescent="0.3">
      <c r="A126" t="s">
        <v>59</v>
      </c>
      <c r="B126" t="s">
        <v>5475</v>
      </c>
      <c r="C126" t="s">
        <v>5475</v>
      </c>
      <c r="D126" s="4">
        <v>45980</v>
      </c>
      <c r="E126">
        <v>130000</v>
      </c>
      <c r="F126" t="s">
        <v>287</v>
      </c>
      <c r="G126" t="s">
        <v>2814</v>
      </c>
      <c r="H126" t="s">
        <v>230</v>
      </c>
      <c r="I126" t="s">
        <v>2815</v>
      </c>
      <c r="J126" t="s">
        <v>631</v>
      </c>
      <c r="K126" t="s">
        <v>5476</v>
      </c>
      <c r="L126" t="s">
        <v>44</v>
      </c>
      <c r="M126" t="s">
        <v>5477</v>
      </c>
      <c r="N126">
        <v>69100</v>
      </c>
      <c r="O126" t="s">
        <v>45</v>
      </c>
      <c r="P126" t="s">
        <v>54</v>
      </c>
      <c r="Q126" t="s">
        <v>100</v>
      </c>
      <c r="R126">
        <v>1999</v>
      </c>
      <c r="S126">
        <v>90.1</v>
      </c>
      <c r="T126">
        <v>0</v>
      </c>
      <c r="U126">
        <v>0</v>
      </c>
      <c r="V126" t="s">
        <v>5478</v>
      </c>
      <c r="W126" t="s">
        <v>5479</v>
      </c>
      <c r="X126" t="s">
        <v>49</v>
      </c>
      <c r="Y126" t="s">
        <v>5480</v>
      </c>
      <c r="Z126" t="b">
        <v>0</v>
      </c>
      <c r="AA126">
        <v>1442.8412874583801</v>
      </c>
      <c r="AN126" t="e">
        <f>100*(1-E126/AL126)</f>
        <v>#DIV/0!</v>
      </c>
    </row>
    <row r="127" spans="1:40" x14ac:dyDescent="0.3">
      <c r="A127" t="s">
        <v>59</v>
      </c>
      <c r="B127" t="s">
        <v>5481</v>
      </c>
      <c r="C127" t="s">
        <v>5481</v>
      </c>
      <c r="D127" s="4">
        <v>45980</v>
      </c>
      <c r="E127">
        <v>140000</v>
      </c>
      <c r="F127" t="s">
        <v>162</v>
      </c>
      <c r="G127" t="s">
        <v>61</v>
      </c>
      <c r="H127" t="s">
        <v>62</v>
      </c>
      <c r="I127" t="s">
        <v>63</v>
      </c>
      <c r="J127" t="s">
        <v>63</v>
      </c>
      <c r="K127" t="s">
        <v>5482</v>
      </c>
      <c r="L127" t="s">
        <v>44</v>
      </c>
      <c r="M127" t="s">
        <v>5483</v>
      </c>
      <c r="N127">
        <v>54634</v>
      </c>
      <c r="O127" t="s">
        <v>45</v>
      </c>
      <c r="P127" t="s">
        <v>54</v>
      </c>
      <c r="Q127" t="s">
        <v>55</v>
      </c>
      <c r="R127">
        <v>1999</v>
      </c>
      <c r="S127">
        <v>71.400000000000006</v>
      </c>
      <c r="T127">
        <v>0</v>
      </c>
      <c r="U127">
        <v>0</v>
      </c>
      <c r="V127" t="s">
        <v>5484</v>
      </c>
      <c r="W127" t="s">
        <v>5485</v>
      </c>
      <c r="X127" t="s">
        <v>49</v>
      </c>
      <c r="Y127" t="s">
        <v>5486</v>
      </c>
      <c r="Z127" t="b">
        <v>0</v>
      </c>
      <c r="AA127">
        <v>1960.7843137254899</v>
      </c>
      <c r="AN127" t="e">
        <f>100*(1-E127/AL127)</f>
        <v>#DIV/0!</v>
      </c>
    </row>
    <row r="128" spans="1:40" x14ac:dyDescent="0.3">
      <c r="A128" t="s">
        <v>183</v>
      </c>
      <c r="B128" t="s">
        <v>5531</v>
      </c>
      <c r="C128" t="s">
        <v>5531</v>
      </c>
      <c r="D128" s="4">
        <v>45980</v>
      </c>
      <c r="E128">
        <v>283500</v>
      </c>
      <c r="F128" t="s">
        <v>5532</v>
      </c>
      <c r="G128" t="s">
        <v>5533</v>
      </c>
      <c r="H128" t="s">
        <v>230</v>
      </c>
      <c r="I128" t="s">
        <v>426</v>
      </c>
      <c r="J128" t="s">
        <v>426</v>
      </c>
      <c r="K128" t="s">
        <v>5534</v>
      </c>
      <c r="L128" t="s">
        <v>44</v>
      </c>
      <c r="M128" t="s">
        <v>5535</v>
      </c>
      <c r="N128">
        <v>67100</v>
      </c>
      <c r="O128" t="s">
        <v>45</v>
      </c>
      <c r="P128" t="s">
        <v>81</v>
      </c>
      <c r="Q128" t="s">
        <v>52</v>
      </c>
      <c r="R128">
        <v>2000</v>
      </c>
      <c r="S128">
        <v>290.3</v>
      </c>
      <c r="T128">
        <v>0</v>
      </c>
      <c r="U128">
        <v>0</v>
      </c>
      <c r="V128" t="s">
        <v>5536</v>
      </c>
      <c r="W128" t="s">
        <v>5537</v>
      </c>
      <c r="X128" t="s">
        <v>49</v>
      </c>
      <c r="Y128" t="s">
        <v>5538</v>
      </c>
      <c r="Z128" t="b">
        <v>0</v>
      </c>
      <c r="AA128">
        <v>976.57595590768165</v>
      </c>
      <c r="AN128" t="e">
        <f>100*(1-E128/AL128)</f>
        <v>#DIV/0!</v>
      </c>
    </row>
    <row r="129" spans="1:40" x14ac:dyDescent="0.3">
      <c r="A129" t="s">
        <v>183</v>
      </c>
      <c r="B129" t="s">
        <v>5539</v>
      </c>
      <c r="C129" t="s">
        <v>5539</v>
      </c>
      <c r="D129" s="4">
        <v>45980</v>
      </c>
      <c r="E129">
        <v>265000</v>
      </c>
      <c r="F129" t="s">
        <v>2314</v>
      </c>
      <c r="G129" t="s">
        <v>306</v>
      </c>
      <c r="H129" t="s">
        <v>67</v>
      </c>
      <c r="I129" t="s">
        <v>307</v>
      </c>
      <c r="J129" t="s">
        <v>67</v>
      </c>
      <c r="K129" t="s">
        <v>5540</v>
      </c>
      <c r="L129" t="s">
        <v>44</v>
      </c>
      <c r="M129" t="s">
        <v>5541</v>
      </c>
      <c r="N129">
        <v>13231</v>
      </c>
      <c r="O129" t="s">
        <v>45</v>
      </c>
      <c r="P129" t="s">
        <v>54</v>
      </c>
      <c r="Q129" t="s">
        <v>100</v>
      </c>
      <c r="R129">
        <v>2000</v>
      </c>
      <c r="S129">
        <v>127.4</v>
      </c>
      <c r="T129">
        <v>0</v>
      </c>
      <c r="U129">
        <v>0</v>
      </c>
      <c r="V129" t="s">
        <v>5542</v>
      </c>
      <c r="W129">
        <v>39341239</v>
      </c>
      <c r="X129" t="s">
        <v>86</v>
      </c>
      <c r="Y129" t="s">
        <v>5543</v>
      </c>
      <c r="Z129" t="b">
        <v>0</v>
      </c>
      <c r="AA129">
        <v>2080.0627943485092</v>
      </c>
      <c r="AN129" t="e">
        <f>100*(1-E129/AL129)</f>
        <v>#DIV/0!</v>
      </c>
    </row>
    <row r="130" spans="1:40" x14ac:dyDescent="0.3">
      <c r="A130" t="s">
        <v>59</v>
      </c>
      <c r="B130" t="s">
        <v>5544</v>
      </c>
      <c r="C130" t="s">
        <v>5544</v>
      </c>
      <c r="D130" s="4">
        <v>45980</v>
      </c>
      <c r="E130">
        <v>62100</v>
      </c>
      <c r="F130" t="s">
        <v>162</v>
      </c>
      <c r="G130" t="s">
        <v>816</v>
      </c>
      <c r="H130" t="s">
        <v>41</v>
      </c>
      <c r="I130" t="s">
        <v>201</v>
      </c>
      <c r="J130" t="s">
        <v>199</v>
      </c>
      <c r="K130" t="s">
        <v>5545</v>
      </c>
      <c r="L130" t="s">
        <v>44</v>
      </c>
      <c r="M130" t="s">
        <v>5546</v>
      </c>
      <c r="N130">
        <v>48200</v>
      </c>
      <c r="O130" t="s">
        <v>45</v>
      </c>
      <c r="P130" t="s">
        <v>54</v>
      </c>
      <c r="Q130" t="s">
        <v>55</v>
      </c>
      <c r="R130">
        <v>2000</v>
      </c>
      <c r="S130">
        <v>70.540000000000006</v>
      </c>
      <c r="T130">
        <v>0</v>
      </c>
      <c r="U130">
        <v>0</v>
      </c>
      <c r="V130" t="s">
        <v>5547</v>
      </c>
      <c r="W130" t="s">
        <v>5548</v>
      </c>
      <c r="X130" t="s">
        <v>49</v>
      </c>
      <c r="Y130" t="s">
        <v>5549</v>
      </c>
      <c r="Z130" t="b">
        <v>0</v>
      </c>
      <c r="AA130">
        <v>880.35157357527635</v>
      </c>
      <c r="AN130" t="e">
        <f>100*(1-E130/AL130)</f>
        <v>#DIV/0!</v>
      </c>
    </row>
    <row r="131" spans="1:40" x14ac:dyDescent="0.3">
      <c r="A131" t="s">
        <v>215</v>
      </c>
      <c r="B131" t="s">
        <v>5665</v>
      </c>
      <c r="C131" t="s">
        <v>5665</v>
      </c>
      <c r="D131" s="4">
        <v>45980</v>
      </c>
      <c r="E131">
        <v>253000</v>
      </c>
      <c r="F131" t="s">
        <v>5666</v>
      </c>
      <c r="G131" t="s">
        <v>4742</v>
      </c>
      <c r="H131" t="s">
        <v>152</v>
      </c>
      <c r="I131" t="s">
        <v>220</v>
      </c>
      <c r="J131" t="s">
        <v>221</v>
      </c>
      <c r="K131" t="s">
        <v>5667</v>
      </c>
      <c r="L131" t="s">
        <v>44</v>
      </c>
      <c r="M131" t="s">
        <v>5668</v>
      </c>
      <c r="N131">
        <v>20001</v>
      </c>
      <c r="O131" t="s">
        <v>45</v>
      </c>
      <c r="P131" t="s">
        <v>81</v>
      </c>
      <c r="Q131" t="s">
        <v>55</v>
      </c>
      <c r="R131">
        <v>2001</v>
      </c>
      <c r="S131">
        <v>220.86</v>
      </c>
      <c r="T131">
        <v>0</v>
      </c>
      <c r="U131">
        <v>0</v>
      </c>
      <c r="V131" t="s">
        <v>5669</v>
      </c>
      <c r="W131" t="s">
        <v>5670</v>
      </c>
      <c r="X131" t="s">
        <v>49</v>
      </c>
      <c r="Y131" t="s">
        <v>5671</v>
      </c>
      <c r="Z131" t="b">
        <v>0</v>
      </c>
      <c r="AA131">
        <v>1145.5220501675269</v>
      </c>
      <c r="AN131" t="e">
        <f>100*(1-E131/AL131)</f>
        <v>#DIV/0!</v>
      </c>
    </row>
    <row r="132" spans="1:40" x14ac:dyDescent="0.3">
      <c r="A132" t="s">
        <v>150</v>
      </c>
      <c r="B132" t="s">
        <v>5713</v>
      </c>
      <c r="C132" t="s">
        <v>5713</v>
      </c>
      <c r="D132" s="4">
        <v>45980</v>
      </c>
      <c r="E132">
        <v>180000</v>
      </c>
      <c r="F132" t="s">
        <v>5714</v>
      </c>
      <c r="G132" t="s">
        <v>5715</v>
      </c>
      <c r="H132" t="s">
        <v>62</v>
      </c>
      <c r="I132" t="s">
        <v>477</v>
      </c>
      <c r="J132" t="s">
        <v>63</v>
      </c>
      <c r="K132" t="s">
        <v>5716</v>
      </c>
      <c r="L132" t="s">
        <v>44</v>
      </c>
      <c r="M132" t="s">
        <v>5717</v>
      </c>
      <c r="N132">
        <v>57500</v>
      </c>
      <c r="O132" t="s">
        <v>45</v>
      </c>
      <c r="P132" t="s">
        <v>288</v>
      </c>
      <c r="Q132" t="s">
        <v>55</v>
      </c>
      <c r="R132">
        <v>2002</v>
      </c>
      <c r="S132">
        <v>145.16999999999999</v>
      </c>
      <c r="T132">
        <v>0</v>
      </c>
      <c r="U132">
        <v>0</v>
      </c>
      <c r="V132" t="s">
        <v>5718</v>
      </c>
      <c r="W132" t="s">
        <v>5719</v>
      </c>
      <c r="X132" t="s">
        <v>86</v>
      </c>
      <c r="Y132" t="s">
        <v>5720</v>
      </c>
      <c r="Z132" t="b">
        <v>0</v>
      </c>
      <c r="AA132">
        <v>1239.925604463732</v>
      </c>
      <c r="AN132" t="e">
        <f>100*(1-E132/AL132)</f>
        <v>#DIV/0!</v>
      </c>
    </row>
    <row r="133" spans="1:40" x14ac:dyDescent="0.3">
      <c r="A133" t="s">
        <v>59</v>
      </c>
      <c r="B133" t="s">
        <v>5755</v>
      </c>
      <c r="C133" t="s">
        <v>5755</v>
      </c>
      <c r="D133" s="4">
        <v>45980</v>
      </c>
      <c r="E133">
        <v>114000</v>
      </c>
      <c r="F133" t="s">
        <v>5756</v>
      </c>
      <c r="G133" t="s">
        <v>5757</v>
      </c>
      <c r="H133" t="s">
        <v>230</v>
      </c>
      <c r="I133" t="s">
        <v>231</v>
      </c>
      <c r="J133" t="s">
        <v>231</v>
      </c>
      <c r="K133" t="s">
        <v>5758</v>
      </c>
      <c r="L133" t="s">
        <v>44</v>
      </c>
      <c r="M133" t="s">
        <v>5757</v>
      </c>
      <c r="N133">
        <v>64003</v>
      </c>
      <c r="O133" t="s">
        <v>45</v>
      </c>
      <c r="P133" t="s">
        <v>81</v>
      </c>
      <c r="Q133" t="s">
        <v>55</v>
      </c>
      <c r="R133">
        <v>2003</v>
      </c>
      <c r="S133">
        <v>211.86</v>
      </c>
      <c r="T133">
        <v>0</v>
      </c>
      <c r="U133">
        <v>0</v>
      </c>
      <c r="V133" t="s">
        <v>5759</v>
      </c>
      <c r="W133" t="s">
        <v>5760</v>
      </c>
      <c r="X133" t="s">
        <v>86</v>
      </c>
      <c r="Y133" t="s">
        <v>5761</v>
      </c>
      <c r="Z133" t="b">
        <v>0</v>
      </c>
      <c r="AA133">
        <v>538.0911922967997</v>
      </c>
      <c r="AN133" t="e">
        <f>100*(1-E133/AL133)</f>
        <v>#DIV/0!</v>
      </c>
    </row>
    <row r="134" spans="1:40" x14ac:dyDescent="0.3">
      <c r="A134" t="s">
        <v>39</v>
      </c>
      <c r="B134" t="s">
        <v>5762</v>
      </c>
      <c r="C134" t="s">
        <v>5762</v>
      </c>
      <c r="D134" s="4">
        <v>45980</v>
      </c>
      <c r="E134">
        <v>60000</v>
      </c>
      <c r="F134" t="s">
        <v>5763</v>
      </c>
      <c r="G134" t="s">
        <v>5764</v>
      </c>
      <c r="H134" t="s">
        <v>124</v>
      </c>
      <c r="I134" t="s">
        <v>334</v>
      </c>
      <c r="J134" t="s">
        <v>126</v>
      </c>
      <c r="K134" t="s">
        <v>5765</v>
      </c>
      <c r="L134" t="s">
        <v>44</v>
      </c>
      <c r="M134" t="s">
        <v>5766</v>
      </c>
      <c r="N134">
        <v>25003</v>
      </c>
      <c r="O134" t="s">
        <v>45</v>
      </c>
      <c r="P134" t="s">
        <v>81</v>
      </c>
      <c r="Q134" t="s">
        <v>55</v>
      </c>
      <c r="R134">
        <v>2003</v>
      </c>
      <c r="S134">
        <v>63.67</v>
      </c>
      <c r="T134">
        <v>0</v>
      </c>
      <c r="U134">
        <v>0</v>
      </c>
      <c r="V134" t="s">
        <v>5767</v>
      </c>
      <c r="W134">
        <v>73076539</v>
      </c>
      <c r="X134" t="s">
        <v>49</v>
      </c>
      <c r="Y134">
        <v>60611025042</v>
      </c>
      <c r="Z134" t="b">
        <v>0</v>
      </c>
      <c r="AA134">
        <v>942.35903879378043</v>
      </c>
      <c r="AN134" t="e">
        <f>100*(1-E134/AL134)</f>
        <v>#DIV/0!</v>
      </c>
    </row>
    <row r="135" spans="1:40" x14ac:dyDescent="0.3">
      <c r="A135" t="s">
        <v>59</v>
      </c>
      <c r="B135" t="s">
        <v>5768</v>
      </c>
      <c r="C135" t="s">
        <v>786</v>
      </c>
      <c r="D135" s="4">
        <v>45980</v>
      </c>
      <c r="E135">
        <v>21212</v>
      </c>
      <c r="F135" t="s">
        <v>329</v>
      </c>
      <c r="G135" t="s">
        <v>406</v>
      </c>
      <c r="H135" t="s">
        <v>124</v>
      </c>
      <c r="I135" t="s">
        <v>364</v>
      </c>
      <c r="J135" t="s">
        <v>256</v>
      </c>
      <c r="K135" t="s">
        <v>787</v>
      </c>
      <c r="L135" t="s">
        <v>44</v>
      </c>
      <c r="M135" t="s">
        <v>788</v>
      </c>
      <c r="N135">
        <v>30200</v>
      </c>
      <c r="O135" t="s">
        <v>45</v>
      </c>
      <c r="P135" t="s">
        <v>54</v>
      </c>
      <c r="Q135" t="s">
        <v>52</v>
      </c>
      <c r="R135">
        <v>2003</v>
      </c>
      <c r="S135">
        <v>25.11</v>
      </c>
      <c r="T135">
        <v>0</v>
      </c>
      <c r="U135">
        <v>0</v>
      </c>
      <c r="V135" t="s">
        <v>789</v>
      </c>
      <c r="W135" t="s">
        <v>790</v>
      </c>
      <c r="X135" t="s">
        <v>49</v>
      </c>
      <c r="Y135" t="s">
        <v>5769</v>
      </c>
      <c r="Z135" t="b">
        <v>0</v>
      </c>
      <c r="AA135">
        <v>844.76304261250505</v>
      </c>
      <c r="AN135" t="e">
        <f>100*(1-E135/AL135)</f>
        <v>#DIV/0!</v>
      </c>
    </row>
    <row r="136" spans="1:40" x14ac:dyDescent="0.3">
      <c r="A136" t="s">
        <v>59</v>
      </c>
      <c r="B136" t="s">
        <v>5770</v>
      </c>
      <c r="C136" t="s">
        <v>786</v>
      </c>
      <c r="D136" s="4">
        <v>45980</v>
      </c>
      <c r="E136">
        <v>31963</v>
      </c>
      <c r="F136" t="s">
        <v>952</v>
      </c>
      <c r="G136" t="s">
        <v>406</v>
      </c>
      <c r="H136" t="s">
        <v>124</v>
      </c>
      <c r="I136" t="s">
        <v>364</v>
      </c>
      <c r="J136" t="s">
        <v>256</v>
      </c>
      <c r="K136" t="s">
        <v>787</v>
      </c>
      <c r="L136" t="s">
        <v>44</v>
      </c>
      <c r="M136" t="s">
        <v>788</v>
      </c>
      <c r="N136">
        <v>30200</v>
      </c>
      <c r="O136" t="s">
        <v>45</v>
      </c>
      <c r="P136" t="s">
        <v>54</v>
      </c>
      <c r="Q136" t="s">
        <v>52</v>
      </c>
      <c r="R136">
        <v>2003</v>
      </c>
      <c r="S136">
        <v>38.32</v>
      </c>
      <c r="T136">
        <v>0</v>
      </c>
      <c r="U136">
        <v>0</v>
      </c>
      <c r="V136" t="s">
        <v>789</v>
      </c>
      <c r="W136" t="s">
        <v>790</v>
      </c>
      <c r="X136" t="s">
        <v>49</v>
      </c>
      <c r="Y136" t="s">
        <v>5771</v>
      </c>
      <c r="Z136" t="b">
        <v>0</v>
      </c>
      <c r="AA136">
        <v>834.10751565762007</v>
      </c>
      <c r="AN136" t="e">
        <f>100*(1-E136/AL136)</f>
        <v>#DIV/0!</v>
      </c>
    </row>
    <row r="137" spans="1:40" x14ac:dyDescent="0.3">
      <c r="A137" t="s">
        <v>59</v>
      </c>
      <c r="B137" t="s">
        <v>5772</v>
      </c>
      <c r="C137" t="s">
        <v>786</v>
      </c>
      <c r="D137" s="4">
        <v>45980</v>
      </c>
      <c r="E137">
        <v>19965</v>
      </c>
      <c r="F137" t="s">
        <v>5773</v>
      </c>
      <c r="G137" t="s">
        <v>406</v>
      </c>
      <c r="H137" t="s">
        <v>124</v>
      </c>
      <c r="I137" t="s">
        <v>364</v>
      </c>
      <c r="J137" t="s">
        <v>256</v>
      </c>
      <c r="K137" t="s">
        <v>787</v>
      </c>
      <c r="L137" t="s">
        <v>44</v>
      </c>
      <c r="M137" t="s">
        <v>788</v>
      </c>
      <c r="N137">
        <v>30200</v>
      </c>
      <c r="O137" t="s">
        <v>45</v>
      </c>
      <c r="P137" t="s">
        <v>54</v>
      </c>
      <c r="Q137" t="s">
        <v>52</v>
      </c>
      <c r="R137">
        <v>2003</v>
      </c>
      <c r="S137">
        <v>23.6</v>
      </c>
      <c r="T137">
        <v>0</v>
      </c>
      <c r="U137">
        <v>0</v>
      </c>
      <c r="V137" t="s">
        <v>789</v>
      </c>
      <c r="W137" t="s">
        <v>790</v>
      </c>
      <c r="X137" t="s">
        <v>49</v>
      </c>
      <c r="Y137" t="s">
        <v>5774</v>
      </c>
      <c r="Z137" t="b">
        <v>0</v>
      </c>
      <c r="AA137">
        <v>845.97457627118638</v>
      </c>
      <c r="AN137" t="e">
        <f>100*(1-E137/AL137)</f>
        <v>#DIV/0!</v>
      </c>
    </row>
    <row r="138" spans="1:40" x14ac:dyDescent="0.3">
      <c r="A138" t="s">
        <v>59</v>
      </c>
      <c r="B138" t="s">
        <v>5775</v>
      </c>
      <c r="C138" t="s">
        <v>786</v>
      </c>
      <c r="D138" s="4">
        <v>45980</v>
      </c>
      <c r="E138">
        <v>67812</v>
      </c>
      <c r="F138" t="s">
        <v>1665</v>
      </c>
      <c r="G138" t="s">
        <v>406</v>
      </c>
      <c r="H138" t="s">
        <v>124</v>
      </c>
      <c r="I138" t="s">
        <v>364</v>
      </c>
      <c r="J138" t="s">
        <v>256</v>
      </c>
      <c r="K138" t="s">
        <v>787</v>
      </c>
      <c r="L138" t="s">
        <v>44</v>
      </c>
      <c r="M138" t="s">
        <v>788</v>
      </c>
      <c r="N138">
        <v>30200</v>
      </c>
      <c r="O138" t="s">
        <v>45</v>
      </c>
      <c r="P138" t="s">
        <v>54</v>
      </c>
      <c r="Q138" t="s">
        <v>55</v>
      </c>
      <c r="R138">
        <v>2003</v>
      </c>
      <c r="S138">
        <v>80.459999999999994</v>
      </c>
      <c r="T138">
        <v>0</v>
      </c>
      <c r="U138">
        <v>0</v>
      </c>
      <c r="V138" t="s">
        <v>789</v>
      </c>
      <c r="W138" t="s">
        <v>790</v>
      </c>
      <c r="X138" t="s">
        <v>49</v>
      </c>
      <c r="Y138" t="s">
        <v>5776</v>
      </c>
      <c r="Z138" t="b">
        <v>0</v>
      </c>
      <c r="AA138">
        <v>842.80387770320658</v>
      </c>
      <c r="AN138" t="e">
        <f>100*(1-E138/AL138)</f>
        <v>#DIV/0!</v>
      </c>
    </row>
    <row r="139" spans="1:40" x14ac:dyDescent="0.3">
      <c r="A139" t="s">
        <v>59</v>
      </c>
      <c r="B139" t="s">
        <v>5777</v>
      </c>
      <c r="C139" t="s">
        <v>786</v>
      </c>
      <c r="D139" s="4">
        <v>45980</v>
      </c>
      <c r="E139">
        <v>24178</v>
      </c>
      <c r="F139" t="s">
        <v>328</v>
      </c>
      <c r="G139" t="s">
        <v>406</v>
      </c>
      <c r="H139" t="s">
        <v>124</v>
      </c>
      <c r="I139" t="s">
        <v>364</v>
      </c>
      <c r="J139" t="s">
        <v>256</v>
      </c>
      <c r="K139" t="s">
        <v>787</v>
      </c>
      <c r="L139" t="s">
        <v>44</v>
      </c>
      <c r="M139" t="s">
        <v>788</v>
      </c>
      <c r="N139">
        <v>30200</v>
      </c>
      <c r="O139" t="s">
        <v>45</v>
      </c>
      <c r="P139" t="s">
        <v>54</v>
      </c>
      <c r="Q139" t="s">
        <v>52</v>
      </c>
      <c r="R139">
        <v>2003</v>
      </c>
      <c r="S139">
        <v>28.72</v>
      </c>
      <c r="T139">
        <v>0</v>
      </c>
      <c r="U139">
        <v>0</v>
      </c>
      <c r="V139" t="s">
        <v>789</v>
      </c>
      <c r="W139" t="s">
        <v>790</v>
      </c>
      <c r="X139" t="s">
        <v>49</v>
      </c>
      <c r="Y139" t="s">
        <v>5778</v>
      </c>
      <c r="Z139" t="b">
        <v>0</v>
      </c>
      <c r="AA139">
        <v>841.85236768802235</v>
      </c>
      <c r="AN139" t="e">
        <f>100*(1-E139/AL139)</f>
        <v>#DIV/0!</v>
      </c>
    </row>
    <row r="140" spans="1:40" x14ac:dyDescent="0.3">
      <c r="A140" t="s">
        <v>59</v>
      </c>
      <c r="B140" t="s">
        <v>5779</v>
      </c>
      <c r="C140" t="s">
        <v>786</v>
      </c>
      <c r="D140" s="4">
        <v>45980</v>
      </c>
      <c r="E140">
        <v>20147</v>
      </c>
      <c r="F140" t="s">
        <v>5773</v>
      </c>
      <c r="G140" t="s">
        <v>406</v>
      </c>
      <c r="H140" t="s">
        <v>124</v>
      </c>
      <c r="I140" t="s">
        <v>364</v>
      </c>
      <c r="J140" t="s">
        <v>256</v>
      </c>
      <c r="K140" t="s">
        <v>787</v>
      </c>
      <c r="L140" t="s">
        <v>44</v>
      </c>
      <c r="M140" t="s">
        <v>788</v>
      </c>
      <c r="N140">
        <v>30200</v>
      </c>
      <c r="O140" t="s">
        <v>45</v>
      </c>
      <c r="P140" t="s">
        <v>54</v>
      </c>
      <c r="Q140" t="s">
        <v>52</v>
      </c>
      <c r="R140">
        <v>2003</v>
      </c>
      <c r="S140">
        <v>23.82</v>
      </c>
      <c r="T140">
        <v>0</v>
      </c>
      <c r="U140">
        <v>0</v>
      </c>
      <c r="V140" t="s">
        <v>789</v>
      </c>
      <c r="W140" t="s">
        <v>790</v>
      </c>
      <c r="X140" t="s">
        <v>49</v>
      </c>
      <c r="Y140" t="s">
        <v>5780</v>
      </c>
      <c r="Z140" t="b">
        <v>0</v>
      </c>
      <c r="AA140">
        <v>845.80184718723763</v>
      </c>
      <c r="AN140" t="e">
        <f>100*(1-E140/AL140)</f>
        <v>#DIV/0!</v>
      </c>
    </row>
    <row r="141" spans="1:40" x14ac:dyDescent="0.3">
      <c r="A141" t="s">
        <v>139</v>
      </c>
      <c r="B141" t="s">
        <v>5781</v>
      </c>
      <c r="C141" t="s">
        <v>5781</v>
      </c>
      <c r="D141" s="4">
        <v>45980</v>
      </c>
      <c r="E141">
        <v>200000</v>
      </c>
      <c r="F141" t="s">
        <v>4606</v>
      </c>
      <c r="G141" t="s">
        <v>404</v>
      </c>
      <c r="H141" t="s">
        <v>124</v>
      </c>
      <c r="I141" t="s">
        <v>405</v>
      </c>
      <c r="J141" t="s">
        <v>126</v>
      </c>
      <c r="K141" t="s">
        <v>5782</v>
      </c>
      <c r="L141" t="s">
        <v>44</v>
      </c>
      <c r="M141" t="s">
        <v>5783</v>
      </c>
      <c r="N141">
        <v>26222</v>
      </c>
      <c r="O141" t="s">
        <v>45</v>
      </c>
      <c r="P141" t="s">
        <v>54</v>
      </c>
      <c r="Q141" t="s">
        <v>64</v>
      </c>
      <c r="R141">
        <v>2003</v>
      </c>
      <c r="S141">
        <v>121.37</v>
      </c>
      <c r="T141">
        <v>0</v>
      </c>
      <c r="U141">
        <v>0</v>
      </c>
      <c r="V141" t="s">
        <v>5784</v>
      </c>
      <c r="W141">
        <v>44370776</v>
      </c>
      <c r="X141" t="s">
        <v>49</v>
      </c>
      <c r="Y141" t="s">
        <v>5785</v>
      </c>
      <c r="Z141" t="b">
        <v>0</v>
      </c>
      <c r="AA141">
        <v>1647.853670594051</v>
      </c>
      <c r="AN141" t="e">
        <f>100*(1-E141/AL141)</f>
        <v>#DIV/0!</v>
      </c>
    </row>
    <row r="142" spans="1:40" x14ac:dyDescent="0.3">
      <c r="A142" t="s">
        <v>215</v>
      </c>
      <c r="B142" t="s">
        <v>5786</v>
      </c>
      <c r="C142" t="s">
        <v>5786</v>
      </c>
      <c r="D142" s="4">
        <v>45980</v>
      </c>
      <c r="E142">
        <v>151615</v>
      </c>
      <c r="F142" t="s">
        <v>5787</v>
      </c>
      <c r="G142" t="s">
        <v>494</v>
      </c>
      <c r="H142" t="s">
        <v>62</v>
      </c>
      <c r="I142" t="s">
        <v>495</v>
      </c>
      <c r="J142" t="s">
        <v>389</v>
      </c>
      <c r="K142" t="s">
        <v>5788</v>
      </c>
      <c r="L142" t="s">
        <v>44</v>
      </c>
      <c r="M142" t="s">
        <v>5789</v>
      </c>
      <c r="N142">
        <v>63100</v>
      </c>
      <c r="O142" t="s">
        <v>45</v>
      </c>
      <c r="P142" t="s">
        <v>288</v>
      </c>
      <c r="Q142" t="s">
        <v>85</v>
      </c>
      <c r="R142">
        <v>2003</v>
      </c>
      <c r="S142">
        <v>184.86</v>
      </c>
      <c r="T142">
        <v>0</v>
      </c>
      <c r="U142">
        <v>0</v>
      </c>
      <c r="V142" t="s">
        <v>5790</v>
      </c>
      <c r="W142" t="s">
        <v>5791</v>
      </c>
      <c r="X142" t="s">
        <v>49</v>
      </c>
      <c r="Y142" t="s">
        <v>5792</v>
      </c>
      <c r="Z142" t="b">
        <v>0</v>
      </c>
      <c r="AA142">
        <v>820.16120307259541</v>
      </c>
      <c r="AN142" t="e">
        <f>100*(1-E142/AL142)</f>
        <v>#DIV/0!</v>
      </c>
    </row>
    <row r="143" spans="1:40" x14ac:dyDescent="0.3">
      <c r="A143" t="s">
        <v>183</v>
      </c>
      <c r="B143" t="s">
        <v>5901</v>
      </c>
      <c r="C143" t="s">
        <v>5901</v>
      </c>
      <c r="D143" s="4">
        <v>45980</v>
      </c>
      <c r="E143">
        <v>269000</v>
      </c>
      <c r="F143" t="s">
        <v>5902</v>
      </c>
      <c r="G143" t="s">
        <v>3940</v>
      </c>
      <c r="H143" t="s">
        <v>67</v>
      </c>
      <c r="I143" t="s">
        <v>3941</v>
      </c>
      <c r="J143" t="s">
        <v>67</v>
      </c>
      <c r="K143" t="s">
        <v>5903</v>
      </c>
      <c r="L143" t="s">
        <v>44</v>
      </c>
      <c r="M143" t="s">
        <v>5904</v>
      </c>
      <c r="N143">
        <v>19003</v>
      </c>
      <c r="O143" t="s">
        <v>45</v>
      </c>
      <c r="P143" t="s">
        <v>81</v>
      </c>
      <c r="Q143" t="s">
        <v>55</v>
      </c>
      <c r="R143">
        <v>2004</v>
      </c>
      <c r="S143">
        <v>0</v>
      </c>
      <c r="T143">
        <v>0</v>
      </c>
      <c r="U143">
        <v>0</v>
      </c>
      <c r="V143" t="s">
        <v>5905</v>
      </c>
      <c r="W143">
        <v>40127933</v>
      </c>
      <c r="X143" t="s">
        <v>86</v>
      </c>
      <c r="Y143" t="s">
        <v>5906</v>
      </c>
      <c r="Z143" t="b">
        <v>0</v>
      </c>
      <c r="AA143" t="s">
        <v>58</v>
      </c>
      <c r="AN143" t="e">
        <f>100*(1-E143/AL143)</f>
        <v>#DIV/0!</v>
      </c>
    </row>
    <row r="144" spans="1:40" x14ac:dyDescent="0.3">
      <c r="A144" t="s">
        <v>59</v>
      </c>
      <c r="B144" t="s">
        <v>5907</v>
      </c>
      <c r="C144" t="s">
        <v>5907</v>
      </c>
      <c r="D144" s="4">
        <v>45980</v>
      </c>
      <c r="E144">
        <v>40800</v>
      </c>
      <c r="F144" t="s">
        <v>146</v>
      </c>
      <c r="G144" t="s">
        <v>474</v>
      </c>
      <c r="H144" t="s">
        <v>230</v>
      </c>
      <c r="I144" t="s">
        <v>475</v>
      </c>
      <c r="J144" t="s">
        <v>464</v>
      </c>
      <c r="K144" t="s">
        <v>5908</v>
      </c>
      <c r="L144" t="s">
        <v>44</v>
      </c>
      <c r="M144" t="s">
        <v>474</v>
      </c>
      <c r="N144">
        <v>68200</v>
      </c>
      <c r="O144" t="s">
        <v>45</v>
      </c>
      <c r="P144" t="s">
        <v>54</v>
      </c>
      <c r="Q144" t="s">
        <v>55</v>
      </c>
      <c r="R144">
        <v>2004</v>
      </c>
      <c r="S144">
        <v>46.62</v>
      </c>
      <c r="T144">
        <v>0</v>
      </c>
      <c r="U144">
        <v>0</v>
      </c>
      <c r="V144" t="s">
        <v>5909</v>
      </c>
      <c r="W144">
        <v>32227250</v>
      </c>
      <c r="X144" t="s">
        <v>49</v>
      </c>
      <c r="Y144" t="s">
        <v>5910</v>
      </c>
      <c r="Z144" t="b">
        <v>0</v>
      </c>
      <c r="AA144">
        <v>875.16087516087521</v>
      </c>
      <c r="AN144" t="e">
        <f>100*(1-E144/AL144)</f>
        <v>#DIV/0!</v>
      </c>
    </row>
    <row r="145" spans="1:40" x14ac:dyDescent="0.3">
      <c r="A145" t="s">
        <v>139</v>
      </c>
      <c r="B145" t="s">
        <v>6010</v>
      </c>
      <c r="C145" t="s">
        <v>6010</v>
      </c>
      <c r="D145" s="4">
        <v>45980</v>
      </c>
      <c r="E145">
        <v>184000</v>
      </c>
      <c r="F145" t="s">
        <v>6011</v>
      </c>
      <c r="G145" t="s">
        <v>6012</v>
      </c>
      <c r="H145" t="s">
        <v>94</v>
      </c>
      <c r="I145" t="s">
        <v>4740</v>
      </c>
      <c r="J145" t="s">
        <v>96</v>
      </c>
      <c r="K145" t="s">
        <v>6013</v>
      </c>
      <c r="L145" t="s">
        <v>44</v>
      </c>
      <c r="M145" t="s">
        <v>6014</v>
      </c>
      <c r="N145">
        <v>70008</v>
      </c>
      <c r="O145" t="s">
        <v>45</v>
      </c>
      <c r="P145" t="s">
        <v>81</v>
      </c>
      <c r="Q145" t="s">
        <v>52</v>
      </c>
      <c r="R145">
        <v>2005</v>
      </c>
      <c r="S145">
        <v>131.02000000000001</v>
      </c>
      <c r="T145">
        <v>0</v>
      </c>
      <c r="U145">
        <v>0</v>
      </c>
      <c r="V145" t="s">
        <v>6015</v>
      </c>
      <c r="W145">
        <v>74242403</v>
      </c>
      <c r="X145" t="s">
        <v>49</v>
      </c>
      <c r="Y145">
        <v>0</v>
      </c>
      <c r="Z145" t="b">
        <v>0</v>
      </c>
      <c r="AA145">
        <v>1404.3657456876811</v>
      </c>
      <c r="AN145" t="e">
        <f>100*(1-E145/AL145)</f>
        <v>#DIV/0!</v>
      </c>
    </row>
    <row r="146" spans="1:40" x14ac:dyDescent="0.3">
      <c r="A146" t="s">
        <v>215</v>
      </c>
      <c r="B146" t="s">
        <v>6016</v>
      </c>
      <c r="C146" t="s">
        <v>6017</v>
      </c>
      <c r="D146" s="4">
        <v>45980</v>
      </c>
      <c r="E146">
        <v>234000</v>
      </c>
      <c r="F146" t="s">
        <v>6018</v>
      </c>
      <c r="G146" t="s">
        <v>459</v>
      </c>
      <c r="H146" t="s">
        <v>94</v>
      </c>
      <c r="I146" t="s">
        <v>460</v>
      </c>
      <c r="J146" t="s">
        <v>449</v>
      </c>
      <c r="K146" t="s">
        <v>6019</v>
      </c>
      <c r="L146" t="s">
        <v>44</v>
      </c>
      <c r="M146" t="s">
        <v>6020</v>
      </c>
      <c r="N146">
        <v>74150</v>
      </c>
      <c r="O146" t="s">
        <v>45</v>
      </c>
      <c r="P146" t="s">
        <v>81</v>
      </c>
      <c r="Q146" t="s">
        <v>55</v>
      </c>
      <c r="R146">
        <v>2005</v>
      </c>
      <c r="S146">
        <v>266.02999999999997</v>
      </c>
      <c r="T146">
        <v>0</v>
      </c>
      <c r="U146">
        <v>0</v>
      </c>
      <c r="V146" t="s">
        <v>6021</v>
      </c>
      <c r="W146" t="s">
        <v>6022</v>
      </c>
      <c r="X146" t="s">
        <v>49</v>
      </c>
      <c r="Y146">
        <v>0</v>
      </c>
      <c r="Z146" t="b">
        <v>0</v>
      </c>
      <c r="AA146">
        <v>879.60004510769465</v>
      </c>
      <c r="AN146" t="e">
        <f>100*(1-E146/AL146)</f>
        <v>#DIV/0!</v>
      </c>
    </row>
    <row r="147" spans="1:40" x14ac:dyDescent="0.3">
      <c r="A147" t="s">
        <v>215</v>
      </c>
      <c r="B147" t="s">
        <v>6023</v>
      </c>
      <c r="C147" t="s">
        <v>6017</v>
      </c>
      <c r="D147" s="4">
        <v>45980</v>
      </c>
      <c r="E147">
        <v>233000</v>
      </c>
      <c r="F147" t="s">
        <v>6024</v>
      </c>
      <c r="G147" t="s">
        <v>459</v>
      </c>
      <c r="H147" t="s">
        <v>94</v>
      </c>
      <c r="I147" t="s">
        <v>460</v>
      </c>
      <c r="J147" t="s">
        <v>449</v>
      </c>
      <c r="K147" t="s">
        <v>6019</v>
      </c>
      <c r="L147" t="s">
        <v>44</v>
      </c>
      <c r="M147" t="s">
        <v>6020</v>
      </c>
      <c r="N147">
        <v>74150</v>
      </c>
      <c r="O147" t="s">
        <v>45</v>
      </c>
      <c r="P147" t="s">
        <v>288</v>
      </c>
      <c r="Q147" t="s">
        <v>55</v>
      </c>
      <c r="R147">
        <v>2005</v>
      </c>
      <c r="S147">
        <v>248.57</v>
      </c>
      <c r="T147">
        <v>0</v>
      </c>
      <c r="U147">
        <v>0</v>
      </c>
      <c r="V147" t="s">
        <v>6021</v>
      </c>
      <c r="W147" t="s">
        <v>6022</v>
      </c>
      <c r="X147" t="s">
        <v>49</v>
      </c>
      <c r="Y147">
        <v>0</v>
      </c>
      <c r="Z147" t="b">
        <v>0</v>
      </c>
      <c r="AA147">
        <v>937.36170897533896</v>
      </c>
      <c r="AN147" t="e">
        <f>100*(1-E147/AL147)</f>
        <v>#DIV/0!</v>
      </c>
    </row>
    <row r="148" spans="1:40" x14ac:dyDescent="0.3">
      <c r="A148" t="s">
        <v>59</v>
      </c>
      <c r="B148" t="s">
        <v>6025</v>
      </c>
      <c r="C148" t="s">
        <v>6026</v>
      </c>
      <c r="D148" s="4">
        <v>45980</v>
      </c>
      <c r="E148">
        <v>110000</v>
      </c>
      <c r="F148" t="s">
        <v>216</v>
      </c>
      <c r="G148" t="s">
        <v>200</v>
      </c>
      <c r="H148" t="s">
        <v>41</v>
      </c>
      <c r="I148" t="s">
        <v>201</v>
      </c>
      <c r="J148" t="s">
        <v>199</v>
      </c>
      <c r="K148" t="s">
        <v>6027</v>
      </c>
      <c r="L148" t="s">
        <v>44</v>
      </c>
      <c r="M148" t="s">
        <v>6028</v>
      </c>
      <c r="N148">
        <v>47042</v>
      </c>
      <c r="O148" t="s">
        <v>45</v>
      </c>
      <c r="P148" t="s">
        <v>54</v>
      </c>
      <c r="Q148" t="s">
        <v>55</v>
      </c>
      <c r="R148">
        <v>2005</v>
      </c>
      <c r="S148">
        <v>104.21</v>
      </c>
      <c r="T148">
        <v>0</v>
      </c>
      <c r="U148">
        <v>0</v>
      </c>
      <c r="V148" t="s">
        <v>6029</v>
      </c>
      <c r="W148">
        <v>44842667</v>
      </c>
      <c r="X148" t="s">
        <v>49</v>
      </c>
      <c r="Y148" t="s">
        <v>6030</v>
      </c>
      <c r="Z148" t="b">
        <v>0</v>
      </c>
      <c r="AA148">
        <v>1055.560886671145</v>
      </c>
      <c r="AN148" t="e">
        <f>100*(1-E148/AL148)</f>
        <v>#DIV/0!</v>
      </c>
    </row>
    <row r="149" spans="1:40" x14ac:dyDescent="0.3">
      <c r="A149" t="s">
        <v>59</v>
      </c>
      <c r="B149" t="s">
        <v>6031</v>
      </c>
      <c r="C149" t="s">
        <v>6026</v>
      </c>
      <c r="D149" s="4">
        <v>45980</v>
      </c>
      <c r="E149">
        <v>25000</v>
      </c>
      <c r="F149" t="s">
        <v>6032</v>
      </c>
      <c r="G149" t="s">
        <v>200</v>
      </c>
      <c r="H149" t="s">
        <v>41</v>
      </c>
      <c r="I149" t="s">
        <v>201</v>
      </c>
      <c r="J149" t="s">
        <v>199</v>
      </c>
      <c r="K149" t="s">
        <v>6027</v>
      </c>
      <c r="L149" t="s">
        <v>44</v>
      </c>
      <c r="M149" t="s">
        <v>6028</v>
      </c>
      <c r="N149">
        <v>47042</v>
      </c>
      <c r="O149" t="s">
        <v>50</v>
      </c>
      <c r="P149" t="s">
        <v>51</v>
      </c>
      <c r="Q149" t="s">
        <v>52</v>
      </c>
      <c r="R149">
        <v>2005</v>
      </c>
      <c r="S149">
        <v>61.32</v>
      </c>
      <c r="T149">
        <v>0</v>
      </c>
      <c r="U149">
        <v>0</v>
      </c>
      <c r="V149" t="s">
        <v>6029</v>
      </c>
      <c r="W149">
        <v>44842667</v>
      </c>
      <c r="X149" t="s">
        <v>49</v>
      </c>
      <c r="Y149" t="s">
        <v>6033</v>
      </c>
      <c r="Z149" t="b">
        <v>0</v>
      </c>
      <c r="AA149">
        <v>407.69732550554471</v>
      </c>
      <c r="AN149" t="e">
        <f>100*(1-E149/AL149)</f>
        <v>#DIV/0!</v>
      </c>
    </row>
    <row r="150" spans="1:40" x14ac:dyDescent="0.3">
      <c r="A150" t="s">
        <v>71</v>
      </c>
      <c r="B150" t="s">
        <v>6164</v>
      </c>
      <c r="C150" t="s">
        <v>6165</v>
      </c>
      <c r="D150" s="4">
        <v>45980</v>
      </c>
      <c r="E150">
        <v>60000</v>
      </c>
      <c r="F150" t="s">
        <v>6166</v>
      </c>
      <c r="G150" t="s">
        <v>1994</v>
      </c>
      <c r="H150" t="s">
        <v>152</v>
      </c>
      <c r="I150" t="s">
        <v>1995</v>
      </c>
      <c r="J150" t="s">
        <v>1996</v>
      </c>
      <c r="K150" t="s">
        <v>6167</v>
      </c>
      <c r="L150" t="s">
        <v>44</v>
      </c>
      <c r="M150" t="s">
        <v>6168</v>
      </c>
      <c r="N150">
        <v>23100</v>
      </c>
      <c r="O150" t="s">
        <v>45</v>
      </c>
      <c r="P150" t="s">
        <v>54</v>
      </c>
      <c r="Q150" t="s">
        <v>85</v>
      </c>
      <c r="R150">
        <v>2006</v>
      </c>
      <c r="S150">
        <v>50.48</v>
      </c>
      <c r="T150">
        <v>0</v>
      </c>
      <c r="U150">
        <v>0</v>
      </c>
      <c r="V150" t="s">
        <v>6169</v>
      </c>
      <c r="W150" t="s">
        <v>6170</v>
      </c>
      <c r="X150" t="s">
        <v>49</v>
      </c>
      <c r="Y150" t="s">
        <v>6171</v>
      </c>
      <c r="Z150" t="b">
        <v>0</v>
      </c>
      <c r="AA150">
        <v>1188.589540412044</v>
      </c>
      <c r="AN150" t="e">
        <f>100*(1-E150/AL150)</f>
        <v>#DIV/0!</v>
      </c>
    </row>
    <row r="151" spans="1:40" x14ac:dyDescent="0.3">
      <c r="A151" t="s">
        <v>71</v>
      </c>
      <c r="B151" t="s">
        <v>6172</v>
      </c>
      <c r="C151" t="s">
        <v>6165</v>
      </c>
      <c r="D151" s="4">
        <v>45980</v>
      </c>
      <c r="E151">
        <v>3200</v>
      </c>
      <c r="F151" t="s">
        <v>243</v>
      </c>
      <c r="G151" t="s">
        <v>1994</v>
      </c>
      <c r="H151" t="s">
        <v>152</v>
      </c>
      <c r="I151" t="s">
        <v>1995</v>
      </c>
      <c r="J151" t="s">
        <v>1996</v>
      </c>
      <c r="K151" t="s">
        <v>6167</v>
      </c>
      <c r="L151" t="s">
        <v>44</v>
      </c>
      <c r="M151" t="s">
        <v>6168</v>
      </c>
      <c r="N151">
        <v>23100</v>
      </c>
      <c r="O151" t="s">
        <v>45</v>
      </c>
      <c r="P151" t="s">
        <v>46</v>
      </c>
      <c r="Q151" t="s">
        <v>47</v>
      </c>
      <c r="R151">
        <v>2006</v>
      </c>
      <c r="S151">
        <v>9</v>
      </c>
      <c r="T151">
        <v>0</v>
      </c>
      <c r="U151">
        <v>0</v>
      </c>
      <c r="V151" t="s">
        <v>6169</v>
      </c>
      <c r="W151" t="s">
        <v>6170</v>
      </c>
      <c r="X151" t="s">
        <v>49</v>
      </c>
      <c r="Y151" t="s">
        <v>6173</v>
      </c>
      <c r="Z151" t="b">
        <v>0</v>
      </c>
      <c r="AA151">
        <v>355.55555555555549</v>
      </c>
      <c r="AN151" t="e">
        <f>100*(1-E151/AL151)</f>
        <v>#DIV/0!</v>
      </c>
    </row>
    <row r="152" spans="1:40" x14ac:dyDescent="0.3">
      <c r="A152" t="s">
        <v>59</v>
      </c>
      <c r="B152" t="s">
        <v>6174</v>
      </c>
      <c r="C152" t="s">
        <v>6175</v>
      </c>
      <c r="D152" s="4">
        <v>45980</v>
      </c>
      <c r="E152">
        <v>42000</v>
      </c>
      <c r="F152" t="s">
        <v>3262</v>
      </c>
      <c r="G152" t="s">
        <v>1994</v>
      </c>
      <c r="H152" t="s">
        <v>152</v>
      </c>
      <c r="I152" t="s">
        <v>1995</v>
      </c>
      <c r="J152" t="s">
        <v>1996</v>
      </c>
      <c r="K152" t="s">
        <v>6176</v>
      </c>
      <c r="L152" t="s">
        <v>44</v>
      </c>
      <c r="M152" t="s">
        <v>6177</v>
      </c>
      <c r="N152">
        <v>23100</v>
      </c>
      <c r="O152" t="s">
        <v>45</v>
      </c>
      <c r="P152" t="s">
        <v>54</v>
      </c>
      <c r="Q152" t="s">
        <v>100</v>
      </c>
      <c r="R152">
        <v>2006</v>
      </c>
      <c r="S152">
        <v>31.3</v>
      </c>
      <c r="T152">
        <v>0</v>
      </c>
      <c r="U152">
        <v>0</v>
      </c>
      <c r="V152" t="s">
        <v>6178</v>
      </c>
      <c r="W152" t="s">
        <v>6170</v>
      </c>
      <c r="X152" t="s">
        <v>49</v>
      </c>
      <c r="Y152" t="s">
        <v>6179</v>
      </c>
      <c r="Z152" t="b">
        <v>0</v>
      </c>
      <c r="AA152">
        <v>1341.8530351437701</v>
      </c>
      <c r="AN152" t="e">
        <f>100*(1-E152/AL152)</f>
        <v>#DIV/0!</v>
      </c>
    </row>
    <row r="153" spans="1:40" x14ac:dyDescent="0.3">
      <c r="A153" t="s">
        <v>59</v>
      </c>
      <c r="B153" t="s">
        <v>6180</v>
      </c>
      <c r="C153" t="s">
        <v>6175</v>
      </c>
      <c r="D153" s="4">
        <v>45980</v>
      </c>
      <c r="E153">
        <v>56000</v>
      </c>
      <c r="F153" t="s">
        <v>337</v>
      </c>
      <c r="G153" t="s">
        <v>1994</v>
      </c>
      <c r="H153" t="s">
        <v>152</v>
      </c>
      <c r="I153" t="s">
        <v>1995</v>
      </c>
      <c r="J153" t="s">
        <v>1996</v>
      </c>
      <c r="K153" t="s">
        <v>6176</v>
      </c>
      <c r="L153" t="s">
        <v>44</v>
      </c>
      <c r="M153" t="s">
        <v>6177</v>
      </c>
      <c r="N153">
        <v>23100</v>
      </c>
      <c r="O153" t="s">
        <v>45</v>
      </c>
      <c r="P153" t="s">
        <v>54</v>
      </c>
      <c r="Q153" t="s">
        <v>100</v>
      </c>
      <c r="R153">
        <v>2006</v>
      </c>
      <c r="S153">
        <v>41.7</v>
      </c>
      <c r="T153">
        <v>0</v>
      </c>
      <c r="U153">
        <v>0</v>
      </c>
      <c r="V153" t="s">
        <v>6178</v>
      </c>
      <c r="W153" t="s">
        <v>6170</v>
      </c>
      <c r="X153" t="s">
        <v>49</v>
      </c>
      <c r="Y153" t="s">
        <v>6181</v>
      </c>
      <c r="Z153" t="b">
        <v>0</v>
      </c>
      <c r="AA153">
        <v>1342.925659472422</v>
      </c>
      <c r="AN153" t="e">
        <f>100*(1-E153/AL153)</f>
        <v>#DIV/0!</v>
      </c>
    </row>
    <row r="154" spans="1:40" x14ac:dyDescent="0.3">
      <c r="A154" t="s">
        <v>59</v>
      </c>
      <c r="B154" t="s">
        <v>6182</v>
      </c>
      <c r="C154" t="s">
        <v>6175</v>
      </c>
      <c r="D154" s="4">
        <v>45980</v>
      </c>
      <c r="E154">
        <v>61000</v>
      </c>
      <c r="F154" t="s">
        <v>2061</v>
      </c>
      <c r="G154" t="s">
        <v>1994</v>
      </c>
      <c r="H154" t="s">
        <v>152</v>
      </c>
      <c r="I154" t="s">
        <v>1995</v>
      </c>
      <c r="J154" t="s">
        <v>1996</v>
      </c>
      <c r="K154" t="s">
        <v>6176</v>
      </c>
      <c r="L154" t="s">
        <v>44</v>
      </c>
      <c r="M154" t="s">
        <v>6177</v>
      </c>
      <c r="N154">
        <v>23100</v>
      </c>
      <c r="O154" t="s">
        <v>45</v>
      </c>
      <c r="P154" t="s">
        <v>54</v>
      </c>
      <c r="Q154" t="s">
        <v>100</v>
      </c>
      <c r="R154">
        <v>2006</v>
      </c>
      <c r="S154">
        <v>45.15</v>
      </c>
      <c r="T154">
        <v>0</v>
      </c>
      <c r="U154">
        <v>0</v>
      </c>
      <c r="V154" t="s">
        <v>6178</v>
      </c>
      <c r="W154" t="s">
        <v>6170</v>
      </c>
      <c r="X154" t="s">
        <v>49</v>
      </c>
      <c r="Y154" t="s">
        <v>6183</v>
      </c>
      <c r="Z154" t="b">
        <v>0</v>
      </c>
      <c r="AA154">
        <v>1351.0520487264671</v>
      </c>
      <c r="AN154" t="e">
        <f>100*(1-E154/AL154)</f>
        <v>#DIV/0!</v>
      </c>
    </row>
    <row r="155" spans="1:40" x14ac:dyDescent="0.3">
      <c r="A155" t="s">
        <v>215</v>
      </c>
      <c r="B155" t="s">
        <v>6184</v>
      </c>
      <c r="C155" t="s">
        <v>712</v>
      </c>
      <c r="D155" s="4">
        <v>45980</v>
      </c>
      <c r="E155">
        <v>250000</v>
      </c>
      <c r="F155" t="s">
        <v>461</v>
      </c>
      <c r="G155" t="s">
        <v>263</v>
      </c>
      <c r="H155" t="s">
        <v>67</v>
      </c>
      <c r="I155" t="s">
        <v>264</v>
      </c>
      <c r="J155" t="s">
        <v>67</v>
      </c>
      <c r="K155" t="s">
        <v>713</v>
      </c>
      <c r="L155" t="s">
        <v>44</v>
      </c>
      <c r="M155" t="s">
        <v>714</v>
      </c>
      <c r="N155">
        <v>15126</v>
      </c>
      <c r="O155" t="s">
        <v>45</v>
      </c>
      <c r="P155" t="s">
        <v>54</v>
      </c>
      <c r="Q155" t="s">
        <v>64</v>
      </c>
      <c r="R155">
        <v>2006</v>
      </c>
      <c r="S155">
        <v>94.5</v>
      </c>
      <c r="T155">
        <v>0</v>
      </c>
      <c r="U155">
        <v>0</v>
      </c>
      <c r="V155" t="s">
        <v>715</v>
      </c>
      <c r="W155">
        <v>30617490</v>
      </c>
      <c r="X155" t="s">
        <v>49</v>
      </c>
      <c r="Y155" t="s">
        <v>6185</v>
      </c>
      <c r="Z155" t="b">
        <v>0</v>
      </c>
      <c r="AA155">
        <v>2645.502645502645</v>
      </c>
      <c r="AN155" t="e">
        <f>100*(1-E155/AL155)</f>
        <v>#DIV/0!</v>
      </c>
    </row>
    <row r="156" spans="1:40" x14ac:dyDescent="0.3">
      <c r="A156" t="s">
        <v>215</v>
      </c>
      <c r="B156" t="s">
        <v>6186</v>
      </c>
      <c r="C156" t="s">
        <v>712</v>
      </c>
      <c r="D156" s="4">
        <v>45980</v>
      </c>
      <c r="E156">
        <v>5000</v>
      </c>
      <c r="F156" t="s">
        <v>6003</v>
      </c>
      <c r="G156" t="s">
        <v>263</v>
      </c>
      <c r="H156" t="s">
        <v>67</v>
      </c>
      <c r="I156" t="s">
        <v>264</v>
      </c>
      <c r="J156" t="s">
        <v>67</v>
      </c>
      <c r="K156" t="s">
        <v>713</v>
      </c>
      <c r="L156" t="s">
        <v>44</v>
      </c>
      <c r="M156" t="s">
        <v>714</v>
      </c>
      <c r="N156">
        <v>15126</v>
      </c>
      <c r="O156" t="s">
        <v>45</v>
      </c>
      <c r="P156" t="s">
        <v>46</v>
      </c>
      <c r="Q156" t="s">
        <v>47</v>
      </c>
      <c r="R156">
        <v>2006</v>
      </c>
      <c r="S156">
        <v>9.6</v>
      </c>
      <c r="T156">
        <v>0</v>
      </c>
      <c r="U156">
        <v>0</v>
      </c>
      <c r="V156" t="s">
        <v>715</v>
      </c>
      <c r="W156">
        <v>30617490</v>
      </c>
      <c r="X156" t="s">
        <v>49</v>
      </c>
      <c r="Y156" t="s">
        <v>6187</v>
      </c>
      <c r="Z156" t="b">
        <v>0</v>
      </c>
      <c r="AA156">
        <v>520.83333333333337</v>
      </c>
      <c r="AN156" t="e">
        <f>100*(1-E156/AL156)</f>
        <v>#DIV/0!</v>
      </c>
    </row>
    <row r="157" spans="1:40" x14ac:dyDescent="0.3">
      <c r="A157" t="s">
        <v>183</v>
      </c>
      <c r="B157" t="s">
        <v>6286</v>
      </c>
      <c r="C157" t="s">
        <v>6286</v>
      </c>
      <c r="D157" s="4">
        <v>45980</v>
      </c>
      <c r="E157">
        <v>61574</v>
      </c>
      <c r="F157" t="s">
        <v>6287</v>
      </c>
      <c r="G157" t="s">
        <v>425</v>
      </c>
      <c r="H157" t="s">
        <v>230</v>
      </c>
      <c r="I157" t="s">
        <v>426</v>
      </c>
      <c r="J157" t="s">
        <v>426</v>
      </c>
      <c r="K157" t="s">
        <v>6288</v>
      </c>
      <c r="L157" t="s">
        <v>44</v>
      </c>
      <c r="M157" t="s">
        <v>6289</v>
      </c>
      <c r="N157">
        <v>67100</v>
      </c>
      <c r="O157" t="s">
        <v>45</v>
      </c>
      <c r="P157" t="s">
        <v>54</v>
      </c>
      <c r="Q157" t="s">
        <v>55</v>
      </c>
      <c r="R157">
        <v>2007</v>
      </c>
      <c r="S157">
        <v>37.299999999999997</v>
      </c>
      <c r="T157">
        <v>0</v>
      </c>
      <c r="U157">
        <v>0</v>
      </c>
      <c r="V157" t="s">
        <v>6290</v>
      </c>
      <c r="W157">
        <v>44222640</v>
      </c>
      <c r="X157" t="s">
        <v>49</v>
      </c>
      <c r="Y157" t="s">
        <v>6291</v>
      </c>
      <c r="Z157" t="b">
        <v>0</v>
      </c>
      <c r="AA157">
        <v>1650.777479892761</v>
      </c>
      <c r="AN157" t="e">
        <f>100*(1-E157/AL157)</f>
        <v>#DIV/0!</v>
      </c>
    </row>
    <row r="158" spans="1:40" x14ac:dyDescent="0.3">
      <c r="A158" t="s">
        <v>59</v>
      </c>
      <c r="B158" t="s">
        <v>6292</v>
      </c>
      <c r="C158" t="s">
        <v>6175</v>
      </c>
      <c r="D158" s="4">
        <v>45980</v>
      </c>
      <c r="E158">
        <v>67000</v>
      </c>
      <c r="F158" t="s">
        <v>6293</v>
      </c>
      <c r="G158" t="s">
        <v>1994</v>
      </c>
      <c r="H158" t="s">
        <v>152</v>
      </c>
      <c r="I158" t="s">
        <v>1995</v>
      </c>
      <c r="J158" t="s">
        <v>1996</v>
      </c>
      <c r="K158" t="s">
        <v>6294</v>
      </c>
      <c r="L158" t="s">
        <v>44</v>
      </c>
      <c r="M158" t="s">
        <v>6295</v>
      </c>
      <c r="N158">
        <v>23100</v>
      </c>
      <c r="O158" t="s">
        <v>45</v>
      </c>
      <c r="P158" t="s">
        <v>288</v>
      </c>
      <c r="Q158" t="s">
        <v>85</v>
      </c>
      <c r="R158">
        <v>2007</v>
      </c>
      <c r="S158">
        <v>52.8</v>
      </c>
      <c r="T158">
        <v>0</v>
      </c>
      <c r="U158">
        <v>0</v>
      </c>
      <c r="V158" t="s">
        <v>6296</v>
      </c>
      <c r="W158">
        <v>37471376</v>
      </c>
      <c r="X158" t="s">
        <v>49</v>
      </c>
      <c r="Y158" t="s">
        <v>6297</v>
      </c>
      <c r="Z158" t="b">
        <v>0</v>
      </c>
      <c r="AA158">
        <v>1268.939393939394</v>
      </c>
      <c r="AN158" t="e">
        <f>100*(1-E158/AL158)</f>
        <v>#DIV/0!</v>
      </c>
    </row>
    <row r="159" spans="1:40" x14ac:dyDescent="0.3">
      <c r="A159" t="s">
        <v>71</v>
      </c>
      <c r="B159" t="s">
        <v>6298</v>
      </c>
      <c r="C159" t="s">
        <v>6298</v>
      </c>
      <c r="D159" s="4">
        <v>45980</v>
      </c>
      <c r="E159">
        <v>47000</v>
      </c>
      <c r="F159" t="s">
        <v>6299</v>
      </c>
      <c r="G159" t="s">
        <v>1994</v>
      </c>
      <c r="H159" t="s">
        <v>152</v>
      </c>
      <c r="I159" t="s">
        <v>1995</v>
      </c>
      <c r="J159" t="s">
        <v>1996</v>
      </c>
      <c r="K159" t="s">
        <v>6300</v>
      </c>
      <c r="L159" t="s">
        <v>44</v>
      </c>
      <c r="M159" t="s">
        <v>6301</v>
      </c>
      <c r="N159">
        <v>23054</v>
      </c>
      <c r="O159" t="s">
        <v>50</v>
      </c>
      <c r="P159" t="s">
        <v>289</v>
      </c>
      <c r="Q159" t="s">
        <v>52</v>
      </c>
      <c r="R159">
        <v>2007</v>
      </c>
      <c r="S159">
        <v>300</v>
      </c>
      <c r="T159">
        <v>0</v>
      </c>
      <c r="U159">
        <v>0</v>
      </c>
      <c r="V159" t="s">
        <v>6302</v>
      </c>
      <c r="W159">
        <v>21886305</v>
      </c>
      <c r="X159" t="s">
        <v>49</v>
      </c>
      <c r="Y159" t="s">
        <v>6303</v>
      </c>
      <c r="Z159" t="b">
        <v>0</v>
      </c>
      <c r="AA159">
        <v>156.66666666666671</v>
      </c>
      <c r="AN159" t="e">
        <f>100*(1-E159/AL159)</f>
        <v>#DIV/0!</v>
      </c>
    </row>
    <row r="160" spans="1:40" x14ac:dyDescent="0.3">
      <c r="A160" t="s">
        <v>71</v>
      </c>
      <c r="B160" t="s">
        <v>6304</v>
      </c>
      <c r="C160" t="s">
        <v>531</v>
      </c>
      <c r="D160" s="4">
        <v>45980</v>
      </c>
      <c r="E160">
        <v>100000</v>
      </c>
      <c r="F160" t="s">
        <v>109</v>
      </c>
      <c r="G160" t="s">
        <v>372</v>
      </c>
      <c r="H160" t="s">
        <v>152</v>
      </c>
      <c r="I160" t="s">
        <v>373</v>
      </c>
      <c r="J160" t="s">
        <v>172</v>
      </c>
      <c r="K160" t="s">
        <v>533</v>
      </c>
      <c r="L160" t="s">
        <v>44</v>
      </c>
      <c r="M160" t="s">
        <v>6305</v>
      </c>
      <c r="N160">
        <v>21300</v>
      </c>
      <c r="O160" t="s">
        <v>45</v>
      </c>
      <c r="P160" t="s">
        <v>54</v>
      </c>
      <c r="Q160" t="s">
        <v>52</v>
      </c>
      <c r="R160">
        <v>2007</v>
      </c>
      <c r="S160">
        <v>77.849999999999994</v>
      </c>
      <c r="T160">
        <v>0</v>
      </c>
      <c r="U160">
        <v>0</v>
      </c>
      <c r="V160" t="s">
        <v>535</v>
      </c>
      <c r="W160">
        <v>107382765</v>
      </c>
      <c r="X160" t="s">
        <v>49</v>
      </c>
      <c r="Y160" t="s">
        <v>536</v>
      </c>
      <c r="Z160" t="b">
        <v>0</v>
      </c>
      <c r="AA160">
        <v>1284.5215157353889</v>
      </c>
      <c r="AN160" t="e">
        <f>100*(1-E160/AL160)</f>
        <v>#DIV/0!</v>
      </c>
    </row>
    <row r="161" spans="1:40" x14ac:dyDescent="0.3">
      <c r="A161" t="s">
        <v>59</v>
      </c>
      <c r="B161" t="s">
        <v>6306</v>
      </c>
      <c r="C161" t="s">
        <v>6175</v>
      </c>
      <c r="D161" s="4">
        <v>45980</v>
      </c>
      <c r="E161">
        <v>126000</v>
      </c>
      <c r="F161" t="s">
        <v>403</v>
      </c>
      <c r="G161" t="s">
        <v>1994</v>
      </c>
      <c r="H161" t="s">
        <v>152</v>
      </c>
      <c r="I161" t="s">
        <v>1995</v>
      </c>
      <c r="J161" t="s">
        <v>1996</v>
      </c>
      <c r="K161" t="s">
        <v>6294</v>
      </c>
      <c r="L161" t="s">
        <v>44</v>
      </c>
      <c r="M161" t="s">
        <v>6295</v>
      </c>
      <c r="N161">
        <v>23100</v>
      </c>
      <c r="O161" t="s">
        <v>45</v>
      </c>
      <c r="P161" t="s">
        <v>54</v>
      </c>
      <c r="Q161" t="s">
        <v>55</v>
      </c>
      <c r="R161">
        <v>2007</v>
      </c>
      <c r="S161">
        <v>111.9</v>
      </c>
      <c r="T161">
        <v>0</v>
      </c>
      <c r="U161">
        <v>0</v>
      </c>
      <c r="V161" t="s">
        <v>6296</v>
      </c>
      <c r="W161">
        <v>37471376</v>
      </c>
      <c r="X161" t="s">
        <v>49</v>
      </c>
      <c r="Y161" t="s">
        <v>6307</v>
      </c>
      <c r="Z161" t="b">
        <v>0</v>
      </c>
      <c r="AA161">
        <v>1126.0053619302951</v>
      </c>
      <c r="AN161" t="e">
        <f>100*(1-E161/AL161)</f>
        <v>#DIV/0!</v>
      </c>
    </row>
    <row r="162" spans="1:40" x14ac:dyDescent="0.3">
      <c r="A162" t="s">
        <v>59</v>
      </c>
      <c r="B162" t="s">
        <v>6308</v>
      </c>
      <c r="C162" t="s">
        <v>6308</v>
      </c>
      <c r="D162" s="4">
        <v>45980</v>
      </c>
      <c r="E162">
        <v>95000</v>
      </c>
      <c r="F162" t="s">
        <v>6309</v>
      </c>
      <c r="G162" t="s">
        <v>6310</v>
      </c>
      <c r="H162" t="s">
        <v>152</v>
      </c>
      <c r="I162" t="s">
        <v>5328</v>
      </c>
      <c r="J162" t="s">
        <v>1996</v>
      </c>
      <c r="K162" t="s">
        <v>6311</v>
      </c>
      <c r="L162" t="s">
        <v>44</v>
      </c>
      <c r="M162" t="s">
        <v>6312</v>
      </c>
      <c r="N162">
        <v>23070</v>
      </c>
      <c r="O162" t="s">
        <v>45</v>
      </c>
      <c r="P162" t="s">
        <v>81</v>
      </c>
      <c r="Q162" t="s">
        <v>52</v>
      </c>
      <c r="R162">
        <v>2007</v>
      </c>
      <c r="S162">
        <v>87.44</v>
      </c>
      <c r="T162">
        <v>0</v>
      </c>
      <c r="U162">
        <v>0</v>
      </c>
      <c r="V162" t="s">
        <v>6313</v>
      </c>
      <c r="W162">
        <v>50733652</v>
      </c>
      <c r="X162" t="s">
        <v>49</v>
      </c>
      <c r="Y162">
        <v>300380605018</v>
      </c>
      <c r="Z162" t="b">
        <v>0</v>
      </c>
      <c r="AA162">
        <v>1086.4592863677949</v>
      </c>
      <c r="AN162" t="e">
        <f>100*(1-E162/AL162)</f>
        <v>#DIV/0!</v>
      </c>
    </row>
    <row r="163" spans="1:40" x14ac:dyDescent="0.3">
      <c r="A163" t="s">
        <v>39</v>
      </c>
      <c r="B163" t="s">
        <v>6314</v>
      </c>
      <c r="C163" t="s">
        <v>6315</v>
      </c>
      <c r="D163" s="4">
        <v>45980</v>
      </c>
      <c r="E163">
        <v>86000</v>
      </c>
      <c r="F163" t="s">
        <v>1251</v>
      </c>
      <c r="G163" t="s">
        <v>459</v>
      </c>
      <c r="H163" t="s">
        <v>94</v>
      </c>
      <c r="I163" t="s">
        <v>460</v>
      </c>
      <c r="J163" t="s">
        <v>449</v>
      </c>
      <c r="K163" t="s">
        <v>6316</v>
      </c>
      <c r="L163" t="s">
        <v>44</v>
      </c>
      <c r="M163" t="s">
        <v>6317</v>
      </c>
      <c r="N163">
        <v>74131</v>
      </c>
      <c r="O163" t="s">
        <v>45</v>
      </c>
      <c r="P163" t="s">
        <v>54</v>
      </c>
      <c r="Q163" t="s">
        <v>55</v>
      </c>
      <c r="R163">
        <v>2007</v>
      </c>
      <c r="S163">
        <v>42.72</v>
      </c>
      <c r="T163">
        <v>0</v>
      </c>
      <c r="U163">
        <v>0</v>
      </c>
      <c r="V163" t="s">
        <v>6318</v>
      </c>
      <c r="W163">
        <v>113633815</v>
      </c>
      <c r="X163" t="s">
        <v>49</v>
      </c>
      <c r="Y163" t="s">
        <v>6319</v>
      </c>
      <c r="Z163" t="b">
        <v>0</v>
      </c>
      <c r="AA163">
        <v>2013.1086142322099</v>
      </c>
      <c r="AN163" t="e">
        <f>100*(1-E163/AL163)</f>
        <v>#DIV/0!</v>
      </c>
    </row>
    <row r="164" spans="1:40" x14ac:dyDescent="0.3">
      <c r="A164" t="s">
        <v>59</v>
      </c>
      <c r="B164" t="s">
        <v>6320</v>
      </c>
      <c r="C164" t="s">
        <v>6320</v>
      </c>
      <c r="D164" s="4">
        <v>45980</v>
      </c>
      <c r="E164">
        <v>334000</v>
      </c>
      <c r="F164" t="s">
        <v>6321</v>
      </c>
      <c r="G164" t="s">
        <v>254</v>
      </c>
      <c r="H164" t="s">
        <v>124</v>
      </c>
      <c r="I164" t="s">
        <v>255</v>
      </c>
      <c r="J164" t="s">
        <v>256</v>
      </c>
      <c r="K164" t="s">
        <v>6322</v>
      </c>
      <c r="L164" t="s">
        <v>44</v>
      </c>
      <c r="M164" t="s">
        <v>6323</v>
      </c>
      <c r="N164">
        <v>30150</v>
      </c>
      <c r="O164" t="s">
        <v>45</v>
      </c>
      <c r="P164" t="s">
        <v>182</v>
      </c>
      <c r="Q164" t="s">
        <v>85</v>
      </c>
      <c r="R164">
        <v>2007</v>
      </c>
      <c r="S164">
        <v>229.92</v>
      </c>
      <c r="T164">
        <v>0</v>
      </c>
      <c r="U164">
        <v>0</v>
      </c>
      <c r="V164" t="s">
        <v>6324</v>
      </c>
      <c r="W164">
        <v>25817980</v>
      </c>
      <c r="X164" t="s">
        <v>49</v>
      </c>
      <c r="Y164" t="s">
        <v>6325</v>
      </c>
      <c r="Z164" t="b">
        <v>0</v>
      </c>
      <c r="AA164">
        <v>1452.6791927627</v>
      </c>
      <c r="AN164" t="e">
        <f>100*(1-E164/AL164)</f>
        <v>#DIV/0!</v>
      </c>
    </row>
    <row r="165" spans="1:40" x14ac:dyDescent="0.3">
      <c r="A165" t="s">
        <v>183</v>
      </c>
      <c r="B165" t="s">
        <v>6326</v>
      </c>
      <c r="C165" t="s">
        <v>4993</v>
      </c>
      <c r="D165" s="4">
        <v>45980</v>
      </c>
      <c r="E165">
        <v>56000</v>
      </c>
      <c r="F165" t="s">
        <v>6327</v>
      </c>
      <c r="G165" t="s">
        <v>4995</v>
      </c>
      <c r="H165" t="s">
        <v>94</v>
      </c>
      <c r="I165" t="s">
        <v>105</v>
      </c>
      <c r="J165" t="s">
        <v>105</v>
      </c>
      <c r="K165" t="s">
        <v>6328</v>
      </c>
      <c r="L165" t="s">
        <v>44</v>
      </c>
      <c r="M165" t="s">
        <v>6329</v>
      </c>
      <c r="N165">
        <v>73100</v>
      </c>
      <c r="O165" t="s">
        <v>45</v>
      </c>
      <c r="P165" t="s">
        <v>81</v>
      </c>
      <c r="Q165" t="s">
        <v>52</v>
      </c>
      <c r="R165">
        <v>2007</v>
      </c>
      <c r="S165">
        <v>45</v>
      </c>
      <c r="T165">
        <v>0</v>
      </c>
      <c r="U165">
        <v>0</v>
      </c>
      <c r="V165" t="s">
        <v>708</v>
      </c>
      <c r="W165">
        <v>42410236</v>
      </c>
      <c r="X165" t="s">
        <v>49</v>
      </c>
      <c r="Y165" t="s">
        <v>6330</v>
      </c>
      <c r="Z165" t="b">
        <v>0</v>
      </c>
      <c r="AA165">
        <v>1244.4444444444439</v>
      </c>
      <c r="AN165" t="e">
        <f>100*(1-E165/AL165)</f>
        <v>#DIV/0!</v>
      </c>
    </row>
    <row r="166" spans="1:40" x14ac:dyDescent="0.3">
      <c r="A166" t="s">
        <v>215</v>
      </c>
      <c r="B166" t="s">
        <v>6418</v>
      </c>
      <c r="C166" t="s">
        <v>6418</v>
      </c>
      <c r="D166" s="4">
        <v>45980</v>
      </c>
      <c r="E166">
        <v>489000</v>
      </c>
      <c r="F166" t="s">
        <v>6419</v>
      </c>
      <c r="G166" t="s">
        <v>539</v>
      </c>
      <c r="H166" t="s">
        <v>136</v>
      </c>
      <c r="I166" t="s">
        <v>540</v>
      </c>
      <c r="J166" t="s">
        <v>149</v>
      </c>
      <c r="K166" t="s">
        <v>6420</v>
      </c>
      <c r="L166" t="s">
        <v>44</v>
      </c>
      <c r="M166" t="s">
        <v>6421</v>
      </c>
      <c r="N166">
        <v>40003</v>
      </c>
      <c r="O166" t="s">
        <v>331</v>
      </c>
      <c r="P166" t="s">
        <v>331</v>
      </c>
      <c r="Q166" t="s">
        <v>55</v>
      </c>
      <c r="R166">
        <v>2008</v>
      </c>
      <c r="S166">
        <v>671.61</v>
      </c>
      <c r="T166">
        <v>0</v>
      </c>
      <c r="U166">
        <v>0</v>
      </c>
      <c r="V166" t="s">
        <v>6422</v>
      </c>
      <c r="W166" t="s">
        <v>6423</v>
      </c>
      <c r="X166" t="s">
        <v>49</v>
      </c>
      <c r="Y166" t="s">
        <v>6424</v>
      </c>
      <c r="Z166" t="b">
        <v>0</v>
      </c>
      <c r="AA166">
        <v>728.10113012015904</v>
      </c>
      <c r="AN166" t="e">
        <f>100*(1-E166/AL166)</f>
        <v>#DIV/0!</v>
      </c>
    </row>
    <row r="167" spans="1:40" x14ac:dyDescent="0.3">
      <c r="A167" t="s">
        <v>59</v>
      </c>
      <c r="B167" t="s">
        <v>6425</v>
      </c>
      <c r="C167" t="s">
        <v>6425</v>
      </c>
      <c r="D167" s="4">
        <v>45980</v>
      </c>
      <c r="E167">
        <v>133000</v>
      </c>
      <c r="F167" t="s">
        <v>6426</v>
      </c>
      <c r="G167" t="s">
        <v>147</v>
      </c>
      <c r="H167" t="s">
        <v>136</v>
      </c>
      <c r="I167" t="s">
        <v>148</v>
      </c>
      <c r="J167" t="s">
        <v>149</v>
      </c>
      <c r="K167" t="s">
        <v>6427</v>
      </c>
      <c r="L167" t="s">
        <v>44</v>
      </c>
      <c r="M167" t="s">
        <v>6428</v>
      </c>
      <c r="N167">
        <v>41336</v>
      </c>
      <c r="O167" t="s">
        <v>45</v>
      </c>
      <c r="P167" t="s">
        <v>81</v>
      </c>
      <c r="Q167" t="s">
        <v>55</v>
      </c>
      <c r="R167">
        <v>2008</v>
      </c>
      <c r="S167">
        <v>270.83999999999997</v>
      </c>
      <c r="T167">
        <v>0</v>
      </c>
      <c r="U167">
        <v>0</v>
      </c>
      <c r="V167" t="s">
        <v>6429</v>
      </c>
      <c r="W167" t="s">
        <v>6430</v>
      </c>
      <c r="X167" t="s">
        <v>49</v>
      </c>
      <c r="Y167" t="s">
        <v>6431</v>
      </c>
      <c r="Z167" t="b">
        <v>0</v>
      </c>
      <c r="AA167">
        <v>491.06483532713048</v>
      </c>
      <c r="AN167" t="e">
        <f>100*(1-E167/AL167)</f>
        <v>#DIV/0!</v>
      </c>
    </row>
    <row r="168" spans="1:40" x14ac:dyDescent="0.3">
      <c r="A168" t="s">
        <v>39</v>
      </c>
      <c r="B168" t="s">
        <v>6315</v>
      </c>
      <c r="C168" t="s">
        <v>6315</v>
      </c>
      <c r="D168" s="4">
        <v>45980</v>
      </c>
      <c r="E168">
        <v>136000</v>
      </c>
      <c r="F168" t="s">
        <v>6503</v>
      </c>
      <c r="G168" t="s">
        <v>459</v>
      </c>
      <c r="H168" t="s">
        <v>94</v>
      </c>
      <c r="I168" t="s">
        <v>460</v>
      </c>
      <c r="J168" t="s">
        <v>449</v>
      </c>
      <c r="K168" t="s">
        <v>6316</v>
      </c>
      <c r="L168" t="s">
        <v>44</v>
      </c>
      <c r="M168" t="s">
        <v>6317</v>
      </c>
      <c r="N168">
        <v>74131</v>
      </c>
      <c r="O168" t="s">
        <v>45</v>
      </c>
      <c r="P168" t="s">
        <v>288</v>
      </c>
      <c r="Q168" t="s">
        <v>52</v>
      </c>
      <c r="R168">
        <v>2009</v>
      </c>
      <c r="S168">
        <v>112.86</v>
      </c>
      <c r="T168">
        <v>0</v>
      </c>
      <c r="U168">
        <v>0</v>
      </c>
      <c r="V168" t="s">
        <v>6318</v>
      </c>
      <c r="W168">
        <v>113633815</v>
      </c>
      <c r="X168" t="s">
        <v>49</v>
      </c>
      <c r="Y168" t="s">
        <v>6504</v>
      </c>
      <c r="Z168" t="b">
        <v>0</v>
      </c>
      <c r="AA168">
        <v>1205.0327839801521</v>
      </c>
      <c r="AN168" t="e">
        <f>100*(1-E168/AL168)</f>
        <v>#DIV/0!</v>
      </c>
    </row>
    <row r="169" spans="1:40" x14ac:dyDescent="0.3">
      <c r="A169" t="s">
        <v>59</v>
      </c>
      <c r="B169" t="s">
        <v>6505</v>
      </c>
      <c r="C169" t="s">
        <v>6505</v>
      </c>
      <c r="D169" s="4">
        <v>45980</v>
      </c>
      <c r="E169">
        <v>220000</v>
      </c>
      <c r="F169" t="s">
        <v>6506</v>
      </c>
      <c r="G169" t="s">
        <v>453</v>
      </c>
      <c r="H169" t="s">
        <v>152</v>
      </c>
      <c r="I169" t="s">
        <v>423</v>
      </c>
      <c r="J169" t="s">
        <v>221</v>
      </c>
      <c r="K169" t="s">
        <v>6507</v>
      </c>
      <c r="L169" t="s">
        <v>44</v>
      </c>
      <c r="M169" t="s">
        <v>6508</v>
      </c>
      <c r="N169">
        <v>20400</v>
      </c>
      <c r="O169" t="s">
        <v>45</v>
      </c>
      <c r="P169" t="s">
        <v>81</v>
      </c>
      <c r="Q169" t="s">
        <v>52</v>
      </c>
      <c r="R169">
        <v>2009</v>
      </c>
      <c r="S169">
        <v>270.33999999999997</v>
      </c>
      <c r="T169">
        <v>0</v>
      </c>
      <c r="U169">
        <v>0</v>
      </c>
      <c r="V169" t="s">
        <v>6509</v>
      </c>
      <c r="W169">
        <v>105504532</v>
      </c>
      <c r="X169" t="s">
        <v>86</v>
      </c>
      <c r="Y169" t="s">
        <v>6510</v>
      </c>
      <c r="Z169" t="b">
        <v>0</v>
      </c>
      <c r="AA169">
        <v>813.7900421691204</v>
      </c>
      <c r="AN169" t="e">
        <f>100*(1-E169/AL169)</f>
        <v>#DIV/0!</v>
      </c>
    </row>
    <row r="170" spans="1:40" x14ac:dyDescent="0.3">
      <c r="A170" t="s">
        <v>39</v>
      </c>
      <c r="B170" t="s">
        <v>6511</v>
      </c>
      <c r="C170" t="s">
        <v>6315</v>
      </c>
      <c r="D170" s="4">
        <v>45980</v>
      </c>
      <c r="E170">
        <v>136000</v>
      </c>
      <c r="F170" t="s">
        <v>6503</v>
      </c>
      <c r="G170" t="s">
        <v>459</v>
      </c>
      <c r="H170" t="s">
        <v>94</v>
      </c>
      <c r="I170" t="s">
        <v>460</v>
      </c>
      <c r="J170" t="s">
        <v>449</v>
      </c>
      <c r="K170" t="s">
        <v>6316</v>
      </c>
      <c r="L170" t="s">
        <v>44</v>
      </c>
      <c r="M170" t="s">
        <v>6317</v>
      </c>
      <c r="N170">
        <v>74131</v>
      </c>
      <c r="O170" t="s">
        <v>45</v>
      </c>
      <c r="P170" t="s">
        <v>288</v>
      </c>
      <c r="Q170" t="s">
        <v>52</v>
      </c>
      <c r="R170">
        <v>2009</v>
      </c>
      <c r="S170">
        <v>112.86</v>
      </c>
      <c r="T170">
        <v>0</v>
      </c>
      <c r="U170">
        <v>0</v>
      </c>
      <c r="V170" t="s">
        <v>6318</v>
      </c>
      <c r="W170">
        <v>113633815</v>
      </c>
      <c r="X170" t="s">
        <v>49</v>
      </c>
      <c r="Y170" t="s">
        <v>6504</v>
      </c>
      <c r="Z170" t="b">
        <v>0</v>
      </c>
      <c r="AA170">
        <v>1205.0327839801521</v>
      </c>
      <c r="AN170" t="e">
        <f>100*(1-E170/AL170)</f>
        <v>#DIV/0!</v>
      </c>
    </row>
    <row r="171" spans="1:40" x14ac:dyDescent="0.3">
      <c r="A171" t="s">
        <v>71</v>
      </c>
      <c r="B171" t="s">
        <v>6512</v>
      </c>
      <c r="C171" t="s">
        <v>6512</v>
      </c>
      <c r="D171" s="4">
        <v>45980</v>
      </c>
      <c r="E171">
        <v>348000</v>
      </c>
      <c r="F171" t="s">
        <v>6513</v>
      </c>
      <c r="G171" t="s">
        <v>677</v>
      </c>
      <c r="H171" t="s">
        <v>41</v>
      </c>
      <c r="I171" t="s">
        <v>678</v>
      </c>
      <c r="J171" t="s">
        <v>679</v>
      </c>
      <c r="K171" t="s">
        <v>6514</v>
      </c>
      <c r="L171" t="s">
        <v>44</v>
      </c>
      <c r="M171" t="s">
        <v>6515</v>
      </c>
      <c r="N171">
        <v>46200</v>
      </c>
      <c r="O171" t="s">
        <v>45</v>
      </c>
      <c r="P171" t="s">
        <v>182</v>
      </c>
      <c r="Q171" t="s">
        <v>85</v>
      </c>
      <c r="R171">
        <v>2009</v>
      </c>
      <c r="S171">
        <v>160</v>
      </c>
      <c r="T171">
        <v>0</v>
      </c>
      <c r="U171">
        <v>0</v>
      </c>
      <c r="V171" t="s">
        <v>6516</v>
      </c>
      <c r="W171">
        <v>109020504</v>
      </c>
      <c r="X171" t="s">
        <v>69</v>
      </c>
      <c r="Y171">
        <v>0</v>
      </c>
      <c r="Z171" t="b">
        <v>0</v>
      </c>
      <c r="AA171">
        <v>2175</v>
      </c>
      <c r="AN171" t="e">
        <f>100*(1-E171/AL171)</f>
        <v>#DIV/0!</v>
      </c>
    </row>
    <row r="172" spans="1:40" x14ac:dyDescent="0.3">
      <c r="A172" t="s">
        <v>215</v>
      </c>
      <c r="B172" t="s">
        <v>6517</v>
      </c>
      <c r="C172" t="s">
        <v>6517</v>
      </c>
      <c r="D172" s="4">
        <v>45980</v>
      </c>
      <c r="E172">
        <v>290000</v>
      </c>
      <c r="F172" t="s">
        <v>6518</v>
      </c>
      <c r="G172" t="s">
        <v>6519</v>
      </c>
      <c r="H172" t="s">
        <v>156</v>
      </c>
      <c r="I172" t="s">
        <v>3702</v>
      </c>
      <c r="J172" t="s">
        <v>3702</v>
      </c>
      <c r="K172" t="s">
        <v>6520</v>
      </c>
      <c r="L172" t="s">
        <v>44</v>
      </c>
      <c r="M172" t="s">
        <v>6521</v>
      </c>
      <c r="N172">
        <v>29100</v>
      </c>
      <c r="O172" t="s">
        <v>45</v>
      </c>
      <c r="P172" t="s">
        <v>288</v>
      </c>
      <c r="Q172" t="s">
        <v>55</v>
      </c>
      <c r="R172">
        <v>2009</v>
      </c>
      <c r="S172">
        <v>196.35</v>
      </c>
      <c r="T172">
        <v>0</v>
      </c>
      <c r="U172">
        <v>0</v>
      </c>
      <c r="V172" t="s">
        <v>6522</v>
      </c>
      <c r="W172" t="s">
        <v>6523</v>
      </c>
      <c r="X172" t="s">
        <v>49</v>
      </c>
      <c r="Y172">
        <v>0</v>
      </c>
      <c r="Z172" t="b">
        <v>0</v>
      </c>
      <c r="AA172">
        <v>1476.9544181308891</v>
      </c>
      <c r="AN172" t="e">
        <f>100*(1-E172/AL172)</f>
        <v>#DIV/0!</v>
      </c>
    </row>
    <row r="173" spans="1:40" x14ac:dyDescent="0.3">
      <c r="A173" t="s">
        <v>215</v>
      </c>
      <c r="B173" t="s">
        <v>6517</v>
      </c>
      <c r="C173" t="s">
        <v>6517</v>
      </c>
      <c r="D173" s="4">
        <v>45980</v>
      </c>
      <c r="E173">
        <v>290000</v>
      </c>
      <c r="F173" t="s">
        <v>6518</v>
      </c>
      <c r="G173" t="s">
        <v>6519</v>
      </c>
      <c r="H173" t="s">
        <v>156</v>
      </c>
      <c r="I173" t="s">
        <v>3702</v>
      </c>
      <c r="J173" t="s">
        <v>3702</v>
      </c>
      <c r="K173" t="s">
        <v>6520</v>
      </c>
      <c r="L173" t="s">
        <v>44</v>
      </c>
      <c r="M173" t="s">
        <v>6521</v>
      </c>
      <c r="N173">
        <v>29100</v>
      </c>
      <c r="O173" t="s">
        <v>45</v>
      </c>
      <c r="P173" t="s">
        <v>288</v>
      </c>
      <c r="Q173" t="s">
        <v>55</v>
      </c>
      <c r="R173">
        <v>2009</v>
      </c>
      <c r="S173">
        <v>196.35</v>
      </c>
      <c r="T173">
        <v>0</v>
      </c>
      <c r="U173">
        <v>0</v>
      </c>
      <c r="V173" t="s">
        <v>6522</v>
      </c>
      <c r="W173" t="s">
        <v>6523</v>
      </c>
      <c r="X173" t="s">
        <v>49</v>
      </c>
      <c r="Y173">
        <v>0</v>
      </c>
      <c r="Z173" t="b">
        <v>0</v>
      </c>
      <c r="AA173">
        <v>1476.9544181308891</v>
      </c>
      <c r="AN173" t="e">
        <f>100*(1-E173/AL173)</f>
        <v>#DIV/0!</v>
      </c>
    </row>
    <row r="174" spans="1:40" x14ac:dyDescent="0.3">
      <c r="A174" t="s">
        <v>71</v>
      </c>
      <c r="B174" t="s">
        <v>6570</v>
      </c>
      <c r="C174" t="s">
        <v>6570</v>
      </c>
      <c r="D174" s="4">
        <v>45980</v>
      </c>
      <c r="E174">
        <v>168900</v>
      </c>
      <c r="F174" t="s">
        <v>6571</v>
      </c>
      <c r="G174" t="s">
        <v>450</v>
      </c>
      <c r="H174" t="s">
        <v>136</v>
      </c>
      <c r="I174" t="s">
        <v>451</v>
      </c>
      <c r="J174" t="s">
        <v>452</v>
      </c>
      <c r="K174" t="s">
        <v>6572</v>
      </c>
      <c r="L174" t="s">
        <v>44</v>
      </c>
      <c r="M174" t="s">
        <v>6573</v>
      </c>
      <c r="N174">
        <v>38333</v>
      </c>
      <c r="O174" t="s">
        <v>45</v>
      </c>
      <c r="P174" t="s">
        <v>288</v>
      </c>
      <c r="Q174" t="s">
        <v>85</v>
      </c>
      <c r="R174">
        <v>2010</v>
      </c>
      <c r="S174">
        <v>128.55000000000001</v>
      </c>
      <c r="T174">
        <v>0</v>
      </c>
      <c r="U174">
        <v>0</v>
      </c>
      <c r="V174" t="s">
        <v>6574</v>
      </c>
      <c r="W174" t="s">
        <v>6575</v>
      </c>
      <c r="X174" t="s">
        <v>86</v>
      </c>
      <c r="Y174" t="s">
        <v>6576</v>
      </c>
      <c r="Z174" t="b">
        <v>0</v>
      </c>
      <c r="AA174">
        <v>1313.885647607935</v>
      </c>
      <c r="AN174" t="e">
        <f>100*(1-E174/AL174)</f>
        <v>#DIV/0!</v>
      </c>
    </row>
    <row r="175" spans="1:40" x14ac:dyDescent="0.3">
      <c r="A175" t="s">
        <v>59</v>
      </c>
      <c r="B175" t="s">
        <v>6577</v>
      </c>
      <c r="C175" t="s">
        <v>6577</v>
      </c>
      <c r="D175" s="4">
        <v>45980</v>
      </c>
      <c r="E175">
        <v>66000</v>
      </c>
      <c r="F175" t="s">
        <v>6578</v>
      </c>
      <c r="G175" t="s">
        <v>6579</v>
      </c>
      <c r="H175" t="s">
        <v>94</v>
      </c>
      <c r="I175" t="s">
        <v>6580</v>
      </c>
      <c r="J175" t="s">
        <v>449</v>
      </c>
      <c r="K175" t="s">
        <v>6581</v>
      </c>
      <c r="L175" t="s">
        <v>44</v>
      </c>
      <c r="M175" t="s">
        <v>6582</v>
      </c>
      <c r="N175">
        <v>74061</v>
      </c>
      <c r="O175" t="s">
        <v>45</v>
      </c>
      <c r="P175" t="s">
        <v>182</v>
      </c>
      <c r="Q175" t="s">
        <v>55</v>
      </c>
      <c r="R175">
        <v>2010</v>
      </c>
      <c r="S175">
        <v>95</v>
      </c>
      <c r="T175">
        <v>0</v>
      </c>
      <c r="U175">
        <v>0</v>
      </c>
      <c r="V175" t="s">
        <v>6583</v>
      </c>
      <c r="W175" t="s">
        <v>6584</v>
      </c>
      <c r="X175" t="s">
        <v>49</v>
      </c>
      <c r="Y175">
        <v>0</v>
      </c>
      <c r="Z175" t="b">
        <v>0</v>
      </c>
      <c r="AA175">
        <v>694.73684210526312</v>
      </c>
      <c r="AN175" t="e">
        <f>100*(1-E175/AL175)</f>
        <v>#DIV/0!</v>
      </c>
    </row>
    <row r="176" spans="1:40" x14ac:dyDescent="0.3">
      <c r="A176" t="s">
        <v>139</v>
      </c>
      <c r="B176" t="s">
        <v>6644</v>
      </c>
      <c r="C176" t="s">
        <v>6644</v>
      </c>
      <c r="D176" s="4">
        <v>45980</v>
      </c>
      <c r="E176">
        <v>105300</v>
      </c>
      <c r="F176" t="s">
        <v>1342</v>
      </c>
      <c r="G176" t="s">
        <v>384</v>
      </c>
      <c r="H176" t="s">
        <v>67</v>
      </c>
      <c r="I176" t="s">
        <v>384</v>
      </c>
      <c r="J176" t="s">
        <v>67</v>
      </c>
      <c r="K176" t="s">
        <v>6645</v>
      </c>
      <c r="L176" t="s">
        <v>44</v>
      </c>
      <c r="M176" t="s">
        <v>6646</v>
      </c>
      <c r="N176">
        <v>12242</v>
      </c>
      <c r="O176" t="s">
        <v>45</v>
      </c>
      <c r="P176" t="s">
        <v>54</v>
      </c>
      <c r="Q176" t="s">
        <v>85</v>
      </c>
      <c r="R176">
        <v>2014</v>
      </c>
      <c r="S176">
        <v>100</v>
      </c>
      <c r="T176">
        <v>0</v>
      </c>
      <c r="U176">
        <v>0</v>
      </c>
      <c r="V176" t="s">
        <v>6647</v>
      </c>
      <c r="W176" t="s">
        <v>6648</v>
      </c>
      <c r="X176" t="s">
        <v>86</v>
      </c>
      <c r="Y176" t="s">
        <v>6649</v>
      </c>
      <c r="Z176" t="b">
        <v>0</v>
      </c>
      <c r="AA176">
        <v>1053</v>
      </c>
      <c r="AN176" t="e">
        <f>100*(1-E176/AL176)</f>
        <v>#DIV/0!</v>
      </c>
    </row>
    <row r="177" spans="1:40" x14ac:dyDescent="0.3">
      <c r="A177" t="s">
        <v>215</v>
      </c>
      <c r="B177" t="s">
        <v>6662</v>
      </c>
      <c r="C177" t="s">
        <v>799</v>
      </c>
      <c r="D177" s="4">
        <v>45980</v>
      </c>
      <c r="E177">
        <v>84771</v>
      </c>
      <c r="F177" t="s">
        <v>140</v>
      </c>
      <c r="G177" t="s">
        <v>238</v>
      </c>
      <c r="H177" t="s">
        <v>62</v>
      </c>
      <c r="I177" t="s">
        <v>238</v>
      </c>
      <c r="J177" t="s">
        <v>238</v>
      </c>
      <c r="K177" t="s">
        <v>801</v>
      </c>
      <c r="L177" t="s">
        <v>44</v>
      </c>
      <c r="M177" t="s">
        <v>238</v>
      </c>
      <c r="N177">
        <v>61100</v>
      </c>
      <c r="O177" t="s">
        <v>45</v>
      </c>
      <c r="P177" t="s">
        <v>54</v>
      </c>
      <c r="Q177" t="s">
        <v>55</v>
      </c>
      <c r="R177">
        <v>2023</v>
      </c>
      <c r="S177">
        <v>107.49</v>
      </c>
      <c r="T177">
        <v>0</v>
      </c>
      <c r="U177">
        <v>0</v>
      </c>
      <c r="V177" t="s">
        <v>6663</v>
      </c>
      <c r="W177" t="s">
        <v>803</v>
      </c>
      <c r="X177" t="s">
        <v>49</v>
      </c>
      <c r="Y177" t="s">
        <v>6664</v>
      </c>
      <c r="Z177" t="b">
        <v>1</v>
      </c>
      <c r="AA177">
        <v>788.64080379570191</v>
      </c>
      <c r="AN177" t="e">
        <f>100*(1-E177/AL177)</f>
        <v>#DIV/0!</v>
      </c>
    </row>
    <row r="178" spans="1:40" x14ac:dyDescent="0.3">
      <c r="A178" t="s">
        <v>215</v>
      </c>
      <c r="B178" t="s">
        <v>6665</v>
      </c>
      <c r="C178" t="s">
        <v>799</v>
      </c>
      <c r="D178" s="4">
        <v>45980</v>
      </c>
      <c r="E178">
        <v>68926</v>
      </c>
      <c r="F178" t="s">
        <v>6666</v>
      </c>
      <c r="G178" t="s">
        <v>238</v>
      </c>
      <c r="H178" t="s">
        <v>62</v>
      </c>
      <c r="I178" t="s">
        <v>238</v>
      </c>
      <c r="J178" t="s">
        <v>238</v>
      </c>
      <c r="K178" t="s">
        <v>801</v>
      </c>
      <c r="L178" t="s">
        <v>44</v>
      </c>
      <c r="M178" t="s">
        <v>238</v>
      </c>
      <c r="N178">
        <v>61100</v>
      </c>
      <c r="O178" t="s">
        <v>50</v>
      </c>
      <c r="P178" t="s">
        <v>51</v>
      </c>
      <c r="Q178" t="s">
        <v>52</v>
      </c>
      <c r="R178">
        <v>2023</v>
      </c>
      <c r="S178">
        <v>111.46</v>
      </c>
      <c r="T178">
        <v>0</v>
      </c>
      <c r="U178">
        <v>0</v>
      </c>
      <c r="V178" t="s">
        <v>6663</v>
      </c>
      <c r="W178" t="s">
        <v>803</v>
      </c>
      <c r="X178" t="s">
        <v>49</v>
      </c>
      <c r="Y178" t="s">
        <v>6667</v>
      </c>
      <c r="Z178" t="b">
        <v>1</v>
      </c>
      <c r="AA178">
        <v>618.39224834021172</v>
      </c>
      <c r="AN178" t="e">
        <f>100*(1-E178/AL178)</f>
        <v>#DIV/0!</v>
      </c>
    </row>
    <row r="179" spans="1:40" x14ac:dyDescent="0.3">
      <c r="A179" t="s">
        <v>39</v>
      </c>
      <c r="B179" t="s">
        <v>805</v>
      </c>
      <c r="C179" t="s">
        <v>805</v>
      </c>
      <c r="D179" s="4">
        <v>45981</v>
      </c>
      <c r="E179">
        <v>119000</v>
      </c>
      <c r="F179" t="s">
        <v>806</v>
      </c>
      <c r="G179" t="s">
        <v>807</v>
      </c>
      <c r="H179" t="s">
        <v>196</v>
      </c>
      <c r="I179" t="s">
        <v>808</v>
      </c>
      <c r="J179" t="s">
        <v>198</v>
      </c>
      <c r="K179" t="s">
        <v>809</v>
      </c>
      <c r="L179" t="s">
        <v>44</v>
      </c>
      <c r="M179" t="s">
        <v>810</v>
      </c>
      <c r="N179">
        <v>84100</v>
      </c>
      <c r="O179" t="s">
        <v>45</v>
      </c>
      <c r="P179" t="s">
        <v>81</v>
      </c>
      <c r="Q179" t="s">
        <v>52</v>
      </c>
      <c r="R179">
        <v>0</v>
      </c>
      <c r="S179">
        <v>80.2</v>
      </c>
      <c r="T179" t="s">
        <v>161</v>
      </c>
      <c r="U179">
        <v>100</v>
      </c>
      <c r="V179" t="s">
        <v>811</v>
      </c>
      <c r="W179">
        <v>43112704</v>
      </c>
      <c r="X179" t="s">
        <v>86</v>
      </c>
      <c r="Y179" t="s">
        <v>812</v>
      </c>
      <c r="Z179" t="b">
        <v>0</v>
      </c>
      <c r="AA179">
        <v>1483.7905236907729</v>
      </c>
      <c r="AN179" t="e">
        <f>100*(1-E179/AL179)</f>
        <v>#DIV/0!</v>
      </c>
    </row>
    <row r="180" spans="1:40" x14ac:dyDescent="0.3">
      <c r="A180" t="s">
        <v>39</v>
      </c>
      <c r="B180" t="s">
        <v>813</v>
      </c>
      <c r="C180" t="s">
        <v>814</v>
      </c>
      <c r="D180" s="4">
        <v>45981</v>
      </c>
      <c r="E180">
        <v>4000</v>
      </c>
      <c r="F180" t="s">
        <v>815</v>
      </c>
      <c r="G180" t="s">
        <v>816</v>
      </c>
      <c r="H180" t="s">
        <v>41</v>
      </c>
      <c r="I180" t="s">
        <v>201</v>
      </c>
      <c r="J180" t="s">
        <v>199</v>
      </c>
      <c r="K180" t="s">
        <v>817</v>
      </c>
      <c r="L180" t="s">
        <v>44</v>
      </c>
      <c r="M180" t="s">
        <v>818</v>
      </c>
      <c r="N180">
        <v>48200</v>
      </c>
      <c r="O180" t="s">
        <v>97</v>
      </c>
      <c r="P180" t="s">
        <v>118</v>
      </c>
      <c r="Q180">
        <v>0</v>
      </c>
      <c r="R180">
        <v>0</v>
      </c>
      <c r="S180">
        <v>4000</v>
      </c>
      <c r="T180" t="s">
        <v>161</v>
      </c>
      <c r="U180">
        <v>100</v>
      </c>
      <c r="V180" t="s">
        <v>819</v>
      </c>
      <c r="W180">
        <v>42340438</v>
      </c>
      <c r="X180" t="s">
        <v>69</v>
      </c>
      <c r="Y180">
        <v>40710425401</v>
      </c>
      <c r="Z180" t="b">
        <v>0</v>
      </c>
      <c r="AA180">
        <v>1</v>
      </c>
      <c r="AN180" t="e">
        <f>100*(1-E180/AL180)</f>
        <v>#DIV/0!</v>
      </c>
    </row>
    <row r="181" spans="1:40" x14ac:dyDescent="0.3">
      <c r="A181" t="s">
        <v>120</v>
      </c>
      <c r="B181" t="s">
        <v>820</v>
      </c>
      <c r="C181" t="s">
        <v>821</v>
      </c>
      <c r="D181" s="4">
        <v>45981</v>
      </c>
      <c r="E181">
        <v>5000</v>
      </c>
      <c r="F181" t="s">
        <v>302</v>
      </c>
      <c r="G181" t="s">
        <v>350</v>
      </c>
      <c r="H181" t="s">
        <v>67</v>
      </c>
      <c r="I181" t="s">
        <v>351</v>
      </c>
      <c r="J181" t="s">
        <v>67</v>
      </c>
      <c r="K181" t="s">
        <v>822</v>
      </c>
      <c r="L181" t="s">
        <v>44</v>
      </c>
      <c r="M181" t="s">
        <v>823</v>
      </c>
      <c r="N181">
        <v>13562</v>
      </c>
      <c r="O181" t="s">
        <v>45</v>
      </c>
      <c r="P181" t="s">
        <v>46</v>
      </c>
      <c r="Q181" t="s">
        <v>47</v>
      </c>
      <c r="R181">
        <v>0</v>
      </c>
      <c r="S181">
        <v>11.88</v>
      </c>
      <c r="T181">
        <v>0</v>
      </c>
      <c r="U181">
        <v>0</v>
      </c>
      <c r="V181" t="s">
        <v>824</v>
      </c>
      <c r="W181">
        <v>44199827</v>
      </c>
      <c r="X181" t="s">
        <v>49</v>
      </c>
      <c r="Y181" t="s">
        <v>825</v>
      </c>
      <c r="Z181" t="b">
        <v>0</v>
      </c>
      <c r="AA181">
        <v>420.87542087542079</v>
      </c>
      <c r="AN181" t="e">
        <f>100*(1-E181/AL181)</f>
        <v>#DIV/0!</v>
      </c>
    </row>
    <row r="182" spans="1:40" x14ac:dyDescent="0.3">
      <c r="A182" t="s">
        <v>120</v>
      </c>
      <c r="B182" t="s">
        <v>826</v>
      </c>
      <c r="C182" t="s">
        <v>821</v>
      </c>
      <c r="D182" s="4">
        <v>45981</v>
      </c>
      <c r="E182">
        <v>4000</v>
      </c>
      <c r="F182" t="s">
        <v>243</v>
      </c>
      <c r="G182" t="s">
        <v>350</v>
      </c>
      <c r="H182" t="s">
        <v>67</v>
      </c>
      <c r="I182" t="s">
        <v>351</v>
      </c>
      <c r="J182" t="s">
        <v>67</v>
      </c>
      <c r="K182" t="s">
        <v>822</v>
      </c>
      <c r="L182" t="s">
        <v>44</v>
      </c>
      <c r="M182" t="s">
        <v>823</v>
      </c>
      <c r="N182">
        <v>13562</v>
      </c>
      <c r="O182" t="s">
        <v>45</v>
      </c>
      <c r="P182" t="s">
        <v>46</v>
      </c>
      <c r="Q182" t="s">
        <v>47</v>
      </c>
      <c r="R182">
        <v>0</v>
      </c>
      <c r="S182">
        <v>9.32</v>
      </c>
      <c r="T182">
        <v>0</v>
      </c>
      <c r="U182">
        <v>0</v>
      </c>
      <c r="V182" t="s">
        <v>824</v>
      </c>
      <c r="W182">
        <v>44199827</v>
      </c>
      <c r="X182" t="s">
        <v>49</v>
      </c>
      <c r="Y182" t="s">
        <v>827</v>
      </c>
      <c r="Z182" t="b">
        <v>0</v>
      </c>
      <c r="AA182">
        <v>429.18454935622321</v>
      </c>
      <c r="AN182" t="e">
        <f>100*(1-E182/AL182)</f>
        <v>#DIV/0!</v>
      </c>
    </row>
    <row r="183" spans="1:40" x14ac:dyDescent="0.3">
      <c r="A183" t="s">
        <v>120</v>
      </c>
      <c r="B183" t="s">
        <v>828</v>
      </c>
      <c r="C183" t="s">
        <v>821</v>
      </c>
      <c r="D183" s="4">
        <v>45981</v>
      </c>
      <c r="E183">
        <v>171000</v>
      </c>
      <c r="F183" t="s">
        <v>829</v>
      </c>
      <c r="G183" t="s">
        <v>350</v>
      </c>
      <c r="H183" t="s">
        <v>67</v>
      </c>
      <c r="I183" t="s">
        <v>351</v>
      </c>
      <c r="J183" t="s">
        <v>67</v>
      </c>
      <c r="K183" t="s">
        <v>822</v>
      </c>
      <c r="L183" t="s">
        <v>44</v>
      </c>
      <c r="M183" t="s">
        <v>823</v>
      </c>
      <c r="N183">
        <v>13562</v>
      </c>
      <c r="O183" t="s">
        <v>45</v>
      </c>
      <c r="P183" t="s">
        <v>54</v>
      </c>
      <c r="Q183" t="s">
        <v>100</v>
      </c>
      <c r="R183">
        <v>0</v>
      </c>
      <c r="S183">
        <v>78.400000000000006</v>
      </c>
      <c r="T183">
        <v>0</v>
      </c>
      <c r="U183">
        <v>0</v>
      </c>
      <c r="V183" t="s">
        <v>824</v>
      </c>
      <c r="W183">
        <v>44199827</v>
      </c>
      <c r="X183" t="s">
        <v>49</v>
      </c>
      <c r="Y183" t="s">
        <v>830</v>
      </c>
      <c r="Z183" t="b">
        <v>0</v>
      </c>
      <c r="AA183">
        <v>2181.1224489795918</v>
      </c>
      <c r="AN183" t="e">
        <f>100*(1-E183/AL183)</f>
        <v>#DIV/0!</v>
      </c>
    </row>
    <row r="184" spans="1:40" x14ac:dyDescent="0.3">
      <c r="A184" t="s">
        <v>120</v>
      </c>
      <c r="B184" t="s">
        <v>831</v>
      </c>
      <c r="C184" t="s">
        <v>821</v>
      </c>
      <c r="D184" s="4">
        <v>45981</v>
      </c>
      <c r="E184">
        <v>145000</v>
      </c>
      <c r="F184" t="s">
        <v>832</v>
      </c>
      <c r="G184" t="s">
        <v>350</v>
      </c>
      <c r="H184" t="s">
        <v>67</v>
      </c>
      <c r="I184" t="s">
        <v>351</v>
      </c>
      <c r="J184" t="s">
        <v>67</v>
      </c>
      <c r="K184" t="s">
        <v>822</v>
      </c>
      <c r="L184" t="s">
        <v>44</v>
      </c>
      <c r="M184" t="s">
        <v>823</v>
      </c>
      <c r="N184">
        <v>13562</v>
      </c>
      <c r="O184" t="s">
        <v>45</v>
      </c>
      <c r="P184" t="s">
        <v>54</v>
      </c>
      <c r="Q184" t="s">
        <v>100</v>
      </c>
      <c r="R184">
        <v>0</v>
      </c>
      <c r="S184">
        <v>69.2</v>
      </c>
      <c r="T184">
        <v>0</v>
      </c>
      <c r="U184">
        <v>0</v>
      </c>
      <c r="V184" t="s">
        <v>824</v>
      </c>
      <c r="W184">
        <v>44199827</v>
      </c>
      <c r="X184" t="s">
        <v>49</v>
      </c>
      <c r="Y184" t="s">
        <v>833</v>
      </c>
      <c r="Z184" t="b">
        <v>0</v>
      </c>
      <c r="AA184">
        <v>2095.3757225433519</v>
      </c>
      <c r="AN184" t="e">
        <f>100*(1-E184/AL184)</f>
        <v>#DIV/0!</v>
      </c>
    </row>
    <row r="185" spans="1:40" x14ac:dyDescent="0.3">
      <c r="A185" t="s">
        <v>39</v>
      </c>
      <c r="B185" t="s">
        <v>834</v>
      </c>
      <c r="C185" t="s">
        <v>834</v>
      </c>
      <c r="D185" s="4">
        <v>45981</v>
      </c>
      <c r="E185">
        <v>82000</v>
      </c>
      <c r="F185" t="s">
        <v>835</v>
      </c>
      <c r="G185" t="s">
        <v>836</v>
      </c>
      <c r="H185" t="s">
        <v>124</v>
      </c>
      <c r="I185" t="s">
        <v>837</v>
      </c>
      <c r="J185" t="s">
        <v>325</v>
      </c>
      <c r="K185" t="s">
        <v>838</v>
      </c>
      <c r="L185" t="s">
        <v>44</v>
      </c>
      <c r="M185" t="s">
        <v>839</v>
      </c>
      <c r="N185">
        <v>27050</v>
      </c>
      <c r="O185" t="s">
        <v>45</v>
      </c>
      <c r="P185" t="s">
        <v>182</v>
      </c>
      <c r="Q185">
        <v>0</v>
      </c>
      <c r="R185">
        <v>0</v>
      </c>
      <c r="S185">
        <v>95</v>
      </c>
      <c r="T185">
        <v>0</v>
      </c>
      <c r="U185">
        <v>0</v>
      </c>
      <c r="V185" t="s">
        <v>840</v>
      </c>
      <c r="W185">
        <v>109928934</v>
      </c>
      <c r="X185" t="s">
        <v>49</v>
      </c>
      <c r="Y185">
        <v>0</v>
      </c>
      <c r="Z185" t="b">
        <v>0</v>
      </c>
      <c r="AA185">
        <v>863.15789473684208</v>
      </c>
      <c r="AN185" t="e">
        <f>100*(1-E185/AL185)</f>
        <v>#DIV/0!</v>
      </c>
    </row>
    <row r="186" spans="1:40" x14ac:dyDescent="0.3">
      <c r="A186" t="s">
        <v>166</v>
      </c>
      <c r="B186" t="s">
        <v>841</v>
      </c>
      <c r="C186" t="s">
        <v>842</v>
      </c>
      <c r="D186" s="4">
        <v>45981</v>
      </c>
      <c r="E186">
        <v>114000</v>
      </c>
      <c r="F186" t="s">
        <v>843</v>
      </c>
      <c r="G186" t="s">
        <v>844</v>
      </c>
      <c r="H186" t="s">
        <v>152</v>
      </c>
      <c r="I186" t="s">
        <v>845</v>
      </c>
      <c r="J186" t="s">
        <v>154</v>
      </c>
      <c r="K186" t="s">
        <v>846</v>
      </c>
      <c r="L186" t="s">
        <v>44</v>
      </c>
      <c r="M186" t="s">
        <v>847</v>
      </c>
      <c r="N186">
        <v>24200</v>
      </c>
      <c r="O186" t="s">
        <v>50</v>
      </c>
      <c r="P186" t="s">
        <v>51</v>
      </c>
      <c r="Q186" t="s">
        <v>52</v>
      </c>
      <c r="R186">
        <v>0</v>
      </c>
      <c r="S186">
        <v>178.66</v>
      </c>
      <c r="T186">
        <v>0</v>
      </c>
      <c r="U186">
        <v>0</v>
      </c>
      <c r="V186" t="s">
        <v>848</v>
      </c>
      <c r="W186" t="s">
        <v>849</v>
      </c>
      <c r="X186" t="s">
        <v>49</v>
      </c>
      <c r="Y186" t="s">
        <v>850</v>
      </c>
      <c r="Z186" t="b">
        <v>0</v>
      </c>
      <c r="AA186">
        <v>638.08351057875291</v>
      </c>
      <c r="AN186" t="e">
        <f>100*(1-E186/AL186)</f>
        <v>#DIV/0!</v>
      </c>
    </row>
    <row r="187" spans="1:40" x14ac:dyDescent="0.3">
      <c r="A187" t="s">
        <v>166</v>
      </c>
      <c r="B187" t="s">
        <v>851</v>
      </c>
      <c r="C187" t="s">
        <v>842</v>
      </c>
      <c r="D187" s="4">
        <v>45981</v>
      </c>
      <c r="E187">
        <v>114000</v>
      </c>
      <c r="F187" t="s">
        <v>852</v>
      </c>
      <c r="G187" t="s">
        <v>844</v>
      </c>
      <c r="H187" t="s">
        <v>152</v>
      </c>
      <c r="I187" t="s">
        <v>845</v>
      </c>
      <c r="J187" t="s">
        <v>154</v>
      </c>
      <c r="K187" t="s">
        <v>846</v>
      </c>
      <c r="L187" t="s">
        <v>44</v>
      </c>
      <c r="M187" t="s">
        <v>847</v>
      </c>
      <c r="N187">
        <v>24200</v>
      </c>
      <c r="O187" t="s">
        <v>50</v>
      </c>
      <c r="P187" t="s">
        <v>51</v>
      </c>
      <c r="Q187" t="s">
        <v>52</v>
      </c>
      <c r="R187">
        <v>0</v>
      </c>
      <c r="S187">
        <v>178.68</v>
      </c>
      <c r="T187">
        <v>0</v>
      </c>
      <c r="U187">
        <v>0</v>
      </c>
      <c r="V187" t="s">
        <v>848</v>
      </c>
      <c r="W187" t="s">
        <v>849</v>
      </c>
      <c r="X187" t="s">
        <v>49</v>
      </c>
      <c r="Y187" t="s">
        <v>853</v>
      </c>
      <c r="Z187" t="b">
        <v>0</v>
      </c>
      <c r="AA187">
        <v>638.01208865010074</v>
      </c>
      <c r="AN187" t="e">
        <f>100*(1-E187/AL187)</f>
        <v>#DIV/0!</v>
      </c>
    </row>
    <row r="188" spans="1:40" x14ac:dyDescent="0.3">
      <c r="A188" t="s">
        <v>166</v>
      </c>
      <c r="B188" t="s">
        <v>4605</v>
      </c>
      <c r="C188" t="s">
        <v>4605</v>
      </c>
      <c r="D188" s="4">
        <v>45981</v>
      </c>
      <c r="E188">
        <v>89000</v>
      </c>
      <c r="F188" t="s">
        <v>4606</v>
      </c>
      <c r="G188" t="s">
        <v>479</v>
      </c>
      <c r="H188" t="s">
        <v>124</v>
      </c>
      <c r="I188" t="s">
        <v>480</v>
      </c>
      <c r="J188" t="s">
        <v>325</v>
      </c>
      <c r="K188" t="s">
        <v>4607</v>
      </c>
      <c r="L188" t="s">
        <v>44</v>
      </c>
      <c r="M188" t="s">
        <v>4608</v>
      </c>
      <c r="N188">
        <v>27100</v>
      </c>
      <c r="O188" t="s">
        <v>45</v>
      </c>
      <c r="P188" t="s">
        <v>54</v>
      </c>
      <c r="Q188" t="s">
        <v>55</v>
      </c>
      <c r="R188">
        <v>1982</v>
      </c>
      <c r="S188">
        <v>120.85</v>
      </c>
      <c r="T188">
        <v>0</v>
      </c>
      <c r="U188">
        <v>0</v>
      </c>
      <c r="V188" t="s">
        <v>4609</v>
      </c>
      <c r="W188">
        <v>73104579</v>
      </c>
      <c r="X188" t="s">
        <v>49</v>
      </c>
      <c r="Y188" t="s">
        <v>4610</v>
      </c>
      <c r="Z188" t="b">
        <v>0</v>
      </c>
      <c r="AA188">
        <v>736.45014480761279</v>
      </c>
      <c r="AN188" t="e">
        <f>100*(1-E188/AL188)</f>
        <v>#DIV/0!</v>
      </c>
    </row>
    <row r="189" spans="1:40" x14ac:dyDescent="0.3">
      <c r="A189" t="s">
        <v>39</v>
      </c>
      <c r="B189" t="s">
        <v>5341</v>
      </c>
      <c r="C189" t="s">
        <v>814</v>
      </c>
      <c r="D189" s="4">
        <v>45981</v>
      </c>
      <c r="E189">
        <v>144000</v>
      </c>
      <c r="F189" t="s">
        <v>5342</v>
      </c>
      <c r="G189" t="s">
        <v>2830</v>
      </c>
      <c r="H189" t="s">
        <v>41</v>
      </c>
      <c r="I189" t="s">
        <v>2831</v>
      </c>
      <c r="J189" t="s">
        <v>43</v>
      </c>
      <c r="K189" t="s">
        <v>5343</v>
      </c>
      <c r="L189" t="s">
        <v>44</v>
      </c>
      <c r="M189" t="s">
        <v>5344</v>
      </c>
      <c r="N189">
        <v>48200</v>
      </c>
      <c r="O189" t="s">
        <v>45</v>
      </c>
      <c r="P189" t="s">
        <v>81</v>
      </c>
      <c r="Q189" t="s">
        <v>52</v>
      </c>
      <c r="R189">
        <v>1995</v>
      </c>
      <c r="S189">
        <v>150</v>
      </c>
      <c r="T189">
        <v>0</v>
      </c>
      <c r="U189">
        <v>0</v>
      </c>
      <c r="V189" t="s">
        <v>819</v>
      </c>
      <c r="W189">
        <v>42340438</v>
      </c>
      <c r="X189" t="s">
        <v>69</v>
      </c>
      <c r="Y189" t="s">
        <v>5345</v>
      </c>
      <c r="Z189" t="b">
        <v>0</v>
      </c>
      <c r="AA189">
        <v>960</v>
      </c>
      <c r="AN189" t="e">
        <f>100*(1-E189/AL189)</f>
        <v>#DIV/0!</v>
      </c>
    </row>
    <row r="190" spans="1:40" x14ac:dyDescent="0.3">
      <c r="A190" t="s">
        <v>59</v>
      </c>
      <c r="B190" t="s">
        <v>5413</v>
      </c>
      <c r="C190" t="s">
        <v>5413</v>
      </c>
      <c r="D190" s="4">
        <v>45981</v>
      </c>
      <c r="E190">
        <v>128000</v>
      </c>
      <c r="F190" t="s">
        <v>5414</v>
      </c>
      <c r="G190" t="s">
        <v>1855</v>
      </c>
      <c r="H190" t="s">
        <v>152</v>
      </c>
      <c r="I190" t="s">
        <v>780</v>
      </c>
      <c r="J190" t="s">
        <v>172</v>
      </c>
      <c r="K190" t="s">
        <v>5415</v>
      </c>
      <c r="L190" t="s">
        <v>44</v>
      </c>
      <c r="M190" t="s">
        <v>5416</v>
      </c>
      <c r="N190">
        <v>21200</v>
      </c>
      <c r="O190" t="s">
        <v>45</v>
      </c>
      <c r="P190" t="s">
        <v>54</v>
      </c>
      <c r="Q190" t="s">
        <v>52</v>
      </c>
      <c r="R190">
        <v>1997</v>
      </c>
      <c r="S190">
        <v>134.31</v>
      </c>
      <c r="T190">
        <v>0</v>
      </c>
      <c r="U190">
        <v>0</v>
      </c>
      <c r="V190" t="s">
        <v>5417</v>
      </c>
      <c r="W190">
        <v>43371818</v>
      </c>
      <c r="X190" t="s">
        <v>49</v>
      </c>
      <c r="Y190" t="s">
        <v>5418</v>
      </c>
      <c r="Z190" t="b">
        <v>0</v>
      </c>
      <c r="AA190">
        <v>953.01913483731664</v>
      </c>
      <c r="AN190" t="e">
        <f>100*(1-E190/AL190)</f>
        <v>#DIV/0!</v>
      </c>
    </row>
    <row r="191" spans="1:40" x14ac:dyDescent="0.3">
      <c r="A191" t="s">
        <v>59</v>
      </c>
      <c r="B191" t="s">
        <v>5436</v>
      </c>
      <c r="C191" t="s">
        <v>5436</v>
      </c>
      <c r="D191" s="4">
        <v>45981</v>
      </c>
      <c r="E191">
        <v>195000</v>
      </c>
      <c r="F191" t="s">
        <v>5437</v>
      </c>
      <c r="G191" t="s">
        <v>5438</v>
      </c>
      <c r="H191" t="s">
        <v>225</v>
      </c>
      <c r="I191" t="s">
        <v>3228</v>
      </c>
      <c r="J191" t="s">
        <v>3228</v>
      </c>
      <c r="K191" t="s">
        <v>5439</v>
      </c>
      <c r="L191" t="s">
        <v>80</v>
      </c>
      <c r="M191" t="s">
        <v>5440</v>
      </c>
      <c r="N191">
        <v>83101</v>
      </c>
      <c r="O191" t="s">
        <v>45</v>
      </c>
      <c r="P191" t="s">
        <v>81</v>
      </c>
      <c r="Q191" t="s">
        <v>52</v>
      </c>
      <c r="R191">
        <v>1998</v>
      </c>
      <c r="S191">
        <v>359.9</v>
      </c>
      <c r="T191">
        <v>0</v>
      </c>
      <c r="U191">
        <v>0</v>
      </c>
      <c r="V191" t="s">
        <v>5441</v>
      </c>
      <c r="W191">
        <v>40456507</v>
      </c>
      <c r="X191" t="s">
        <v>86</v>
      </c>
      <c r="Y191">
        <v>0</v>
      </c>
      <c r="Z191" t="b">
        <v>0</v>
      </c>
      <c r="AA191">
        <v>541.81717143651019</v>
      </c>
      <c r="AN191" t="e">
        <f>100*(1-E191/AL191)</f>
        <v>#DIV/0!</v>
      </c>
    </row>
    <row r="192" spans="1:40" x14ac:dyDescent="0.3">
      <c r="A192" t="s">
        <v>59</v>
      </c>
      <c r="B192" t="s">
        <v>854</v>
      </c>
      <c r="C192" t="s">
        <v>854</v>
      </c>
      <c r="D192" s="4">
        <v>45982</v>
      </c>
      <c r="E192">
        <v>45000</v>
      </c>
      <c r="F192" t="s">
        <v>855</v>
      </c>
      <c r="G192" t="s">
        <v>110</v>
      </c>
      <c r="H192" t="s">
        <v>111</v>
      </c>
      <c r="I192" t="s">
        <v>112</v>
      </c>
      <c r="J192" t="s">
        <v>113</v>
      </c>
      <c r="K192" t="s">
        <v>856</v>
      </c>
      <c r="L192" t="s">
        <v>80</v>
      </c>
      <c r="M192" t="s">
        <v>857</v>
      </c>
      <c r="N192">
        <v>35100</v>
      </c>
      <c r="O192" t="s">
        <v>45</v>
      </c>
      <c r="P192" t="s">
        <v>81</v>
      </c>
      <c r="Q192" t="s">
        <v>52</v>
      </c>
      <c r="R192">
        <v>0</v>
      </c>
      <c r="S192">
        <v>94.7</v>
      </c>
      <c r="T192">
        <v>0</v>
      </c>
      <c r="U192">
        <v>0</v>
      </c>
      <c r="V192" t="s">
        <v>858</v>
      </c>
      <c r="W192">
        <v>66850250</v>
      </c>
      <c r="X192" t="s">
        <v>86</v>
      </c>
      <c r="Y192">
        <v>0</v>
      </c>
      <c r="Z192" t="b">
        <v>0</v>
      </c>
      <c r="AA192">
        <v>475.18479408658919</v>
      </c>
      <c r="AN192" t="e">
        <f>100*(1-E192/AL192)</f>
        <v>#DIV/0!</v>
      </c>
    </row>
    <row r="193" spans="1:40" x14ac:dyDescent="0.3">
      <c r="A193" t="s">
        <v>71</v>
      </c>
      <c r="B193" t="s">
        <v>4143</v>
      </c>
      <c r="C193" t="s">
        <v>4143</v>
      </c>
      <c r="D193" s="4">
        <v>45982</v>
      </c>
      <c r="E193">
        <v>72586</v>
      </c>
      <c r="F193" t="s">
        <v>4144</v>
      </c>
      <c r="G193" t="s">
        <v>4145</v>
      </c>
      <c r="H193" t="s">
        <v>152</v>
      </c>
      <c r="I193" t="s">
        <v>171</v>
      </c>
      <c r="J193" t="s">
        <v>172</v>
      </c>
      <c r="K193" t="s">
        <v>4146</v>
      </c>
      <c r="L193" t="s">
        <v>44</v>
      </c>
      <c r="M193" t="s">
        <v>4147</v>
      </c>
      <c r="N193">
        <v>21100</v>
      </c>
      <c r="O193" t="s">
        <v>45</v>
      </c>
      <c r="P193" t="s">
        <v>81</v>
      </c>
      <c r="Q193" t="s">
        <v>52</v>
      </c>
      <c r="R193">
        <v>1976</v>
      </c>
      <c r="S193">
        <v>95.71</v>
      </c>
      <c r="T193">
        <v>0</v>
      </c>
      <c r="U193">
        <v>0</v>
      </c>
      <c r="V193" t="s">
        <v>4148</v>
      </c>
      <c r="W193">
        <v>74345490</v>
      </c>
      <c r="X193" t="s">
        <v>49</v>
      </c>
      <c r="Y193" t="s">
        <v>4149</v>
      </c>
      <c r="Z193" t="b">
        <v>0</v>
      </c>
      <c r="AA193">
        <v>758.39515202173232</v>
      </c>
      <c r="AN193" t="e">
        <f>100*(1-E193/AL193)</f>
        <v>#DIV/0!</v>
      </c>
    </row>
    <row r="194" spans="1:40" x14ac:dyDescent="0.3">
      <c r="A194" t="s">
        <v>139</v>
      </c>
      <c r="B194" t="s">
        <v>4273</v>
      </c>
      <c r="C194" t="s">
        <v>4274</v>
      </c>
      <c r="D194" s="4">
        <v>45982</v>
      </c>
      <c r="E194">
        <v>25500</v>
      </c>
      <c r="F194" t="s">
        <v>4275</v>
      </c>
      <c r="G194" t="s">
        <v>462</v>
      </c>
      <c r="H194" t="s">
        <v>230</v>
      </c>
      <c r="I194" t="s">
        <v>463</v>
      </c>
      <c r="J194" t="s">
        <v>464</v>
      </c>
      <c r="K194" t="s">
        <v>4276</v>
      </c>
      <c r="L194" t="s">
        <v>44</v>
      </c>
      <c r="M194" t="s">
        <v>4277</v>
      </c>
      <c r="N194">
        <v>68100</v>
      </c>
      <c r="O194" t="s">
        <v>45</v>
      </c>
      <c r="P194" t="s">
        <v>54</v>
      </c>
      <c r="Q194" t="s">
        <v>85</v>
      </c>
      <c r="R194">
        <v>1979</v>
      </c>
      <c r="S194">
        <v>81.38</v>
      </c>
      <c r="T194" t="s">
        <v>48</v>
      </c>
      <c r="U194">
        <v>50</v>
      </c>
      <c r="V194" t="s">
        <v>4278</v>
      </c>
      <c r="W194">
        <v>29152654</v>
      </c>
      <c r="X194" t="s">
        <v>49</v>
      </c>
      <c r="Y194" t="s">
        <v>4279</v>
      </c>
      <c r="Z194" t="b">
        <v>0</v>
      </c>
      <c r="AA194">
        <v>313.34480216269361</v>
      </c>
      <c r="AN194" t="e">
        <f>100*(1-E194/AL194)</f>
        <v>#DIV/0!</v>
      </c>
    </row>
    <row r="195" spans="1:40" x14ac:dyDescent="0.3">
      <c r="A195" t="s">
        <v>139</v>
      </c>
      <c r="B195" t="s">
        <v>4280</v>
      </c>
      <c r="C195" t="s">
        <v>4274</v>
      </c>
      <c r="D195" s="4">
        <v>45982</v>
      </c>
      <c r="E195">
        <v>25500</v>
      </c>
      <c r="F195" t="s">
        <v>4275</v>
      </c>
      <c r="G195" t="s">
        <v>462</v>
      </c>
      <c r="H195" t="s">
        <v>230</v>
      </c>
      <c r="I195" t="s">
        <v>463</v>
      </c>
      <c r="J195" t="s">
        <v>464</v>
      </c>
      <c r="K195" t="s">
        <v>4276</v>
      </c>
      <c r="L195" t="s">
        <v>44</v>
      </c>
      <c r="M195" t="s">
        <v>4281</v>
      </c>
      <c r="N195">
        <v>68100</v>
      </c>
      <c r="O195" t="s">
        <v>45</v>
      </c>
      <c r="P195" t="s">
        <v>54</v>
      </c>
      <c r="Q195" t="s">
        <v>85</v>
      </c>
      <c r="R195">
        <v>1979</v>
      </c>
      <c r="S195">
        <v>81.38</v>
      </c>
      <c r="T195" t="s">
        <v>48</v>
      </c>
      <c r="U195">
        <v>50</v>
      </c>
      <c r="V195" t="s">
        <v>4282</v>
      </c>
      <c r="W195">
        <v>36367759</v>
      </c>
      <c r="X195" t="s">
        <v>49</v>
      </c>
      <c r="Y195" t="s">
        <v>4279</v>
      </c>
      <c r="Z195" t="b">
        <v>0</v>
      </c>
      <c r="AA195">
        <v>313.34480216269361</v>
      </c>
      <c r="AN195" t="e">
        <f>100*(1-E195/AL195)</f>
        <v>#DIV/0!</v>
      </c>
    </row>
    <row r="196" spans="1:40" x14ac:dyDescent="0.3">
      <c r="A196" t="s">
        <v>59</v>
      </c>
      <c r="B196" t="s">
        <v>5005</v>
      </c>
      <c r="C196" t="s">
        <v>5005</v>
      </c>
      <c r="D196" s="4">
        <v>45982</v>
      </c>
      <c r="E196">
        <v>165000</v>
      </c>
      <c r="F196" t="s">
        <v>5006</v>
      </c>
      <c r="G196" t="s">
        <v>1805</v>
      </c>
      <c r="H196" t="s">
        <v>111</v>
      </c>
      <c r="I196" t="s">
        <v>316</v>
      </c>
      <c r="J196" t="s">
        <v>113</v>
      </c>
      <c r="K196" t="s">
        <v>5007</v>
      </c>
      <c r="L196" t="s">
        <v>44</v>
      </c>
      <c r="M196" t="s">
        <v>5008</v>
      </c>
      <c r="N196">
        <v>35009</v>
      </c>
      <c r="O196" t="s">
        <v>45</v>
      </c>
      <c r="P196" t="s">
        <v>81</v>
      </c>
      <c r="Q196" t="s">
        <v>55</v>
      </c>
      <c r="R196">
        <v>1990</v>
      </c>
      <c r="S196">
        <v>216.44</v>
      </c>
      <c r="T196">
        <v>0</v>
      </c>
      <c r="U196">
        <v>0</v>
      </c>
      <c r="V196" t="s">
        <v>5009</v>
      </c>
      <c r="W196">
        <v>37796785</v>
      </c>
      <c r="X196" t="s">
        <v>86</v>
      </c>
      <c r="Y196" t="s">
        <v>5010</v>
      </c>
      <c r="Z196" t="b">
        <v>0</v>
      </c>
      <c r="AA196">
        <v>762.33598225836261</v>
      </c>
      <c r="AN196" t="e">
        <f>100*(1-E196/AL196)</f>
        <v>#DIV/0!</v>
      </c>
    </row>
    <row r="197" spans="1:40" x14ac:dyDescent="0.3">
      <c r="A197" t="s">
        <v>213</v>
      </c>
      <c r="B197" t="s">
        <v>5550</v>
      </c>
      <c r="C197" t="s">
        <v>5550</v>
      </c>
      <c r="D197" s="4">
        <v>45982</v>
      </c>
      <c r="E197">
        <v>39000</v>
      </c>
      <c r="F197" t="s">
        <v>3673</v>
      </c>
      <c r="G197" t="s">
        <v>110</v>
      </c>
      <c r="H197" t="s">
        <v>111</v>
      </c>
      <c r="I197" t="s">
        <v>112</v>
      </c>
      <c r="J197" t="s">
        <v>113</v>
      </c>
      <c r="K197" t="s">
        <v>5551</v>
      </c>
      <c r="L197" t="s">
        <v>44</v>
      </c>
      <c r="M197" t="s">
        <v>5552</v>
      </c>
      <c r="N197">
        <v>35100</v>
      </c>
      <c r="O197" t="s">
        <v>45</v>
      </c>
      <c r="P197" t="s">
        <v>54</v>
      </c>
      <c r="Q197" t="s">
        <v>85</v>
      </c>
      <c r="R197">
        <v>2000</v>
      </c>
      <c r="S197">
        <v>85.3</v>
      </c>
      <c r="T197" t="s">
        <v>48</v>
      </c>
      <c r="U197">
        <v>50</v>
      </c>
      <c r="V197" t="s">
        <v>5553</v>
      </c>
      <c r="W197">
        <v>101930148</v>
      </c>
      <c r="X197" t="s">
        <v>86</v>
      </c>
      <c r="Y197" t="s">
        <v>5554</v>
      </c>
      <c r="Z197" t="b">
        <v>0</v>
      </c>
      <c r="AA197">
        <v>457.20984759671751</v>
      </c>
      <c r="AN197" t="e">
        <f>100*(1-E197/AL197)</f>
        <v>#DIV/0!</v>
      </c>
    </row>
    <row r="198" spans="1:40" x14ac:dyDescent="0.3">
      <c r="A198" t="s">
        <v>213</v>
      </c>
      <c r="B198" t="s">
        <v>5550</v>
      </c>
      <c r="C198" t="s">
        <v>5550</v>
      </c>
      <c r="D198" s="4">
        <v>45982</v>
      </c>
      <c r="E198">
        <v>39000</v>
      </c>
      <c r="F198" t="s">
        <v>3673</v>
      </c>
      <c r="G198" t="s">
        <v>110</v>
      </c>
      <c r="H198" t="s">
        <v>111</v>
      </c>
      <c r="I198" t="s">
        <v>112</v>
      </c>
      <c r="J198" t="s">
        <v>113</v>
      </c>
      <c r="K198" t="s">
        <v>5551</v>
      </c>
      <c r="L198" t="s">
        <v>44</v>
      </c>
      <c r="M198" t="s">
        <v>5552</v>
      </c>
      <c r="N198">
        <v>35100</v>
      </c>
      <c r="O198" t="s">
        <v>45</v>
      </c>
      <c r="P198" t="s">
        <v>54</v>
      </c>
      <c r="Q198" t="s">
        <v>85</v>
      </c>
      <c r="R198">
        <v>2000</v>
      </c>
      <c r="S198">
        <v>85.3</v>
      </c>
      <c r="T198" t="s">
        <v>48</v>
      </c>
      <c r="U198">
        <v>50</v>
      </c>
      <c r="V198" t="s">
        <v>5553</v>
      </c>
      <c r="W198">
        <v>101930148</v>
      </c>
      <c r="X198" t="s">
        <v>86</v>
      </c>
      <c r="Y198" t="s">
        <v>5554</v>
      </c>
      <c r="Z198" t="b">
        <v>0</v>
      </c>
      <c r="AA198">
        <v>457.20984759671751</v>
      </c>
      <c r="AN198" t="e">
        <f>100*(1-E198/AL198)</f>
        <v>#DIV/0!</v>
      </c>
    </row>
    <row r="199" spans="1:40" x14ac:dyDescent="0.3">
      <c r="A199" t="s">
        <v>215</v>
      </c>
      <c r="B199" t="s">
        <v>6034</v>
      </c>
      <c r="C199" t="s">
        <v>6034</v>
      </c>
      <c r="D199" s="4">
        <v>45982</v>
      </c>
      <c r="E199">
        <v>37000</v>
      </c>
      <c r="F199" t="s">
        <v>3515</v>
      </c>
      <c r="G199" t="s">
        <v>110</v>
      </c>
      <c r="H199" t="s">
        <v>111</v>
      </c>
      <c r="I199" t="s">
        <v>112</v>
      </c>
      <c r="J199" t="s">
        <v>113</v>
      </c>
      <c r="K199" t="s">
        <v>6035</v>
      </c>
      <c r="L199" t="s">
        <v>44</v>
      </c>
      <c r="M199" t="s">
        <v>6036</v>
      </c>
      <c r="N199">
        <v>35100</v>
      </c>
      <c r="O199" t="s">
        <v>45</v>
      </c>
      <c r="P199" t="s">
        <v>54</v>
      </c>
      <c r="Q199" t="s">
        <v>291</v>
      </c>
      <c r="R199">
        <v>2005</v>
      </c>
      <c r="S199">
        <v>40.53</v>
      </c>
      <c r="T199">
        <v>0</v>
      </c>
      <c r="U199">
        <v>0</v>
      </c>
      <c r="V199" t="s">
        <v>6037</v>
      </c>
      <c r="W199">
        <v>43936385</v>
      </c>
      <c r="X199" t="s">
        <v>86</v>
      </c>
      <c r="Y199" t="s">
        <v>6038</v>
      </c>
      <c r="Z199" t="b">
        <v>0</v>
      </c>
      <c r="AA199">
        <v>912.90402171231187</v>
      </c>
      <c r="AN199" t="e">
        <f>100*(1-E199/AL199)</f>
        <v>#DIV/0!</v>
      </c>
    </row>
    <row r="200" spans="1:40" x14ac:dyDescent="0.3">
      <c r="A200" t="s">
        <v>183</v>
      </c>
      <c r="B200" t="s">
        <v>6524</v>
      </c>
      <c r="C200" t="s">
        <v>6524</v>
      </c>
      <c r="D200" s="4">
        <v>45982</v>
      </c>
      <c r="E200">
        <v>163000</v>
      </c>
      <c r="F200" t="s">
        <v>5733</v>
      </c>
      <c r="G200" t="s">
        <v>1994</v>
      </c>
      <c r="H200" t="s">
        <v>152</v>
      </c>
      <c r="I200" t="s">
        <v>1995</v>
      </c>
      <c r="J200" t="s">
        <v>1996</v>
      </c>
      <c r="K200" t="s">
        <v>6525</v>
      </c>
      <c r="L200" t="s">
        <v>44</v>
      </c>
      <c r="M200" t="s">
        <v>6526</v>
      </c>
      <c r="N200">
        <v>23100</v>
      </c>
      <c r="O200" t="s">
        <v>45</v>
      </c>
      <c r="P200" t="s">
        <v>81</v>
      </c>
      <c r="Q200" t="s">
        <v>55</v>
      </c>
      <c r="R200">
        <v>2009</v>
      </c>
      <c r="S200">
        <v>205.23</v>
      </c>
      <c r="T200">
        <v>0</v>
      </c>
      <c r="U200">
        <v>0</v>
      </c>
      <c r="V200" t="s">
        <v>6527</v>
      </c>
      <c r="W200">
        <v>37149999</v>
      </c>
      <c r="X200" t="s">
        <v>49</v>
      </c>
      <c r="Y200" t="s">
        <v>6528</v>
      </c>
      <c r="Z200" t="b">
        <v>0</v>
      </c>
      <c r="AA200">
        <v>794.23086293426888</v>
      </c>
      <c r="AN200" t="e">
        <f>100*(1-E200/AL200)</f>
        <v>#DIV/0!</v>
      </c>
    </row>
    <row r="201" spans="1:40" x14ac:dyDescent="0.3">
      <c r="A201" t="s">
        <v>39</v>
      </c>
      <c r="B201" t="s">
        <v>859</v>
      </c>
      <c r="C201" t="s">
        <v>859</v>
      </c>
      <c r="D201" s="4">
        <v>45987</v>
      </c>
      <c r="E201">
        <v>46000</v>
      </c>
      <c r="F201" t="s">
        <v>860</v>
      </c>
      <c r="G201" t="s">
        <v>861</v>
      </c>
      <c r="H201" t="s">
        <v>124</v>
      </c>
      <c r="I201" t="s">
        <v>399</v>
      </c>
      <c r="J201" t="s">
        <v>256</v>
      </c>
      <c r="K201" t="s">
        <v>862</v>
      </c>
      <c r="L201" t="s">
        <v>44</v>
      </c>
      <c r="M201" t="s">
        <v>863</v>
      </c>
      <c r="N201">
        <v>30009</v>
      </c>
      <c r="O201" t="s">
        <v>50</v>
      </c>
      <c r="P201" t="s">
        <v>51</v>
      </c>
      <c r="Q201" t="s">
        <v>52</v>
      </c>
      <c r="R201">
        <v>0</v>
      </c>
      <c r="S201">
        <v>109.83</v>
      </c>
      <c r="T201">
        <v>0</v>
      </c>
      <c r="U201">
        <v>0</v>
      </c>
      <c r="V201" t="s">
        <v>864</v>
      </c>
      <c r="W201">
        <v>47067129</v>
      </c>
      <c r="X201" t="s">
        <v>86</v>
      </c>
      <c r="Y201" t="s">
        <v>865</v>
      </c>
      <c r="Z201" t="b">
        <v>0</v>
      </c>
      <c r="AA201">
        <v>418.82909951743602</v>
      </c>
      <c r="AN201" t="e">
        <f>100*(1-E201/AL201)</f>
        <v>#DIV/0!</v>
      </c>
    </row>
    <row r="202" spans="1:40" x14ac:dyDescent="0.3">
      <c r="A202" t="s">
        <v>183</v>
      </c>
      <c r="B202" t="s">
        <v>866</v>
      </c>
      <c r="C202" t="s">
        <v>866</v>
      </c>
      <c r="D202" s="4">
        <v>45987</v>
      </c>
      <c r="E202">
        <v>154000</v>
      </c>
      <c r="F202" t="s">
        <v>867</v>
      </c>
      <c r="G202" t="s">
        <v>868</v>
      </c>
      <c r="H202" t="s">
        <v>67</v>
      </c>
      <c r="I202" t="s">
        <v>869</v>
      </c>
      <c r="J202" t="s">
        <v>67</v>
      </c>
      <c r="K202" t="s">
        <v>870</v>
      </c>
      <c r="L202" t="s">
        <v>44</v>
      </c>
      <c r="M202" t="s">
        <v>871</v>
      </c>
      <c r="N202">
        <v>19010</v>
      </c>
      <c r="O202" t="s">
        <v>45</v>
      </c>
      <c r="P202" t="s">
        <v>81</v>
      </c>
      <c r="Q202" t="s">
        <v>52</v>
      </c>
      <c r="R202">
        <v>0</v>
      </c>
      <c r="S202">
        <v>73.5</v>
      </c>
      <c r="T202">
        <v>0</v>
      </c>
      <c r="U202">
        <v>0</v>
      </c>
      <c r="V202" t="s">
        <v>872</v>
      </c>
      <c r="W202" t="s">
        <v>873</v>
      </c>
      <c r="X202" t="s">
        <v>86</v>
      </c>
      <c r="Y202" t="s">
        <v>874</v>
      </c>
      <c r="Z202" t="b">
        <v>0</v>
      </c>
      <c r="AA202">
        <v>2095.238095238095</v>
      </c>
      <c r="AN202" t="e">
        <f>100*(1-E202/AL202)</f>
        <v>#DIV/0!</v>
      </c>
    </row>
    <row r="203" spans="1:40" x14ac:dyDescent="0.3">
      <c r="A203" t="s">
        <v>139</v>
      </c>
      <c r="B203" t="s">
        <v>875</v>
      </c>
      <c r="C203" t="s">
        <v>875</v>
      </c>
      <c r="D203" s="4">
        <v>45987</v>
      </c>
      <c r="E203">
        <v>46600</v>
      </c>
      <c r="F203" t="s">
        <v>876</v>
      </c>
      <c r="G203" t="s">
        <v>492</v>
      </c>
      <c r="H203" t="s">
        <v>62</v>
      </c>
      <c r="I203" t="s">
        <v>402</v>
      </c>
      <c r="J203" t="s">
        <v>108</v>
      </c>
      <c r="K203" t="s">
        <v>877</v>
      </c>
      <c r="L203" t="s">
        <v>44</v>
      </c>
      <c r="M203" t="s">
        <v>878</v>
      </c>
      <c r="N203">
        <v>59300</v>
      </c>
      <c r="O203" t="s">
        <v>45</v>
      </c>
      <c r="P203" t="s">
        <v>54</v>
      </c>
      <c r="Q203" t="s">
        <v>52</v>
      </c>
      <c r="R203">
        <v>0</v>
      </c>
      <c r="S203">
        <v>58.16</v>
      </c>
      <c r="T203">
        <v>0</v>
      </c>
      <c r="U203">
        <v>0</v>
      </c>
      <c r="V203" t="s">
        <v>879</v>
      </c>
      <c r="W203">
        <v>100813628</v>
      </c>
      <c r="X203" t="s">
        <v>86</v>
      </c>
      <c r="Y203" t="s">
        <v>880</v>
      </c>
      <c r="Z203" t="b">
        <v>0</v>
      </c>
      <c r="AA203">
        <v>801.23796423658882</v>
      </c>
      <c r="AN203" t="e">
        <f>100*(1-E203/AL203)</f>
        <v>#DIV/0!</v>
      </c>
    </row>
    <row r="204" spans="1:40" x14ac:dyDescent="0.3">
      <c r="A204" t="s">
        <v>71</v>
      </c>
      <c r="B204" t="s">
        <v>881</v>
      </c>
      <c r="C204" t="s">
        <v>881</v>
      </c>
      <c r="D204" s="4">
        <v>45987</v>
      </c>
      <c r="E204">
        <v>22000</v>
      </c>
      <c r="F204" t="s">
        <v>882</v>
      </c>
      <c r="G204" t="s">
        <v>238</v>
      </c>
      <c r="H204" t="s">
        <v>62</v>
      </c>
      <c r="I204" t="s">
        <v>238</v>
      </c>
      <c r="J204" t="s">
        <v>238</v>
      </c>
      <c r="K204" t="s">
        <v>883</v>
      </c>
      <c r="L204" t="s">
        <v>44</v>
      </c>
      <c r="M204" t="s">
        <v>884</v>
      </c>
      <c r="N204">
        <v>61100</v>
      </c>
      <c r="O204" t="s">
        <v>50</v>
      </c>
      <c r="P204" t="s">
        <v>46</v>
      </c>
      <c r="Q204">
        <v>0</v>
      </c>
      <c r="R204">
        <v>0</v>
      </c>
      <c r="S204">
        <v>64</v>
      </c>
      <c r="T204">
        <v>0</v>
      </c>
      <c r="U204">
        <v>0</v>
      </c>
      <c r="V204" t="s">
        <v>885</v>
      </c>
      <c r="W204">
        <v>135513460</v>
      </c>
      <c r="X204" t="s">
        <v>86</v>
      </c>
      <c r="Y204" t="s">
        <v>886</v>
      </c>
      <c r="Z204" t="b">
        <v>0</v>
      </c>
      <c r="AA204">
        <v>343.75</v>
      </c>
      <c r="AN204" t="e">
        <f>100*(1-E204/AL204)</f>
        <v>#DIV/0!</v>
      </c>
    </row>
    <row r="205" spans="1:40" x14ac:dyDescent="0.3">
      <c r="A205" t="s">
        <v>166</v>
      </c>
      <c r="B205" t="s">
        <v>887</v>
      </c>
      <c r="C205" t="s">
        <v>887</v>
      </c>
      <c r="D205" s="4">
        <v>45987</v>
      </c>
      <c r="E205">
        <v>33750</v>
      </c>
      <c r="F205" t="s">
        <v>888</v>
      </c>
      <c r="G205" t="s">
        <v>889</v>
      </c>
      <c r="H205" t="s">
        <v>62</v>
      </c>
      <c r="I205" t="s">
        <v>890</v>
      </c>
      <c r="J205" t="s">
        <v>63</v>
      </c>
      <c r="K205" t="s">
        <v>891</v>
      </c>
      <c r="L205" t="s">
        <v>44</v>
      </c>
      <c r="M205" t="s">
        <v>892</v>
      </c>
      <c r="N205">
        <v>56728</v>
      </c>
      <c r="O205" t="s">
        <v>45</v>
      </c>
      <c r="P205" t="s">
        <v>54</v>
      </c>
      <c r="Q205" t="s">
        <v>55</v>
      </c>
      <c r="R205">
        <v>0</v>
      </c>
      <c r="S205">
        <v>110.25</v>
      </c>
      <c r="T205" t="s">
        <v>48</v>
      </c>
      <c r="U205" t="s">
        <v>893</v>
      </c>
      <c r="V205" t="s">
        <v>894</v>
      </c>
      <c r="W205">
        <v>37282320</v>
      </c>
      <c r="X205" t="s">
        <v>86</v>
      </c>
      <c r="Y205" t="s">
        <v>895</v>
      </c>
      <c r="Z205" t="b">
        <v>0</v>
      </c>
      <c r="AA205">
        <v>306.12244897959181</v>
      </c>
      <c r="AN205" t="e">
        <f>100*(1-E205/AL205)</f>
        <v>#DIV/0!</v>
      </c>
    </row>
    <row r="206" spans="1:40" x14ac:dyDescent="0.3">
      <c r="A206" t="s">
        <v>59</v>
      </c>
      <c r="B206" t="s">
        <v>896</v>
      </c>
      <c r="C206" t="s">
        <v>896</v>
      </c>
      <c r="D206" s="4">
        <v>45987</v>
      </c>
      <c r="E206">
        <v>21800</v>
      </c>
      <c r="F206" t="s">
        <v>897</v>
      </c>
      <c r="G206" t="s">
        <v>178</v>
      </c>
      <c r="H206" t="s">
        <v>111</v>
      </c>
      <c r="I206" t="s">
        <v>179</v>
      </c>
      <c r="J206" t="s">
        <v>175</v>
      </c>
      <c r="K206" t="s">
        <v>898</v>
      </c>
      <c r="L206" t="s">
        <v>44</v>
      </c>
      <c r="M206" t="s">
        <v>899</v>
      </c>
      <c r="N206">
        <v>34015</v>
      </c>
      <c r="O206" t="s">
        <v>97</v>
      </c>
      <c r="P206" t="s">
        <v>118</v>
      </c>
      <c r="Q206">
        <v>0</v>
      </c>
      <c r="R206">
        <v>0</v>
      </c>
      <c r="S206">
        <v>10000</v>
      </c>
      <c r="T206">
        <v>0</v>
      </c>
      <c r="U206">
        <v>0</v>
      </c>
      <c r="V206" t="s">
        <v>900</v>
      </c>
      <c r="W206">
        <v>77064998</v>
      </c>
      <c r="X206" t="s">
        <v>86</v>
      </c>
      <c r="Y206" t="s">
        <v>901</v>
      </c>
      <c r="Z206" t="b">
        <v>0</v>
      </c>
      <c r="AA206">
        <v>2.1800000000000002</v>
      </c>
      <c r="AN206" t="e">
        <f>100*(1-E206/AL206)</f>
        <v>#DIV/0!</v>
      </c>
    </row>
    <row r="207" spans="1:40" x14ac:dyDescent="0.3">
      <c r="A207" t="s">
        <v>59</v>
      </c>
      <c r="B207" t="s">
        <v>902</v>
      </c>
      <c r="C207" t="s">
        <v>902</v>
      </c>
      <c r="D207" s="4">
        <v>45987</v>
      </c>
      <c r="E207">
        <v>169000</v>
      </c>
      <c r="F207" t="s">
        <v>903</v>
      </c>
      <c r="G207" t="s">
        <v>173</v>
      </c>
      <c r="H207" t="s">
        <v>111</v>
      </c>
      <c r="I207" t="s">
        <v>174</v>
      </c>
      <c r="J207" t="s">
        <v>175</v>
      </c>
      <c r="K207" t="s">
        <v>904</v>
      </c>
      <c r="L207" t="s">
        <v>44</v>
      </c>
      <c r="M207" t="s">
        <v>905</v>
      </c>
      <c r="N207">
        <v>34100</v>
      </c>
      <c r="O207" t="s">
        <v>45</v>
      </c>
      <c r="P207" t="s">
        <v>81</v>
      </c>
      <c r="Q207" t="s">
        <v>55</v>
      </c>
      <c r="R207">
        <v>0</v>
      </c>
      <c r="S207">
        <v>165.64</v>
      </c>
      <c r="T207">
        <v>0</v>
      </c>
      <c r="U207">
        <v>0</v>
      </c>
      <c r="V207" t="s">
        <v>906</v>
      </c>
      <c r="W207">
        <v>43668522</v>
      </c>
      <c r="X207" t="s">
        <v>86</v>
      </c>
      <c r="Y207" t="s">
        <v>907</v>
      </c>
      <c r="Z207" t="b">
        <v>0</v>
      </c>
      <c r="AA207">
        <v>1020.284955324801</v>
      </c>
      <c r="AN207" t="e">
        <f>100*(1-E207/AL207)</f>
        <v>#DIV/0!</v>
      </c>
    </row>
    <row r="208" spans="1:40" x14ac:dyDescent="0.3">
      <c r="A208" t="s">
        <v>59</v>
      </c>
      <c r="B208" t="s">
        <v>908</v>
      </c>
      <c r="C208" t="s">
        <v>908</v>
      </c>
      <c r="D208" s="4">
        <v>45987</v>
      </c>
      <c r="E208">
        <v>48100</v>
      </c>
      <c r="F208" t="s">
        <v>909</v>
      </c>
      <c r="G208" t="s">
        <v>572</v>
      </c>
      <c r="H208" t="s">
        <v>94</v>
      </c>
      <c r="I208" t="s">
        <v>332</v>
      </c>
      <c r="J208" t="s">
        <v>105</v>
      </c>
      <c r="K208" t="s">
        <v>910</v>
      </c>
      <c r="L208" t="s">
        <v>80</v>
      </c>
      <c r="M208" t="s">
        <v>911</v>
      </c>
      <c r="N208">
        <v>73005</v>
      </c>
      <c r="O208" t="s">
        <v>45</v>
      </c>
      <c r="P208" t="s">
        <v>81</v>
      </c>
      <c r="Q208" t="s">
        <v>52</v>
      </c>
      <c r="R208">
        <v>0</v>
      </c>
      <c r="S208">
        <v>116.5</v>
      </c>
      <c r="T208">
        <v>0</v>
      </c>
      <c r="U208">
        <v>0</v>
      </c>
      <c r="V208" t="s">
        <v>912</v>
      </c>
      <c r="W208">
        <v>118834595</v>
      </c>
      <c r="X208" t="s">
        <v>49</v>
      </c>
      <c r="Y208">
        <v>0</v>
      </c>
      <c r="Z208" t="b">
        <v>0</v>
      </c>
      <c r="AA208">
        <v>412.87553648068672</v>
      </c>
      <c r="AN208" t="e">
        <f>100*(1-E208/AL208)</f>
        <v>#DIV/0!</v>
      </c>
    </row>
    <row r="209" spans="1:40" x14ac:dyDescent="0.3">
      <c r="A209" t="s">
        <v>166</v>
      </c>
      <c r="B209" t="s">
        <v>913</v>
      </c>
      <c r="C209" t="s">
        <v>913</v>
      </c>
      <c r="D209" s="4">
        <v>45987</v>
      </c>
      <c r="E209">
        <v>38900</v>
      </c>
      <c r="F209" t="s">
        <v>914</v>
      </c>
      <c r="G209" t="s">
        <v>684</v>
      </c>
      <c r="H209" t="s">
        <v>136</v>
      </c>
      <c r="I209" t="s">
        <v>451</v>
      </c>
      <c r="J209" t="s">
        <v>452</v>
      </c>
      <c r="K209" t="s">
        <v>915</v>
      </c>
      <c r="L209" t="s">
        <v>44</v>
      </c>
      <c r="M209" t="s">
        <v>916</v>
      </c>
      <c r="N209">
        <v>38445</v>
      </c>
      <c r="O209" t="s">
        <v>45</v>
      </c>
      <c r="P209" t="s">
        <v>54</v>
      </c>
      <c r="Q209" t="s">
        <v>85</v>
      </c>
      <c r="R209">
        <v>0</v>
      </c>
      <c r="S209">
        <v>81.19</v>
      </c>
      <c r="T209" t="s">
        <v>161</v>
      </c>
      <c r="U209">
        <v>100</v>
      </c>
      <c r="V209" t="s">
        <v>917</v>
      </c>
      <c r="W209">
        <v>106810232</v>
      </c>
      <c r="X209" t="s">
        <v>86</v>
      </c>
      <c r="Y209" t="s">
        <v>918</v>
      </c>
      <c r="Z209" t="b">
        <v>0</v>
      </c>
      <c r="AA209">
        <v>479.12304470993968</v>
      </c>
      <c r="AN209" t="e">
        <f>100*(1-E209/AL209)</f>
        <v>#DIV/0!</v>
      </c>
    </row>
    <row r="210" spans="1:40" x14ac:dyDescent="0.3">
      <c r="A210" t="s">
        <v>183</v>
      </c>
      <c r="B210" t="s">
        <v>919</v>
      </c>
      <c r="C210" t="s">
        <v>919</v>
      </c>
      <c r="D210" s="4">
        <v>45987</v>
      </c>
      <c r="E210">
        <v>61000</v>
      </c>
      <c r="F210" t="s">
        <v>920</v>
      </c>
      <c r="G210" t="s">
        <v>300</v>
      </c>
      <c r="H210" t="s">
        <v>67</v>
      </c>
      <c r="I210" t="s">
        <v>301</v>
      </c>
      <c r="J210" t="s">
        <v>67</v>
      </c>
      <c r="K210" t="s">
        <v>921</v>
      </c>
      <c r="L210" t="s">
        <v>44</v>
      </c>
      <c r="M210" t="s">
        <v>922</v>
      </c>
      <c r="N210">
        <v>18450</v>
      </c>
      <c r="O210" t="s">
        <v>45</v>
      </c>
      <c r="P210" t="s">
        <v>54</v>
      </c>
      <c r="Q210" t="s">
        <v>85</v>
      </c>
      <c r="R210">
        <v>0</v>
      </c>
      <c r="S210">
        <v>44</v>
      </c>
      <c r="T210">
        <v>0</v>
      </c>
      <c r="U210">
        <v>0</v>
      </c>
      <c r="V210" t="s">
        <v>923</v>
      </c>
      <c r="W210">
        <v>40368010</v>
      </c>
      <c r="X210" t="s">
        <v>49</v>
      </c>
      <c r="Y210" t="s">
        <v>924</v>
      </c>
      <c r="Z210" t="b">
        <v>0</v>
      </c>
      <c r="AA210">
        <v>1386.363636363636</v>
      </c>
      <c r="AN210" t="e">
        <f>100*(1-E210/AL210)</f>
        <v>#DIV/0!</v>
      </c>
    </row>
    <row r="211" spans="1:40" x14ac:dyDescent="0.3">
      <c r="A211" t="s">
        <v>120</v>
      </c>
      <c r="B211" t="s">
        <v>925</v>
      </c>
      <c r="C211" t="s">
        <v>926</v>
      </c>
      <c r="D211" s="4">
        <v>45987</v>
      </c>
      <c r="E211">
        <v>23000</v>
      </c>
      <c r="F211" t="s">
        <v>927</v>
      </c>
      <c r="G211" t="s">
        <v>439</v>
      </c>
      <c r="H211" t="s">
        <v>124</v>
      </c>
      <c r="I211" t="s">
        <v>405</v>
      </c>
      <c r="J211" t="s">
        <v>126</v>
      </c>
      <c r="K211" t="s">
        <v>928</v>
      </c>
      <c r="L211" t="s">
        <v>44</v>
      </c>
      <c r="M211" t="s">
        <v>929</v>
      </c>
      <c r="N211">
        <v>26504</v>
      </c>
      <c r="O211" t="s">
        <v>45</v>
      </c>
      <c r="P211" t="s">
        <v>54</v>
      </c>
      <c r="Q211" t="s">
        <v>55</v>
      </c>
      <c r="R211">
        <v>0</v>
      </c>
      <c r="S211">
        <v>78.3</v>
      </c>
      <c r="T211" t="s">
        <v>48</v>
      </c>
      <c r="U211">
        <v>50</v>
      </c>
      <c r="V211" t="s">
        <v>930</v>
      </c>
      <c r="W211">
        <v>34928480</v>
      </c>
      <c r="X211" t="s">
        <v>49</v>
      </c>
      <c r="Y211" t="s">
        <v>931</v>
      </c>
      <c r="Z211" t="b">
        <v>0</v>
      </c>
      <c r="AA211">
        <v>293.74201787994889</v>
      </c>
      <c r="AN211" t="e">
        <f>100*(1-E211/AL211)</f>
        <v>#DIV/0!</v>
      </c>
    </row>
    <row r="212" spans="1:40" x14ac:dyDescent="0.3">
      <c r="A212" t="s">
        <v>120</v>
      </c>
      <c r="B212" t="s">
        <v>932</v>
      </c>
      <c r="C212" t="s">
        <v>926</v>
      </c>
      <c r="D212" s="4">
        <v>45987</v>
      </c>
      <c r="E212">
        <v>4000</v>
      </c>
      <c r="F212" t="s">
        <v>933</v>
      </c>
      <c r="G212" t="s">
        <v>439</v>
      </c>
      <c r="H212" t="s">
        <v>124</v>
      </c>
      <c r="I212" t="s">
        <v>405</v>
      </c>
      <c r="J212" t="s">
        <v>126</v>
      </c>
      <c r="K212" t="s">
        <v>928</v>
      </c>
      <c r="L212" t="s">
        <v>44</v>
      </c>
      <c r="M212" t="s">
        <v>929</v>
      </c>
      <c r="N212">
        <v>26504</v>
      </c>
      <c r="O212" t="s">
        <v>45</v>
      </c>
      <c r="P212" t="s">
        <v>46</v>
      </c>
      <c r="Q212" t="s">
        <v>47</v>
      </c>
      <c r="R212">
        <v>0</v>
      </c>
      <c r="S212">
        <v>32.630000000000003</v>
      </c>
      <c r="T212" t="s">
        <v>48</v>
      </c>
      <c r="U212">
        <v>50</v>
      </c>
      <c r="V212" t="s">
        <v>930</v>
      </c>
      <c r="W212">
        <v>34928480</v>
      </c>
      <c r="X212" t="s">
        <v>49</v>
      </c>
      <c r="Y212" t="s">
        <v>934</v>
      </c>
      <c r="Z212" t="b">
        <v>0</v>
      </c>
      <c r="AA212">
        <v>122.5865767698437</v>
      </c>
      <c r="AN212" t="e">
        <f>100*(1-E212/AL212)</f>
        <v>#DIV/0!</v>
      </c>
    </row>
    <row r="213" spans="1:40" x14ac:dyDescent="0.3">
      <c r="A213" t="s">
        <v>120</v>
      </c>
      <c r="B213" t="s">
        <v>935</v>
      </c>
      <c r="C213" t="s">
        <v>926</v>
      </c>
      <c r="D213" s="4">
        <v>45987</v>
      </c>
      <c r="E213">
        <v>26000</v>
      </c>
      <c r="F213" t="s">
        <v>936</v>
      </c>
      <c r="G213" t="s">
        <v>439</v>
      </c>
      <c r="H213" t="s">
        <v>124</v>
      </c>
      <c r="I213" t="s">
        <v>405</v>
      </c>
      <c r="J213" t="s">
        <v>126</v>
      </c>
      <c r="K213" t="s">
        <v>928</v>
      </c>
      <c r="L213" t="s">
        <v>44</v>
      </c>
      <c r="M213" t="s">
        <v>929</v>
      </c>
      <c r="N213">
        <v>26504</v>
      </c>
      <c r="O213" t="s">
        <v>45</v>
      </c>
      <c r="P213" t="s">
        <v>288</v>
      </c>
      <c r="Q213" t="s">
        <v>52</v>
      </c>
      <c r="R213">
        <v>0</v>
      </c>
      <c r="S213">
        <v>123.97</v>
      </c>
      <c r="T213" t="s">
        <v>48</v>
      </c>
      <c r="U213">
        <v>50</v>
      </c>
      <c r="V213" t="s">
        <v>930</v>
      </c>
      <c r="W213">
        <v>34928480</v>
      </c>
      <c r="X213" t="s">
        <v>49</v>
      </c>
      <c r="Y213" t="s">
        <v>937</v>
      </c>
      <c r="Z213" t="b">
        <v>0</v>
      </c>
      <c r="AA213">
        <v>209.72816003871901</v>
      </c>
      <c r="AN213" t="e">
        <f>100*(1-E213/AL213)</f>
        <v>#DIV/0!</v>
      </c>
    </row>
    <row r="214" spans="1:40" x14ac:dyDescent="0.3">
      <c r="A214" t="s">
        <v>139</v>
      </c>
      <c r="B214" t="s">
        <v>938</v>
      </c>
      <c r="C214" t="s">
        <v>938</v>
      </c>
      <c r="D214" s="4">
        <v>45987</v>
      </c>
      <c r="E214">
        <v>70000</v>
      </c>
      <c r="F214" t="s">
        <v>939</v>
      </c>
      <c r="G214" t="s">
        <v>940</v>
      </c>
      <c r="H214" t="s">
        <v>67</v>
      </c>
      <c r="I214" t="s">
        <v>869</v>
      </c>
      <c r="J214" t="s">
        <v>67</v>
      </c>
      <c r="K214" t="s">
        <v>941</v>
      </c>
      <c r="L214" t="s">
        <v>44</v>
      </c>
      <c r="M214" t="s">
        <v>940</v>
      </c>
      <c r="N214">
        <v>19003</v>
      </c>
      <c r="O214" t="s">
        <v>97</v>
      </c>
      <c r="P214" t="s">
        <v>98</v>
      </c>
      <c r="Q214">
        <v>0</v>
      </c>
      <c r="R214">
        <v>0</v>
      </c>
      <c r="S214">
        <v>720</v>
      </c>
      <c r="T214">
        <v>0</v>
      </c>
      <c r="U214">
        <v>0</v>
      </c>
      <c r="V214" t="s">
        <v>942</v>
      </c>
      <c r="W214">
        <v>57280028</v>
      </c>
      <c r="X214" t="s">
        <v>49</v>
      </c>
      <c r="Y214" t="s">
        <v>943</v>
      </c>
      <c r="Z214" t="b">
        <v>0</v>
      </c>
      <c r="AA214">
        <v>97.222222222222229</v>
      </c>
      <c r="AN214" t="e">
        <f>100*(1-E214/AL214)</f>
        <v>#DIV/0!</v>
      </c>
    </row>
    <row r="215" spans="1:40" x14ac:dyDescent="0.3">
      <c r="A215" t="s">
        <v>39</v>
      </c>
      <c r="B215" t="s">
        <v>944</v>
      </c>
      <c r="C215" t="s">
        <v>944</v>
      </c>
      <c r="D215" s="4">
        <v>45987</v>
      </c>
      <c r="E215">
        <v>216500</v>
      </c>
      <c r="F215" t="s">
        <v>945</v>
      </c>
      <c r="G215" t="s">
        <v>419</v>
      </c>
      <c r="H215" t="s">
        <v>152</v>
      </c>
      <c r="I215" t="s">
        <v>153</v>
      </c>
      <c r="J215" t="s">
        <v>154</v>
      </c>
      <c r="K215" t="s">
        <v>946</v>
      </c>
      <c r="L215" t="s">
        <v>44</v>
      </c>
      <c r="M215" t="s">
        <v>947</v>
      </c>
      <c r="N215">
        <v>24100</v>
      </c>
      <c r="O215" t="s">
        <v>45</v>
      </c>
      <c r="P215" t="s">
        <v>54</v>
      </c>
      <c r="Q215" t="s">
        <v>85</v>
      </c>
      <c r="R215">
        <v>0</v>
      </c>
      <c r="S215">
        <v>103.63</v>
      </c>
      <c r="T215">
        <v>0</v>
      </c>
      <c r="U215">
        <v>0</v>
      </c>
      <c r="V215" t="s">
        <v>948</v>
      </c>
      <c r="W215" t="s">
        <v>949</v>
      </c>
      <c r="X215" t="s">
        <v>49</v>
      </c>
      <c r="Y215" t="s">
        <v>950</v>
      </c>
      <c r="Z215" t="b">
        <v>0</v>
      </c>
      <c r="AA215">
        <v>2089.1633696805939</v>
      </c>
      <c r="AN215" t="e">
        <f>100*(1-E215/AL215)</f>
        <v>#DIV/0!</v>
      </c>
    </row>
    <row r="216" spans="1:40" x14ac:dyDescent="0.3">
      <c r="A216" t="s">
        <v>71</v>
      </c>
      <c r="B216" t="s">
        <v>951</v>
      </c>
      <c r="C216" t="s">
        <v>951</v>
      </c>
      <c r="D216" s="4">
        <v>45987</v>
      </c>
      <c r="E216">
        <v>54000</v>
      </c>
      <c r="F216" t="s">
        <v>952</v>
      </c>
      <c r="G216" t="s">
        <v>168</v>
      </c>
      <c r="H216" t="s">
        <v>67</v>
      </c>
      <c r="I216" t="s">
        <v>169</v>
      </c>
      <c r="J216" t="s">
        <v>67</v>
      </c>
      <c r="K216" t="s">
        <v>953</v>
      </c>
      <c r="L216" t="s">
        <v>44</v>
      </c>
      <c r="M216" t="s">
        <v>954</v>
      </c>
      <c r="N216">
        <v>14232</v>
      </c>
      <c r="O216" t="s">
        <v>45</v>
      </c>
      <c r="P216" t="s">
        <v>54</v>
      </c>
      <c r="Q216" t="s">
        <v>52</v>
      </c>
      <c r="R216">
        <v>0</v>
      </c>
      <c r="S216">
        <v>38.090000000000003</v>
      </c>
      <c r="T216">
        <v>0</v>
      </c>
      <c r="U216">
        <v>0</v>
      </c>
      <c r="V216" t="s">
        <v>955</v>
      </c>
      <c r="W216">
        <v>43700053</v>
      </c>
      <c r="X216" t="s">
        <v>49</v>
      </c>
      <c r="Y216" t="s">
        <v>956</v>
      </c>
      <c r="Z216" t="b">
        <v>0</v>
      </c>
      <c r="AA216">
        <v>1417.694933053295</v>
      </c>
      <c r="AN216" t="e">
        <f>100*(1-E216/AL216)</f>
        <v>#DIV/0!</v>
      </c>
    </row>
    <row r="217" spans="1:40" x14ac:dyDescent="0.3">
      <c r="A217" t="s">
        <v>139</v>
      </c>
      <c r="B217" t="s">
        <v>957</v>
      </c>
      <c r="C217" t="s">
        <v>957</v>
      </c>
      <c r="D217" s="4">
        <v>45987</v>
      </c>
      <c r="E217">
        <v>82000</v>
      </c>
      <c r="F217" t="s">
        <v>367</v>
      </c>
      <c r="G217" t="s">
        <v>104</v>
      </c>
      <c r="H217" t="s">
        <v>94</v>
      </c>
      <c r="I217" t="s">
        <v>105</v>
      </c>
      <c r="J217" t="s">
        <v>105</v>
      </c>
      <c r="K217" t="s">
        <v>958</v>
      </c>
      <c r="L217" t="s">
        <v>44</v>
      </c>
      <c r="M217" t="s">
        <v>959</v>
      </c>
      <c r="N217">
        <v>73133</v>
      </c>
      <c r="O217" t="s">
        <v>45</v>
      </c>
      <c r="P217" t="s">
        <v>54</v>
      </c>
      <c r="Q217" t="s">
        <v>55</v>
      </c>
      <c r="R217">
        <v>0</v>
      </c>
      <c r="S217">
        <v>49.02</v>
      </c>
      <c r="T217">
        <v>0</v>
      </c>
      <c r="U217">
        <v>0</v>
      </c>
      <c r="V217" t="s">
        <v>960</v>
      </c>
      <c r="W217">
        <v>113180674</v>
      </c>
      <c r="X217" t="s">
        <v>49</v>
      </c>
      <c r="Y217" t="s">
        <v>961</v>
      </c>
      <c r="Z217" t="b">
        <v>0</v>
      </c>
      <c r="AA217">
        <v>1672.786617707058</v>
      </c>
      <c r="AN217" t="e">
        <f>100*(1-E217/AL217)</f>
        <v>#DIV/0!</v>
      </c>
    </row>
    <row r="218" spans="1:40" x14ac:dyDescent="0.3">
      <c r="A218" t="s">
        <v>166</v>
      </c>
      <c r="B218" t="s">
        <v>962</v>
      </c>
      <c r="C218" t="s">
        <v>962</v>
      </c>
      <c r="D218" s="4">
        <v>45987</v>
      </c>
      <c r="E218">
        <v>21375</v>
      </c>
      <c r="F218" t="s">
        <v>963</v>
      </c>
      <c r="G218" t="s">
        <v>61</v>
      </c>
      <c r="H218" t="s">
        <v>62</v>
      </c>
      <c r="I218" t="s">
        <v>63</v>
      </c>
      <c r="J218" t="s">
        <v>63</v>
      </c>
      <c r="K218" t="s">
        <v>964</v>
      </c>
      <c r="L218" t="s">
        <v>44</v>
      </c>
      <c r="M218" t="s">
        <v>965</v>
      </c>
      <c r="N218">
        <v>54624</v>
      </c>
      <c r="O218" t="s">
        <v>50</v>
      </c>
      <c r="P218" t="s">
        <v>51</v>
      </c>
      <c r="Q218" t="s">
        <v>52</v>
      </c>
      <c r="R218">
        <v>0</v>
      </c>
      <c r="S218">
        <v>36</v>
      </c>
      <c r="T218">
        <v>0</v>
      </c>
      <c r="U218">
        <v>0</v>
      </c>
      <c r="V218" t="s">
        <v>966</v>
      </c>
      <c r="W218">
        <v>53416246</v>
      </c>
      <c r="X218" t="s">
        <v>49</v>
      </c>
      <c r="Y218" t="s">
        <v>967</v>
      </c>
      <c r="Z218" t="b">
        <v>0</v>
      </c>
      <c r="AA218">
        <v>593.75</v>
      </c>
      <c r="AN218" t="e">
        <f>100*(1-E218/AL218)</f>
        <v>#DIV/0!</v>
      </c>
    </row>
    <row r="219" spans="1:40" x14ac:dyDescent="0.3">
      <c r="A219" t="s">
        <v>39</v>
      </c>
      <c r="B219" t="s">
        <v>968</v>
      </c>
      <c r="C219" t="s">
        <v>968</v>
      </c>
      <c r="D219" s="4">
        <v>45987</v>
      </c>
      <c r="E219">
        <v>81625</v>
      </c>
      <c r="F219" t="s">
        <v>607</v>
      </c>
      <c r="G219" t="s">
        <v>115</v>
      </c>
      <c r="H219" t="s">
        <v>67</v>
      </c>
      <c r="I219" t="s">
        <v>116</v>
      </c>
      <c r="J219" t="s">
        <v>67</v>
      </c>
      <c r="K219" t="s">
        <v>969</v>
      </c>
      <c r="L219" t="s">
        <v>44</v>
      </c>
      <c r="M219" t="s">
        <v>970</v>
      </c>
      <c r="N219">
        <v>11141</v>
      </c>
      <c r="O219" t="s">
        <v>45</v>
      </c>
      <c r="P219" t="s">
        <v>54</v>
      </c>
      <c r="Q219" t="s">
        <v>55</v>
      </c>
      <c r="R219">
        <v>0</v>
      </c>
      <c r="S219">
        <v>67</v>
      </c>
      <c r="T219">
        <v>0</v>
      </c>
      <c r="U219">
        <v>0</v>
      </c>
      <c r="V219" t="s">
        <v>971</v>
      </c>
      <c r="W219">
        <v>129547378</v>
      </c>
      <c r="X219" t="s">
        <v>49</v>
      </c>
      <c r="Y219" t="s">
        <v>972</v>
      </c>
      <c r="Z219" t="b">
        <v>0</v>
      </c>
      <c r="AA219">
        <v>1218.2835820895521</v>
      </c>
      <c r="AN219" t="e">
        <f>100*(1-E219/AL219)</f>
        <v>#DIV/0!</v>
      </c>
    </row>
    <row r="220" spans="1:40" x14ac:dyDescent="0.3">
      <c r="A220" t="s">
        <v>120</v>
      </c>
      <c r="B220" t="s">
        <v>973</v>
      </c>
      <c r="C220" t="s">
        <v>926</v>
      </c>
      <c r="D220" s="4">
        <v>45987</v>
      </c>
      <c r="E220">
        <v>5000</v>
      </c>
      <c r="F220" t="s">
        <v>974</v>
      </c>
      <c r="G220" t="s">
        <v>439</v>
      </c>
      <c r="H220" t="s">
        <v>124</v>
      </c>
      <c r="I220" t="s">
        <v>405</v>
      </c>
      <c r="J220" t="s">
        <v>126</v>
      </c>
      <c r="K220" t="s">
        <v>928</v>
      </c>
      <c r="L220" t="s">
        <v>44</v>
      </c>
      <c r="M220" t="s">
        <v>929</v>
      </c>
      <c r="N220">
        <v>26504</v>
      </c>
      <c r="O220" t="s">
        <v>45</v>
      </c>
      <c r="P220" t="s">
        <v>46</v>
      </c>
      <c r="Q220" t="s">
        <v>47</v>
      </c>
      <c r="R220">
        <v>0</v>
      </c>
      <c r="S220">
        <v>42.84</v>
      </c>
      <c r="T220" t="s">
        <v>48</v>
      </c>
      <c r="U220">
        <v>50</v>
      </c>
      <c r="V220" t="s">
        <v>930</v>
      </c>
      <c r="W220">
        <v>34928480</v>
      </c>
      <c r="X220" t="s">
        <v>49</v>
      </c>
      <c r="Y220" t="s">
        <v>975</v>
      </c>
      <c r="Z220" t="b">
        <v>0</v>
      </c>
      <c r="AA220">
        <v>116.71335200746969</v>
      </c>
      <c r="AN220" t="e">
        <f>100*(1-E220/AL220)</f>
        <v>#DIV/0!</v>
      </c>
    </row>
    <row r="221" spans="1:40" x14ac:dyDescent="0.3">
      <c r="A221" t="s">
        <v>59</v>
      </c>
      <c r="B221" t="s">
        <v>976</v>
      </c>
      <c r="C221" t="s">
        <v>977</v>
      </c>
      <c r="D221" s="4">
        <v>45987</v>
      </c>
      <c r="E221">
        <v>53000</v>
      </c>
      <c r="F221" t="s">
        <v>978</v>
      </c>
      <c r="G221" t="s">
        <v>61</v>
      </c>
      <c r="H221" t="s">
        <v>62</v>
      </c>
      <c r="I221" t="s">
        <v>63</v>
      </c>
      <c r="J221" t="s">
        <v>63</v>
      </c>
      <c r="K221" t="s">
        <v>979</v>
      </c>
      <c r="L221" t="s">
        <v>44</v>
      </c>
      <c r="M221" t="s">
        <v>980</v>
      </c>
      <c r="N221">
        <v>54623</v>
      </c>
      <c r="O221" t="s">
        <v>50</v>
      </c>
      <c r="P221" t="s">
        <v>51</v>
      </c>
      <c r="Q221" t="s">
        <v>52</v>
      </c>
      <c r="R221">
        <v>0</v>
      </c>
      <c r="S221">
        <v>39</v>
      </c>
      <c r="T221">
        <v>0</v>
      </c>
      <c r="U221">
        <v>0</v>
      </c>
      <c r="V221" t="s">
        <v>981</v>
      </c>
      <c r="W221">
        <v>28166335</v>
      </c>
      <c r="X221" t="s">
        <v>49</v>
      </c>
      <c r="Y221" t="s">
        <v>982</v>
      </c>
      <c r="Z221" t="b">
        <v>0</v>
      </c>
      <c r="AA221">
        <v>1358.9743589743589</v>
      </c>
      <c r="AN221" t="e">
        <f>100*(1-E221/AL221)</f>
        <v>#DIV/0!</v>
      </c>
    </row>
    <row r="222" spans="1:40" x14ac:dyDescent="0.3">
      <c r="A222" t="s">
        <v>59</v>
      </c>
      <c r="B222" t="s">
        <v>983</v>
      </c>
      <c r="C222" t="s">
        <v>983</v>
      </c>
      <c r="D222" s="4">
        <v>45987</v>
      </c>
      <c r="E222">
        <v>120000</v>
      </c>
      <c r="F222" t="s">
        <v>435</v>
      </c>
      <c r="G222" t="s">
        <v>173</v>
      </c>
      <c r="H222" t="s">
        <v>111</v>
      </c>
      <c r="I222" t="s">
        <v>174</v>
      </c>
      <c r="J222" t="s">
        <v>175</v>
      </c>
      <c r="K222" t="s">
        <v>984</v>
      </c>
      <c r="L222" t="s">
        <v>44</v>
      </c>
      <c r="M222" t="s">
        <v>985</v>
      </c>
      <c r="N222">
        <v>34100</v>
      </c>
      <c r="O222" t="s">
        <v>45</v>
      </c>
      <c r="P222" t="s">
        <v>54</v>
      </c>
      <c r="Q222" t="s">
        <v>100</v>
      </c>
      <c r="R222">
        <v>0</v>
      </c>
      <c r="S222">
        <v>96.01</v>
      </c>
      <c r="T222">
        <v>0</v>
      </c>
      <c r="U222">
        <v>0</v>
      </c>
      <c r="V222" t="s">
        <v>986</v>
      </c>
      <c r="W222">
        <v>66126717</v>
      </c>
      <c r="X222" t="s">
        <v>86</v>
      </c>
      <c r="Y222" t="s">
        <v>987</v>
      </c>
      <c r="Z222" t="b">
        <v>0</v>
      </c>
      <c r="AA222">
        <v>1249.869805228622</v>
      </c>
      <c r="AN222" t="e">
        <f>100*(1-E222/AL222)</f>
        <v>#DIV/0!</v>
      </c>
    </row>
    <row r="223" spans="1:40" x14ac:dyDescent="0.3">
      <c r="A223" t="s">
        <v>71</v>
      </c>
      <c r="B223" t="s">
        <v>988</v>
      </c>
      <c r="C223" t="s">
        <v>989</v>
      </c>
      <c r="D223" s="4">
        <v>45987</v>
      </c>
      <c r="E223">
        <v>15000</v>
      </c>
      <c r="F223" t="s">
        <v>209</v>
      </c>
      <c r="G223" t="s">
        <v>990</v>
      </c>
      <c r="H223" t="s">
        <v>67</v>
      </c>
      <c r="I223" t="s">
        <v>991</v>
      </c>
      <c r="J223" t="s">
        <v>67</v>
      </c>
      <c r="K223" t="s">
        <v>992</v>
      </c>
      <c r="L223" t="s">
        <v>44</v>
      </c>
      <c r="M223" t="s">
        <v>993</v>
      </c>
      <c r="N223">
        <v>17124</v>
      </c>
      <c r="O223" t="s">
        <v>76</v>
      </c>
      <c r="P223" t="s">
        <v>133</v>
      </c>
      <c r="Q223">
        <v>0</v>
      </c>
      <c r="R223">
        <v>0</v>
      </c>
      <c r="S223">
        <v>12.15</v>
      </c>
      <c r="T223">
        <v>0</v>
      </c>
      <c r="U223">
        <v>0</v>
      </c>
      <c r="V223" t="s">
        <v>994</v>
      </c>
      <c r="W223">
        <v>106971746</v>
      </c>
      <c r="X223" t="s">
        <v>49</v>
      </c>
      <c r="Y223" t="s">
        <v>995</v>
      </c>
      <c r="Z223" t="b">
        <v>0</v>
      </c>
      <c r="AA223">
        <v>1234.5679012345679</v>
      </c>
      <c r="AN223" t="e">
        <f>100*(1-E223/AL223)</f>
        <v>#DIV/0!</v>
      </c>
    </row>
    <row r="224" spans="1:40" x14ac:dyDescent="0.3">
      <c r="A224" t="s">
        <v>59</v>
      </c>
      <c r="B224" t="s">
        <v>996</v>
      </c>
      <c r="C224" t="s">
        <v>996</v>
      </c>
      <c r="D224" s="4">
        <v>45987</v>
      </c>
      <c r="E224">
        <v>464000</v>
      </c>
      <c r="F224" t="s">
        <v>997</v>
      </c>
      <c r="G224" t="s">
        <v>868</v>
      </c>
      <c r="H224" t="s">
        <v>67</v>
      </c>
      <c r="I224" t="s">
        <v>869</v>
      </c>
      <c r="J224" t="s">
        <v>67</v>
      </c>
      <c r="K224" t="s">
        <v>998</v>
      </c>
      <c r="L224" t="s">
        <v>44</v>
      </c>
      <c r="M224" t="s">
        <v>999</v>
      </c>
      <c r="N224">
        <v>19010</v>
      </c>
      <c r="O224" t="s">
        <v>331</v>
      </c>
      <c r="P224" t="s">
        <v>331</v>
      </c>
      <c r="Q224" t="s">
        <v>55</v>
      </c>
      <c r="R224">
        <v>0</v>
      </c>
      <c r="S224">
        <v>434.93</v>
      </c>
      <c r="T224">
        <v>0</v>
      </c>
      <c r="U224">
        <v>0</v>
      </c>
      <c r="V224" t="s">
        <v>1000</v>
      </c>
      <c r="W224">
        <v>67624845</v>
      </c>
      <c r="X224" t="s">
        <v>49</v>
      </c>
      <c r="Y224">
        <v>0</v>
      </c>
      <c r="Z224" t="b">
        <v>0</v>
      </c>
      <c r="AA224">
        <v>1066.838341802129</v>
      </c>
      <c r="AN224" t="e">
        <f>100*(1-E224/AL224)</f>
        <v>#DIV/0!</v>
      </c>
    </row>
    <row r="225" spans="1:40" x14ac:dyDescent="0.3">
      <c r="A225" t="s">
        <v>59</v>
      </c>
      <c r="B225" t="s">
        <v>1001</v>
      </c>
      <c r="C225" t="s">
        <v>1002</v>
      </c>
      <c r="D225" s="4">
        <v>45987</v>
      </c>
      <c r="E225">
        <v>6000</v>
      </c>
      <c r="F225" t="s">
        <v>1003</v>
      </c>
      <c r="G225" t="s">
        <v>1004</v>
      </c>
      <c r="H225" t="s">
        <v>67</v>
      </c>
      <c r="I225" t="s">
        <v>1005</v>
      </c>
      <c r="J225" t="s">
        <v>67</v>
      </c>
      <c r="K225" t="s">
        <v>1006</v>
      </c>
      <c r="L225" t="s">
        <v>44</v>
      </c>
      <c r="M225" t="s">
        <v>1007</v>
      </c>
      <c r="N225">
        <v>17237</v>
      </c>
      <c r="O225" t="s">
        <v>45</v>
      </c>
      <c r="P225" t="s">
        <v>46</v>
      </c>
      <c r="Q225" t="s">
        <v>47</v>
      </c>
      <c r="R225">
        <v>0</v>
      </c>
      <c r="S225">
        <v>14.4</v>
      </c>
      <c r="T225">
        <v>0</v>
      </c>
      <c r="U225">
        <v>0</v>
      </c>
      <c r="V225" t="s">
        <v>1008</v>
      </c>
      <c r="W225">
        <v>55823763</v>
      </c>
      <c r="X225" t="s">
        <v>49</v>
      </c>
      <c r="Y225" t="s">
        <v>1009</v>
      </c>
      <c r="Z225" t="b">
        <v>0</v>
      </c>
      <c r="AA225">
        <v>416.66666666666657</v>
      </c>
      <c r="AN225" t="e">
        <f>100*(1-E225/AL225)</f>
        <v>#DIV/0!</v>
      </c>
    </row>
    <row r="226" spans="1:40" x14ac:dyDescent="0.3">
      <c r="A226" t="s">
        <v>59</v>
      </c>
      <c r="B226" t="s">
        <v>1010</v>
      </c>
      <c r="C226" t="s">
        <v>1002</v>
      </c>
      <c r="D226" s="4">
        <v>45987</v>
      </c>
      <c r="E226">
        <v>197000</v>
      </c>
      <c r="F226" t="s">
        <v>82</v>
      </c>
      <c r="G226" t="s">
        <v>1004</v>
      </c>
      <c r="H226" t="s">
        <v>67</v>
      </c>
      <c r="I226" t="s">
        <v>1005</v>
      </c>
      <c r="J226" t="s">
        <v>67</v>
      </c>
      <c r="K226" t="s">
        <v>1006</v>
      </c>
      <c r="L226" t="s">
        <v>44</v>
      </c>
      <c r="M226" t="s">
        <v>1011</v>
      </c>
      <c r="N226">
        <v>17237</v>
      </c>
      <c r="O226" t="s">
        <v>45</v>
      </c>
      <c r="P226" t="s">
        <v>54</v>
      </c>
      <c r="Q226" t="s">
        <v>85</v>
      </c>
      <c r="R226">
        <v>0</v>
      </c>
      <c r="S226">
        <v>101.88</v>
      </c>
      <c r="T226">
        <v>0</v>
      </c>
      <c r="U226">
        <v>0</v>
      </c>
      <c r="V226" t="s">
        <v>1008</v>
      </c>
      <c r="W226">
        <v>55823763</v>
      </c>
      <c r="X226" t="s">
        <v>49</v>
      </c>
      <c r="Y226" t="s">
        <v>1012</v>
      </c>
      <c r="Z226" t="b">
        <v>0</v>
      </c>
      <c r="AA226">
        <v>1933.647428347075</v>
      </c>
      <c r="AN226" t="e">
        <f>100*(1-E226/AL226)</f>
        <v>#DIV/0!</v>
      </c>
    </row>
    <row r="227" spans="1:40" x14ac:dyDescent="0.3">
      <c r="A227" t="s">
        <v>59</v>
      </c>
      <c r="B227" t="s">
        <v>1013</v>
      </c>
      <c r="C227" t="s">
        <v>1002</v>
      </c>
      <c r="D227" s="4">
        <v>45987</v>
      </c>
      <c r="E227">
        <v>14000</v>
      </c>
      <c r="F227" t="s">
        <v>1014</v>
      </c>
      <c r="G227" t="s">
        <v>1004</v>
      </c>
      <c r="H227" t="s">
        <v>67</v>
      </c>
      <c r="I227" t="s">
        <v>1005</v>
      </c>
      <c r="J227" t="s">
        <v>67</v>
      </c>
      <c r="K227" t="s">
        <v>1006</v>
      </c>
      <c r="L227" t="s">
        <v>44</v>
      </c>
      <c r="M227" t="s">
        <v>1007</v>
      </c>
      <c r="N227">
        <v>17237</v>
      </c>
      <c r="O227" t="s">
        <v>45</v>
      </c>
      <c r="P227" t="s">
        <v>46</v>
      </c>
      <c r="Q227" t="s">
        <v>47</v>
      </c>
      <c r="R227">
        <v>0</v>
      </c>
      <c r="S227">
        <v>34.799999999999997</v>
      </c>
      <c r="T227">
        <v>0</v>
      </c>
      <c r="U227">
        <v>0</v>
      </c>
      <c r="V227" t="s">
        <v>1008</v>
      </c>
      <c r="W227">
        <v>55823763</v>
      </c>
      <c r="X227" t="s">
        <v>49</v>
      </c>
      <c r="Y227" t="s">
        <v>1015</v>
      </c>
      <c r="Z227" t="b">
        <v>0</v>
      </c>
      <c r="AA227">
        <v>402.29885057471267</v>
      </c>
      <c r="AN227" t="e">
        <f>100*(1-E227/AL227)</f>
        <v>#DIV/0!</v>
      </c>
    </row>
    <row r="228" spans="1:40" x14ac:dyDescent="0.3">
      <c r="A228" t="s">
        <v>59</v>
      </c>
      <c r="B228" t="s">
        <v>1016</v>
      </c>
      <c r="C228" t="s">
        <v>1002</v>
      </c>
      <c r="D228" s="4">
        <v>45987</v>
      </c>
      <c r="E228">
        <v>49000</v>
      </c>
      <c r="F228" t="s">
        <v>1017</v>
      </c>
      <c r="G228" t="s">
        <v>1004</v>
      </c>
      <c r="H228" t="s">
        <v>67</v>
      </c>
      <c r="I228" t="s">
        <v>1005</v>
      </c>
      <c r="J228" t="s">
        <v>67</v>
      </c>
      <c r="K228" t="s">
        <v>1006</v>
      </c>
      <c r="L228" t="s">
        <v>44</v>
      </c>
      <c r="M228" t="s">
        <v>1011</v>
      </c>
      <c r="N228">
        <v>17237</v>
      </c>
      <c r="O228" t="s">
        <v>45</v>
      </c>
      <c r="P228" t="s">
        <v>54</v>
      </c>
      <c r="Q228" t="s">
        <v>1018</v>
      </c>
      <c r="R228">
        <v>0</v>
      </c>
      <c r="S228">
        <v>21.7</v>
      </c>
      <c r="T228">
        <v>0</v>
      </c>
      <c r="U228">
        <v>0</v>
      </c>
      <c r="V228" t="s">
        <v>1008</v>
      </c>
      <c r="W228">
        <v>55823763</v>
      </c>
      <c r="X228" t="s">
        <v>49</v>
      </c>
      <c r="Y228" t="s">
        <v>1019</v>
      </c>
      <c r="Z228" t="b">
        <v>0</v>
      </c>
      <c r="AA228">
        <v>2258.0645161290322</v>
      </c>
      <c r="AN228" t="e">
        <f>100*(1-E228/AL228)</f>
        <v>#DIV/0!</v>
      </c>
    </row>
    <row r="229" spans="1:40" x14ac:dyDescent="0.3">
      <c r="A229" t="s">
        <v>71</v>
      </c>
      <c r="B229" t="s">
        <v>1020</v>
      </c>
      <c r="C229" t="s">
        <v>1020</v>
      </c>
      <c r="D229" s="4">
        <v>45987</v>
      </c>
      <c r="E229">
        <v>30810</v>
      </c>
      <c r="F229" t="s">
        <v>1021</v>
      </c>
      <c r="G229" t="s">
        <v>333</v>
      </c>
      <c r="H229" t="s">
        <v>111</v>
      </c>
      <c r="I229" t="s">
        <v>279</v>
      </c>
      <c r="J229" t="s">
        <v>113</v>
      </c>
      <c r="K229" t="s">
        <v>1022</v>
      </c>
      <c r="L229" t="s">
        <v>44</v>
      </c>
      <c r="M229" t="s">
        <v>1023</v>
      </c>
      <c r="N229">
        <v>35300</v>
      </c>
      <c r="O229" t="s">
        <v>97</v>
      </c>
      <c r="P229" t="s">
        <v>118</v>
      </c>
      <c r="Q229">
        <v>0</v>
      </c>
      <c r="R229">
        <v>0</v>
      </c>
      <c r="S229">
        <v>10593.86</v>
      </c>
      <c r="T229">
        <v>0</v>
      </c>
      <c r="U229">
        <v>0</v>
      </c>
      <c r="V229" t="s">
        <v>1024</v>
      </c>
      <c r="W229">
        <v>142052604</v>
      </c>
      <c r="X229" t="s">
        <v>49</v>
      </c>
      <c r="Y229" t="s">
        <v>1025</v>
      </c>
      <c r="Z229" t="b">
        <v>0</v>
      </c>
      <c r="AA229">
        <v>2.9082883859141049</v>
      </c>
      <c r="AN229" t="e">
        <f>100*(1-E229/AL229)</f>
        <v>#DIV/0!</v>
      </c>
    </row>
    <row r="230" spans="1:40" x14ac:dyDescent="0.3">
      <c r="A230" t="s">
        <v>59</v>
      </c>
      <c r="B230" t="s">
        <v>1026</v>
      </c>
      <c r="C230" t="s">
        <v>1002</v>
      </c>
      <c r="D230" s="4">
        <v>45987</v>
      </c>
      <c r="E230">
        <v>107000</v>
      </c>
      <c r="F230" t="s">
        <v>739</v>
      </c>
      <c r="G230" t="s">
        <v>1004</v>
      </c>
      <c r="H230" t="s">
        <v>67</v>
      </c>
      <c r="I230" t="s">
        <v>1005</v>
      </c>
      <c r="J230" t="s">
        <v>67</v>
      </c>
      <c r="K230" t="s">
        <v>1006</v>
      </c>
      <c r="L230" t="s">
        <v>44</v>
      </c>
      <c r="M230" t="s">
        <v>1011</v>
      </c>
      <c r="N230">
        <v>17237</v>
      </c>
      <c r="O230" t="s">
        <v>45</v>
      </c>
      <c r="P230" t="s">
        <v>54</v>
      </c>
      <c r="Q230" t="s">
        <v>52</v>
      </c>
      <c r="R230">
        <v>0</v>
      </c>
      <c r="S230">
        <v>53.3</v>
      </c>
      <c r="T230">
        <v>0</v>
      </c>
      <c r="U230">
        <v>0</v>
      </c>
      <c r="V230" t="s">
        <v>1008</v>
      </c>
      <c r="W230">
        <v>55823763</v>
      </c>
      <c r="X230" t="s">
        <v>49</v>
      </c>
      <c r="Y230" t="s">
        <v>1027</v>
      </c>
      <c r="Z230" t="b">
        <v>0</v>
      </c>
      <c r="AA230">
        <v>2007.50469043152</v>
      </c>
      <c r="AN230" t="e">
        <f>100*(1-E230/AL230)</f>
        <v>#DIV/0!</v>
      </c>
    </row>
    <row r="231" spans="1:40" x14ac:dyDescent="0.3">
      <c r="A231" t="s">
        <v>59</v>
      </c>
      <c r="B231" t="s">
        <v>1028</v>
      </c>
      <c r="C231" t="s">
        <v>1028</v>
      </c>
      <c r="D231" s="4">
        <v>45987</v>
      </c>
      <c r="E231">
        <v>93000</v>
      </c>
      <c r="F231" t="s">
        <v>140</v>
      </c>
      <c r="G231" t="s">
        <v>194</v>
      </c>
      <c r="H231" t="s">
        <v>67</v>
      </c>
      <c r="I231" t="s">
        <v>195</v>
      </c>
      <c r="J231" t="s">
        <v>67</v>
      </c>
      <c r="K231" t="s">
        <v>1029</v>
      </c>
      <c r="L231" t="s">
        <v>44</v>
      </c>
      <c r="M231" t="s">
        <v>1030</v>
      </c>
      <c r="N231">
        <v>18541</v>
      </c>
      <c r="O231" t="s">
        <v>45</v>
      </c>
      <c r="P231" t="s">
        <v>54</v>
      </c>
      <c r="Q231" t="s">
        <v>85</v>
      </c>
      <c r="R231">
        <v>0</v>
      </c>
      <c r="S231">
        <v>106.7</v>
      </c>
      <c r="T231">
        <v>0</v>
      </c>
      <c r="U231">
        <v>0</v>
      </c>
      <c r="V231" t="s">
        <v>1031</v>
      </c>
      <c r="W231">
        <v>39150306</v>
      </c>
      <c r="X231" t="s">
        <v>49</v>
      </c>
      <c r="Y231" t="s">
        <v>1032</v>
      </c>
      <c r="Z231" t="b">
        <v>0</v>
      </c>
      <c r="AA231">
        <v>871.60262417994375</v>
      </c>
      <c r="AN231" t="e">
        <f>100*(1-E231/AL231)</f>
        <v>#DIV/0!</v>
      </c>
    </row>
    <row r="232" spans="1:40" x14ac:dyDescent="0.3">
      <c r="A232" t="s">
        <v>59</v>
      </c>
      <c r="B232" t="s">
        <v>1033</v>
      </c>
      <c r="C232" t="s">
        <v>1033</v>
      </c>
      <c r="D232" s="4">
        <v>45987</v>
      </c>
      <c r="E232">
        <v>50000</v>
      </c>
      <c r="F232" t="s">
        <v>1034</v>
      </c>
      <c r="G232" t="s">
        <v>1035</v>
      </c>
      <c r="H232" t="s">
        <v>62</v>
      </c>
      <c r="I232" t="s">
        <v>422</v>
      </c>
      <c r="J232" t="s">
        <v>108</v>
      </c>
      <c r="K232" t="s">
        <v>1036</v>
      </c>
      <c r="L232" t="s">
        <v>44</v>
      </c>
      <c r="M232" t="s">
        <v>1035</v>
      </c>
      <c r="N232">
        <v>59035</v>
      </c>
      <c r="O232" t="s">
        <v>45</v>
      </c>
      <c r="P232" t="s">
        <v>81</v>
      </c>
      <c r="Q232" t="s">
        <v>52</v>
      </c>
      <c r="R232">
        <v>0</v>
      </c>
      <c r="S232">
        <v>71</v>
      </c>
      <c r="T232">
        <v>0</v>
      </c>
      <c r="U232">
        <v>0</v>
      </c>
      <c r="V232" t="s">
        <v>1037</v>
      </c>
      <c r="W232">
        <v>65745600</v>
      </c>
      <c r="X232" t="s">
        <v>49</v>
      </c>
      <c r="Y232">
        <v>160230130001</v>
      </c>
      <c r="Z232" t="b">
        <v>0</v>
      </c>
      <c r="AA232">
        <v>704.22535211267609</v>
      </c>
      <c r="AN232" t="e">
        <f>100*(1-E232/AL232)</f>
        <v>#DIV/0!</v>
      </c>
    </row>
    <row r="233" spans="1:40" x14ac:dyDescent="0.3">
      <c r="A233" t="s">
        <v>39</v>
      </c>
      <c r="B233" t="s">
        <v>1038</v>
      </c>
      <c r="C233" t="s">
        <v>1038</v>
      </c>
      <c r="D233" s="4">
        <v>45987</v>
      </c>
      <c r="E233">
        <v>37700</v>
      </c>
      <c r="F233" t="s">
        <v>1039</v>
      </c>
      <c r="G233" t="s">
        <v>868</v>
      </c>
      <c r="H233" t="s">
        <v>67</v>
      </c>
      <c r="I233" t="s">
        <v>869</v>
      </c>
      <c r="J233" t="s">
        <v>67</v>
      </c>
      <c r="K233" t="s">
        <v>1040</v>
      </c>
      <c r="L233" t="s">
        <v>44</v>
      </c>
      <c r="M233" t="s">
        <v>1041</v>
      </c>
      <c r="N233">
        <v>19010</v>
      </c>
      <c r="O233" t="s">
        <v>97</v>
      </c>
      <c r="P233" t="s">
        <v>118</v>
      </c>
      <c r="Q233">
        <v>0</v>
      </c>
      <c r="R233">
        <v>0</v>
      </c>
      <c r="S233">
        <v>2165</v>
      </c>
      <c r="T233">
        <v>0</v>
      </c>
      <c r="U233">
        <v>0</v>
      </c>
      <c r="V233" t="s">
        <v>1042</v>
      </c>
      <c r="W233">
        <v>45772308</v>
      </c>
      <c r="X233" t="s">
        <v>86</v>
      </c>
      <c r="Y233" t="s">
        <v>1043</v>
      </c>
      <c r="Z233" t="b">
        <v>0</v>
      </c>
      <c r="AA233">
        <v>17.413394919168589</v>
      </c>
      <c r="AN233" t="e">
        <f>100*(1-E233/AL233)</f>
        <v>#DIV/0!</v>
      </c>
    </row>
    <row r="234" spans="1:40" x14ac:dyDescent="0.3">
      <c r="A234" t="s">
        <v>71</v>
      </c>
      <c r="B234" t="s">
        <v>1044</v>
      </c>
      <c r="C234" t="s">
        <v>1044</v>
      </c>
      <c r="D234" s="4">
        <v>45987</v>
      </c>
      <c r="E234">
        <v>85100</v>
      </c>
      <c r="F234" t="s">
        <v>1045</v>
      </c>
      <c r="G234" t="s">
        <v>1046</v>
      </c>
      <c r="H234" t="s">
        <v>152</v>
      </c>
      <c r="I234" t="s">
        <v>153</v>
      </c>
      <c r="J234" t="s">
        <v>154</v>
      </c>
      <c r="K234" t="s">
        <v>1047</v>
      </c>
      <c r="L234" t="s">
        <v>44</v>
      </c>
      <c r="M234" t="s">
        <v>1048</v>
      </c>
      <c r="N234">
        <v>24100</v>
      </c>
      <c r="O234" t="s">
        <v>97</v>
      </c>
      <c r="P234" t="s">
        <v>118</v>
      </c>
      <c r="Q234">
        <v>0</v>
      </c>
      <c r="R234">
        <v>0</v>
      </c>
      <c r="S234">
        <v>16636</v>
      </c>
      <c r="T234">
        <v>0</v>
      </c>
      <c r="U234">
        <v>0</v>
      </c>
      <c r="V234" t="s">
        <v>1049</v>
      </c>
      <c r="W234">
        <v>47860722</v>
      </c>
      <c r="X234" t="s">
        <v>49</v>
      </c>
      <c r="Y234">
        <v>360441201006</v>
      </c>
      <c r="Z234" t="b">
        <v>0</v>
      </c>
      <c r="AA234">
        <v>5.1154123587400822</v>
      </c>
      <c r="AN234" t="e">
        <f>100*(1-E234/AL234)</f>
        <v>#DIV/0!</v>
      </c>
    </row>
    <row r="235" spans="1:40" x14ac:dyDescent="0.3">
      <c r="A235" t="s">
        <v>139</v>
      </c>
      <c r="B235" t="s">
        <v>1050</v>
      </c>
      <c r="C235" t="s">
        <v>1050</v>
      </c>
      <c r="D235" s="4">
        <v>45987</v>
      </c>
      <c r="E235">
        <v>9800</v>
      </c>
      <c r="F235" t="s">
        <v>1051</v>
      </c>
      <c r="G235" t="s">
        <v>1052</v>
      </c>
      <c r="H235" t="s">
        <v>62</v>
      </c>
      <c r="I235" t="s">
        <v>495</v>
      </c>
      <c r="J235" t="s">
        <v>389</v>
      </c>
      <c r="K235" t="s">
        <v>1053</v>
      </c>
      <c r="L235" t="s">
        <v>44</v>
      </c>
      <c r="M235" t="s">
        <v>1054</v>
      </c>
      <c r="N235">
        <v>63073</v>
      </c>
      <c r="O235" t="s">
        <v>97</v>
      </c>
      <c r="P235" t="s">
        <v>118</v>
      </c>
      <c r="Q235">
        <v>0</v>
      </c>
      <c r="R235">
        <v>0</v>
      </c>
      <c r="S235">
        <v>2078.9899999999998</v>
      </c>
      <c r="T235">
        <v>0</v>
      </c>
      <c r="U235">
        <v>0</v>
      </c>
      <c r="V235" t="s">
        <v>1055</v>
      </c>
      <c r="W235">
        <v>23421952</v>
      </c>
      <c r="X235" t="s">
        <v>49</v>
      </c>
      <c r="Y235">
        <v>490130811021</v>
      </c>
      <c r="Z235" t="b">
        <v>0</v>
      </c>
      <c r="AA235">
        <v>4.7138273873371208</v>
      </c>
      <c r="AN235" t="e">
        <f>100*(1-E235/AL235)</f>
        <v>#DIV/0!</v>
      </c>
    </row>
    <row r="236" spans="1:40" x14ac:dyDescent="0.3">
      <c r="A236" t="s">
        <v>166</v>
      </c>
      <c r="B236" t="s">
        <v>1056</v>
      </c>
      <c r="C236" t="s">
        <v>1056</v>
      </c>
      <c r="D236" s="4">
        <v>45987</v>
      </c>
      <c r="E236">
        <v>715000</v>
      </c>
      <c r="F236" t="s">
        <v>167</v>
      </c>
      <c r="G236" t="s">
        <v>61</v>
      </c>
      <c r="H236" t="s">
        <v>62</v>
      </c>
      <c r="I236" t="s">
        <v>63</v>
      </c>
      <c r="J236" t="s">
        <v>63</v>
      </c>
      <c r="K236" t="s">
        <v>1057</v>
      </c>
      <c r="L236" t="s">
        <v>44</v>
      </c>
      <c r="M236" t="s">
        <v>1058</v>
      </c>
      <c r="N236">
        <v>54622</v>
      </c>
      <c r="O236" t="s">
        <v>45</v>
      </c>
      <c r="P236" t="s">
        <v>54</v>
      </c>
      <c r="Q236" t="s">
        <v>85</v>
      </c>
      <c r="R236">
        <v>0</v>
      </c>
      <c r="S236">
        <v>80</v>
      </c>
      <c r="T236">
        <v>0</v>
      </c>
      <c r="U236">
        <v>0</v>
      </c>
      <c r="V236" t="s">
        <v>1059</v>
      </c>
      <c r="W236">
        <v>111848843</v>
      </c>
      <c r="X236" t="s">
        <v>49</v>
      </c>
      <c r="Y236" t="s">
        <v>1060</v>
      </c>
      <c r="Z236" t="b">
        <v>0</v>
      </c>
      <c r="AA236">
        <v>8937.5</v>
      </c>
      <c r="AN236" t="e">
        <f>100*(1-E236/AL236)</f>
        <v>#DIV/0!</v>
      </c>
    </row>
    <row r="237" spans="1:40" x14ac:dyDescent="0.3">
      <c r="A237" t="s">
        <v>59</v>
      </c>
      <c r="B237" t="s">
        <v>3459</v>
      </c>
      <c r="C237" t="s">
        <v>3459</v>
      </c>
      <c r="D237" s="4">
        <v>45987</v>
      </c>
      <c r="E237">
        <v>207000</v>
      </c>
      <c r="F237" t="s">
        <v>3460</v>
      </c>
      <c r="G237" t="s">
        <v>61</v>
      </c>
      <c r="H237" t="s">
        <v>62</v>
      </c>
      <c r="I237" t="s">
        <v>63</v>
      </c>
      <c r="J237" t="s">
        <v>63</v>
      </c>
      <c r="K237" t="s">
        <v>3461</v>
      </c>
      <c r="L237" t="s">
        <v>44</v>
      </c>
      <c r="M237" t="s">
        <v>3462</v>
      </c>
      <c r="N237">
        <v>54630</v>
      </c>
      <c r="O237" t="s">
        <v>45</v>
      </c>
      <c r="P237" t="s">
        <v>54</v>
      </c>
      <c r="Q237" t="s">
        <v>85</v>
      </c>
      <c r="R237">
        <v>1954</v>
      </c>
      <c r="S237">
        <v>132.75</v>
      </c>
      <c r="T237" t="s">
        <v>48</v>
      </c>
      <c r="U237">
        <v>75</v>
      </c>
      <c r="V237" t="s">
        <v>3463</v>
      </c>
      <c r="W237">
        <v>24018507</v>
      </c>
      <c r="X237" t="s">
        <v>49</v>
      </c>
      <c r="Y237" t="s">
        <v>3464</v>
      </c>
      <c r="Z237" t="b">
        <v>0</v>
      </c>
      <c r="AA237">
        <v>1559.3220338983051</v>
      </c>
      <c r="AN237" t="e">
        <f>100*(1-E237/AL237)</f>
        <v>#DIV/0!</v>
      </c>
    </row>
    <row r="238" spans="1:40" x14ac:dyDescent="0.3">
      <c r="A238" t="s">
        <v>166</v>
      </c>
      <c r="B238" t="s">
        <v>3470</v>
      </c>
      <c r="C238" t="s">
        <v>3470</v>
      </c>
      <c r="D238" s="4">
        <v>45987</v>
      </c>
      <c r="E238">
        <v>325000</v>
      </c>
      <c r="F238" t="s">
        <v>435</v>
      </c>
      <c r="G238" t="s">
        <v>61</v>
      </c>
      <c r="H238" t="s">
        <v>62</v>
      </c>
      <c r="I238" t="s">
        <v>63</v>
      </c>
      <c r="J238" t="s">
        <v>63</v>
      </c>
      <c r="K238" t="s">
        <v>3471</v>
      </c>
      <c r="L238" t="s">
        <v>44</v>
      </c>
      <c r="M238" t="s">
        <v>3472</v>
      </c>
      <c r="N238">
        <v>54622</v>
      </c>
      <c r="O238" t="s">
        <v>45</v>
      </c>
      <c r="P238" t="s">
        <v>54</v>
      </c>
      <c r="Q238" t="s">
        <v>64</v>
      </c>
      <c r="R238">
        <v>1955</v>
      </c>
      <c r="S238">
        <v>96</v>
      </c>
      <c r="T238">
        <v>0</v>
      </c>
      <c r="U238">
        <v>0</v>
      </c>
      <c r="V238" t="s">
        <v>3473</v>
      </c>
      <c r="W238" t="s">
        <v>3474</v>
      </c>
      <c r="X238" t="s">
        <v>49</v>
      </c>
      <c r="Y238" t="s">
        <v>3475</v>
      </c>
      <c r="Z238" t="b">
        <v>0</v>
      </c>
      <c r="AA238">
        <v>3385.416666666667</v>
      </c>
      <c r="AN238" t="e">
        <f>100*(1-E238/AL238)</f>
        <v>#DIV/0!</v>
      </c>
    </row>
    <row r="239" spans="1:40" x14ac:dyDescent="0.3">
      <c r="A239" t="s">
        <v>59</v>
      </c>
      <c r="B239" t="s">
        <v>3476</v>
      </c>
      <c r="C239" t="s">
        <v>3476</v>
      </c>
      <c r="D239" s="4">
        <v>45987</v>
      </c>
      <c r="E239">
        <v>51000</v>
      </c>
      <c r="F239" t="s">
        <v>3477</v>
      </c>
      <c r="G239" t="s">
        <v>2838</v>
      </c>
      <c r="H239" t="s">
        <v>62</v>
      </c>
      <c r="I239" t="s">
        <v>2323</v>
      </c>
      <c r="J239" t="s">
        <v>204</v>
      </c>
      <c r="K239" t="s">
        <v>3478</v>
      </c>
      <c r="L239" t="s">
        <v>44</v>
      </c>
      <c r="M239" t="s">
        <v>3479</v>
      </c>
      <c r="N239">
        <v>62055</v>
      </c>
      <c r="O239" t="s">
        <v>45</v>
      </c>
      <c r="P239" t="s">
        <v>81</v>
      </c>
      <c r="Q239" t="s">
        <v>55</v>
      </c>
      <c r="R239">
        <v>1955</v>
      </c>
      <c r="S239">
        <v>144</v>
      </c>
      <c r="T239">
        <v>0</v>
      </c>
      <c r="U239">
        <v>0</v>
      </c>
      <c r="V239" t="s">
        <v>3480</v>
      </c>
      <c r="W239">
        <v>78466788</v>
      </c>
      <c r="X239" t="s">
        <v>49</v>
      </c>
      <c r="Y239" t="s">
        <v>3481</v>
      </c>
      <c r="Z239" t="b">
        <v>0</v>
      </c>
      <c r="AA239">
        <v>354.16666666666669</v>
      </c>
      <c r="AN239" t="e">
        <f>100*(1-E239/AL239)</f>
        <v>#DIV/0!</v>
      </c>
    </row>
    <row r="240" spans="1:40" x14ac:dyDescent="0.3">
      <c r="A240" t="s">
        <v>59</v>
      </c>
      <c r="B240" t="s">
        <v>3536</v>
      </c>
      <c r="C240" t="s">
        <v>3536</v>
      </c>
      <c r="D240" s="4">
        <v>45987</v>
      </c>
      <c r="E240">
        <v>50000</v>
      </c>
      <c r="F240" t="s">
        <v>2250</v>
      </c>
      <c r="G240" t="s">
        <v>347</v>
      </c>
      <c r="H240" t="s">
        <v>111</v>
      </c>
      <c r="I240" t="s">
        <v>174</v>
      </c>
      <c r="J240" t="s">
        <v>175</v>
      </c>
      <c r="K240" t="s">
        <v>3537</v>
      </c>
      <c r="L240" t="s">
        <v>44</v>
      </c>
      <c r="M240" t="s">
        <v>3538</v>
      </c>
      <c r="N240">
        <v>34200</v>
      </c>
      <c r="O240" t="s">
        <v>45</v>
      </c>
      <c r="P240" t="s">
        <v>81</v>
      </c>
      <c r="Q240" t="s">
        <v>52</v>
      </c>
      <c r="R240">
        <v>1960</v>
      </c>
      <c r="S240">
        <v>69.83</v>
      </c>
      <c r="T240">
        <v>0</v>
      </c>
      <c r="U240">
        <v>0</v>
      </c>
      <c r="V240" t="s">
        <v>3539</v>
      </c>
      <c r="W240">
        <v>46606795</v>
      </c>
      <c r="X240" t="s">
        <v>86</v>
      </c>
      <c r="Y240">
        <v>120940306001</v>
      </c>
      <c r="Z240" t="b">
        <v>0</v>
      </c>
      <c r="AA240">
        <v>716.02463124731491</v>
      </c>
      <c r="AN240" t="e">
        <f>100*(1-E240/AL240)</f>
        <v>#DIV/0!</v>
      </c>
    </row>
    <row r="241" spans="1:40" x14ac:dyDescent="0.3">
      <c r="A241" t="s">
        <v>59</v>
      </c>
      <c r="B241" t="s">
        <v>3606</v>
      </c>
      <c r="C241" t="s">
        <v>977</v>
      </c>
      <c r="D241" s="4">
        <v>45987</v>
      </c>
      <c r="E241">
        <v>56000</v>
      </c>
      <c r="F241" t="s">
        <v>3607</v>
      </c>
      <c r="G241" t="s">
        <v>61</v>
      </c>
      <c r="H241" t="s">
        <v>62</v>
      </c>
      <c r="I241" t="s">
        <v>63</v>
      </c>
      <c r="J241" t="s">
        <v>63</v>
      </c>
      <c r="K241" t="s">
        <v>3608</v>
      </c>
      <c r="L241" t="s">
        <v>44</v>
      </c>
      <c r="M241" t="s">
        <v>3609</v>
      </c>
      <c r="N241">
        <v>54623</v>
      </c>
      <c r="O241" t="s">
        <v>50</v>
      </c>
      <c r="P241" t="s">
        <v>51</v>
      </c>
      <c r="Q241" t="s">
        <v>52</v>
      </c>
      <c r="R241">
        <v>1965</v>
      </c>
      <c r="S241">
        <v>43.4</v>
      </c>
      <c r="T241">
        <v>0</v>
      </c>
      <c r="U241">
        <v>0</v>
      </c>
      <c r="V241" t="s">
        <v>981</v>
      </c>
      <c r="W241">
        <v>28166335</v>
      </c>
      <c r="X241" t="s">
        <v>49</v>
      </c>
      <c r="Y241" t="s">
        <v>3610</v>
      </c>
      <c r="Z241" t="b">
        <v>0</v>
      </c>
      <c r="AA241">
        <v>1290.322580645161</v>
      </c>
      <c r="AN241" t="e">
        <f>100*(1-E241/AL241)</f>
        <v>#DIV/0!</v>
      </c>
    </row>
    <row r="242" spans="1:40" x14ac:dyDescent="0.3">
      <c r="A242" t="s">
        <v>215</v>
      </c>
      <c r="B242" t="s">
        <v>3725</v>
      </c>
      <c r="C242" t="s">
        <v>3725</v>
      </c>
      <c r="D242" s="4">
        <v>45987</v>
      </c>
      <c r="E242">
        <v>84805</v>
      </c>
      <c r="F242" t="s">
        <v>205</v>
      </c>
      <c r="G242" t="s">
        <v>61</v>
      </c>
      <c r="H242" t="s">
        <v>62</v>
      </c>
      <c r="I242" t="s">
        <v>63</v>
      </c>
      <c r="J242" t="s">
        <v>63</v>
      </c>
      <c r="K242" t="s">
        <v>3726</v>
      </c>
      <c r="L242" t="s">
        <v>44</v>
      </c>
      <c r="M242" t="s">
        <v>3727</v>
      </c>
      <c r="N242">
        <v>54248</v>
      </c>
      <c r="O242" t="s">
        <v>45</v>
      </c>
      <c r="P242" t="s">
        <v>54</v>
      </c>
      <c r="Q242" t="s">
        <v>52</v>
      </c>
      <c r="R242">
        <v>1969</v>
      </c>
      <c r="S242">
        <v>57</v>
      </c>
      <c r="T242">
        <v>0</v>
      </c>
      <c r="U242">
        <v>0</v>
      </c>
      <c r="V242" t="s">
        <v>3728</v>
      </c>
      <c r="W242" t="s">
        <v>3729</v>
      </c>
      <c r="X242" t="s">
        <v>86</v>
      </c>
      <c r="Y242" t="s">
        <v>3730</v>
      </c>
      <c r="Z242" t="b">
        <v>0</v>
      </c>
      <c r="AA242">
        <v>1487.80701754386</v>
      </c>
      <c r="AN242" t="e">
        <f>100*(1-E242/AL242)</f>
        <v>#DIV/0!</v>
      </c>
    </row>
    <row r="243" spans="1:40" x14ac:dyDescent="0.3">
      <c r="A243" t="s">
        <v>166</v>
      </c>
      <c r="B243" t="s">
        <v>3731</v>
      </c>
      <c r="C243" t="s">
        <v>3731</v>
      </c>
      <c r="D243" s="4">
        <v>45987</v>
      </c>
      <c r="E243">
        <v>19000</v>
      </c>
      <c r="F243" t="s">
        <v>3732</v>
      </c>
      <c r="G243" t="s">
        <v>61</v>
      </c>
      <c r="H243" t="s">
        <v>62</v>
      </c>
      <c r="I243" t="s">
        <v>63</v>
      </c>
      <c r="J243" t="s">
        <v>63</v>
      </c>
      <c r="K243" t="s">
        <v>3733</v>
      </c>
      <c r="L243" t="s">
        <v>44</v>
      </c>
      <c r="M243" t="s">
        <v>3734</v>
      </c>
      <c r="N243">
        <v>54641</v>
      </c>
      <c r="O243" t="s">
        <v>45</v>
      </c>
      <c r="P243" t="s">
        <v>232</v>
      </c>
      <c r="Q243">
        <v>0</v>
      </c>
      <c r="R243">
        <v>1969</v>
      </c>
      <c r="S243">
        <v>120</v>
      </c>
      <c r="T243">
        <v>0</v>
      </c>
      <c r="U243">
        <v>0</v>
      </c>
      <c r="V243" t="s">
        <v>3735</v>
      </c>
      <c r="W243">
        <v>13722175</v>
      </c>
      <c r="X243" t="s">
        <v>49</v>
      </c>
      <c r="Y243" t="s">
        <v>3736</v>
      </c>
      <c r="Z243" t="b">
        <v>0</v>
      </c>
      <c r="AA243">
        <v>158.33333333333329</v>
      </c>
      <c r="AN243" t="e">
        <f>100*(1-E243/AL243)</f>
        <v>#DIV/0!</v>
      </c>
    </row>
    <row r="244" spans="1:40" x14ac:dyDescent="0.3">
      <c r="A244" t="s">
        <v>71</v>
      </c>
      <c r="B244" t="s">
        <v>3884</v>
      </c>
      <c r="C244" t="s">
        <v>3884</v>
      </c>
      <c r="D244" s="4">
        <v>45987</v>
      </c>
      <c r="E244">
        <v>56000</v>
      </c>
      <c r="F244" t="s">
        <v>496</v>
      </c>
      <c r="G244" t="s">
        <v>115</v>
      </c>
      <c r="H244" t="s">
        <v>67</v>
      </c>
      <c r="I244" t="s">
        <v>116</v>
      </c>
      <c r="J244" t="s">
        <v>67</v>
      </c>
      <c r="K244" t="s">
        <v>3885</v>
      </c>
      <c r="L244" t="s">
        <v>44</v>
      </c>
      <c r="M244" t="s">
        <v>3886</v>
      </c>
      <c r="N244">
        <v>10441</v>
      </c>
      <c r="O244" t="s">
        <v>45</v>
      </c>
      <c r="P244" t="s">
        <v>54</v>
      </c>
      <c r="Q244" t="s">
        <v>52</v>
      </c>
      <c r="R244">
        <v>1971</v>
      </c>
      <c r="S244">
        <v>51</v>
      </c>
      <c r="T244">
        <v>0</v>
      </c>
      <c r="U244">
        <v>0</v>
      </c>
      <c r="V244" t="s">
        <v>3887</v>
      </c>
      <c r="W244">
        <v>34808236</v>
      </c>
      <c r="X244" t="s">
        <v>49</v>
      </c>
      <c r="Y244" t="s">
        <v>3888</v>
      </c>
      <c r="Z244" t="b">
        <v>0</v>
      </c>
      <c r="AA244">
        <v>1098.039215686274</v>
      </c>
      <c r="AN244" t="e">
        <f>100*(1-E244/AL244)</f>
        <v>#DIV/0!</v>
      </c>
    </row>
    <row r="245" spans="1:40" x14ac:dyDescent="0.3">
      <c r="A245" t="s">
        <v>59</v>
      </c>
      <c r="B245" t="s">
        <v>3942</v>
      </c>
      <c r="C245" t="s">
        <v>3942</v>
      </c>
      <c r="D245" s="4">
        <v>45987</v>
      </c>
      <c r="E245">
        <v>104000</v>
      </c>
      <c r="F245" t="s">
        <v>496</v>
      </c>
      <c r="G245" t="s">
        <v>263</v>
      </c>
      <c r="H245" t="s">
        <v>67</v>
      </c>
      <c r="I245" t="s">
        <v>264</v>
      </c>
      <c r="J245" t="s">
        <v>67</v>
      </c>
      <c r="K245" t="s">
        <v>3943</v>
      </c>
      <c r="L245" t="s">
        <v>44</v>
      </c>
      <c r="M245" t="s">
        <v>3944</v>
      </c>
      <c r="N245">
        <v>15126</v>
      </c>
      <c r="O245" t="s">
        <v>45</v>
      </c>
      <c r="P245" t="s">
        <v>54</v>
      </c>
      <c r="Q245" t="s">
        <v>100</v>
      </c>
      <c r="R245">
        <v>1973</v>
      </c>
      <c r="S245">
        <v>50.8</v>
      </c>
      <c r="T245">
        <v>0</v>
      </c>
      <c r="U245">
        <v>0</v>
      </c>
      <c r="V245" t="s">
        <v>3945</v>
      </c>
      <c r="W245">
        <v>44466448</v>
      </c>
      <c r="X245" t="s">
        <v>49</v>
      </c>
      <c r="Y245" t="s">
        <v>3946</v>
      </c>
      <c r="Z245" t="b">
        <v>0</v>
      </c>
      <c r="AA245">
        <v>2047.2440944881889</v>
      </c>
      <c r="AN245" t="e">
        <f>100*(1-E245/AL245)</f>
        <v>#DIV/0!</v>
      </c>
    </row>
    <row r="246" spans="1:40" x14ac:dyDescent="0.3">
      <c r="A246" t="s">
        <v>120</v>
      </c>
      <c r="B246" t="s">
        <v>4046</v>
      </c>
      <c r="C246" t="s">
        <v>4047</v>
      </c>
      <c r="D246" s="4">
        <v>45987</v>
      </c>
      <c r="E246">
        <v>62865</v>
      </c>
      <c r="F246" t="s">
        <v>927</v>
      </c>
      <c r="G246" t="s">
        <v>115</v>
      </c>
      <c r="H246" t="s">
        <v>67</v>
      </c>
      <c r="I246" t="s">
        <v>116</v>
      </c>
      <c r="J246" t="s">
        <v>67</v>
      </c>
      <c r="K246" t="s">
        <v>4048</v>
      </c>
      <c r="L246" t="s">
        <v>44</v>
      </c>
      <c r="M246" t="s">
        <v>4049</v>
      </c>
      <c r="N246">
        <v>11633</v>
      </c>
      <c r="O246" t="s">
        <v>45</v>
      </c>
      <c r="P246" t="s">
        <v>54</v>
      </c>
      <c r="Q246" t="s">
        <v>85</v>
      </c>
      <c r="R246">
        <v>1975</v>
      </c>
      <c r="S246">
        <v>77.5</v>
      </c>
      <c r="T246" t="s">
        <v>48</v>
      </c>
      <c r="U246">
        <v>50</v>
      </c>
      <c r="V246" t="s">
        <v>4050</v>
      </c>
      <c r="W246">
        <v>65474726</v>
      </c>
      <c r="X246" t="s">
        <v>49</v>
      </c>
      <c r="Y246" t="s">
        <v>4051</v>
      </c>
      <c r="Z246" t="b">
        <v>0</v>
      </c>
      <c r="AA246">
        <v>811.16129032258061</v>
      </c>
      <c r="AN246" t="e">
        <f>100*(1-E246/AL246)</f>
        <v>#DIV/0!</v>
      </c>
    </row>
    <row r="247" spans="1:40" x14ac:dyDescent="0.3">
      <c r="A247" t="s">
        <v>120</v>
      </c>
      <c r="B247" t="s">
        <v>4052</v>
      </c>
      <c r="C247" t="s">
        <v>4047</v>
      </c>
      <c r="D247" s="4">
        <v>45987</v>
      </c>
      <c r="E247">
        <v>43000</v>
      </c>
      <c r="F247" t="s">
        <v>4053</v>
      </c>
      <c r="G247" t="s">
        <v>115</v>
      </c>
      <c r="H247" t="s">
        <v>67</v>
      </c>
      <c r="I247" t="s">
        <v>116</v>
      </c>
      <c r="J247" t="s">
        <v>67</v>
      </c>
      <c r="K247" t="s">
        <v>4048</v>
      </c>
      <c r="L247" t="s">
        <v>44</v>
      </c>
      <c r="M247" t="s">
        <v>4049</v>
      </c>
      <c r="N247">
        <v>11633</v>
      </c>
      <c r="O247" t="s">
        <v>45</v>
      </c>
      <c r="P247" t="s">
        <v>54</v>
      </c>
      <c r="Q247" t="s">
        <v>100</v>
      </c>
      <c r="R247">
        <v>1975</v>
      </c>
      <c r="S247">
        <v>56.1</v>
      </c>
      <c r="T247" t="s">
        <v>48</v>
      </c>
      <c r="U247">
        <v>50</v>
      </c>
      <c r="V247" t="s">
        <v>4050</v>
      </c>
      <c r="W247">
        <v>65474726</v>
      </c>
      <c r="X247" t="s">
        <v>49</v>
      </c>
      <c r="Y247" t="s">
        <v>4054</v>
      </c>
      <c r="Z247" t="b">
        <v>0</v>
      </c>
      <c r="AA247">
        <v>766.48841354723709</v>
      </c>
      <c r="AN247" t="e">
        <f>100*(1-E247/AL247)</f>
        <v>#DIV/0!</v>
      </c>
    </row>
    <row r="248" spans="1:40" x14ac:dyDescent="0.3">
      <c r="A248" t="s">
        <v>59</v>
      </c>
      <c r="B248" t="s">
        <v>4055</v>
      </c>
      <c r="C248" t="s">
        <v>4056</v>
      </c>
      <c r="D248" s="4">
        <v>45987</v>
      </c>
      <c r="E248">
        <v>62000</v>
      </c>
      <c r="F248" t="s">
        <v>920</v>
      </c>
      <c r="G248" t="s">
        <v>4057</v>
      </c>
      <c r="H248" t="s">
        <v>111</v>
      </c>
      <c r="I248" t="s">
        <v>4058</v>
      </c>
      <c r="J248" t="s">
        <v>175</v>
      </c>
      <c r="K248" t="s">
        <v>4059</v>
      </c>
      <c r="L248" t="s">
        <v>44</v>
      </c>
      <c r="M248" t="s">
        <v>4060</v>
      </c>
      <c r="N248">
        <v>34006</v>
      </c>
      <c r="O248" t="s">
        <v>45</v>
      </c>
      <c r="P248" t="s">
        <v>54</v>
      </c>
      <c r="Q248" t="s">
        <v>52</v>
      </c>
      <c r="R248">
        <v>1975</v>
      </c>
      <c r="S248">
        <v>44.37</v>
      </c>
      <c r="T248">
        <v>0</v>
      </c>
      <c r="U248">
        <v>0</v>
      </c>
      <c r="V248" t="s">
        <v>4061</v>
      </c>
      <c r="W248">
        <v>35791862</v>
      </c>
      <c r="X248" t="s">
        <v>49</v>
      </c>
      <c r="Y248">
        <v>120180306089</v>
      </c>
      <c r="Z248" t="b">
        <v>0</v>
      </c>
      <c r="AA248">
        <v>1397.340545413568</v>
      </c>
      <c r="AN248" t="e">
        <f>100*(1-E248/AL248)</f>
        <v>#DIV/0!</v>
      </c>
    </row>
    <row r="249" spans="1:40" x14ac:dyDescent="0.3">
      <c r="A249" t="s">
        <v>59</v>
      </c>
      <c r="B249" t="s">
        <v>4062</v>
      </c>
      <c r="C249" t="s">
        <v>4056</v>
      </c>
      <c r="D249" s="4">
        <v>45987</v>
      </c>
      <c r="E249">
        <v>60000</v>
      </c>
      <c r="F249" t="s">
        <v>1251</v>
      </c>
      <c r="G249" t="s">
        <v>4057</v>
      </c>
      <c r="H249" t="s">
        <v>111</v>
      </c>
      <c r="I249" t="s">
        <v>4058</v>
      </c>
      <c r="J249" t="s">
        <v>175</v>
      </c>
      <c r="K249" t="s">
        <v>4059</v>
      </c>
      <c r="L249" t="s">
        <v>44</v>
      </c>
      <c r="M249" t="s">
        <v>4060</v>
      </c>
      <c r="N249">
        <v>34006</v>
      </c>
      <c r="O249" t="s">
        <v>45</v>
      </c>
      <c r="P249" t="s">
        <v>54</v>
      </c>
      <c r="Q249" t="s">
        <v>52</v>
      </c>
      <c r="R249">
        <v>1975</v>
      </c>
      <c r="S249">
        <v>42.91</v>
      </c>
      <c r="T249">
        <v>0</v>
      </c>
      <c r="U249">
        <v>0</v>
      </c>
      <c r="V249" t="s">
        <v>4061</v>
      </c>
      <c r="W249">
        <v>35791862</v>
      </c>
      <c r="X249" t="s">
        <v>49</v>
      </c>
      <c r="Y249">
        <v>120180306089</v>
      </c>
      <c r="Z249" t="b">
        <v>0</v>
      </c>
      <c r="AA249">
        <v>1398.2754602656721</v>
      </c>
      <c r="AN249" t="e">
        <f>100*(1-E249/AL249)</f>
        <v>#DIV/0!</v>
      </c>
    </row>
    <row r="250" spans="1:40" x14ac:dyDescent="0.3">
      <c r="A250" t="s">
        <v>59</v>
      </c>
      <c r="B250" t="s">
        <v>4063</v>
      </c>
      <c r="C250" t="s">
        <v>4056</v>
      </c>
      <c r="D250" s="4">
        <v>45987</v>
      </c>
      <c r="E250">
        <v>65000</v>
      </c>
      <c r="F250" t="s">
        <v>65</v>
      </c>
      <c r="G250" t="s">
        <v>4057</v>
      </c>
      <c r="H250" t="s">
        <v>111</v>
      </c>
      <c r="I250" t="s">
        <v>4058</v>
      </c>
      <c r="J250" t="s">
        <v>175</v>
      </c>
      <c r="K250" t="s">
        <v>4059</v>
      </c>
      <c r="L250" t="s">
        <v>44</v>
      </c>
      <c r="M250" t="s">
        <v>4060</v>
      </c>
      <c r="N250">
        <v>34006</v>
      </c>
      <c r="O250" t="s">
        <v>45</v>
      </c>
      <c r="P250" t="s">
        <v>54</v>
      </c>
      <c r="Q250" t="s">
        <v>52</v>
      </c>
      <c r="R250">
        <v>1975</v>
      </c>
      <c r="S250">
        <v>46.2</v>
      </c>
      <c r="T250">
        <v>0</v>
      </c>
      <c r="U250">
        <v>0</v>
      </c>
      <c r="V250" t="s">
        <v>4061</v>
      </c>
      <c r="W250">
        <v>35791862</v>
      </c>
      <c r="X250" t="s">
        <v>49</v>
      </c>
      <c r="Y250">
        <v>120180306089</v>
      </c>
      <c r="Z250" t="b">
        <v>0</v>
      </c>
      <c r="AA250">
        <v>1406.926406926407</v>
      </c>
      <c r="AN250" t="e">
        <f>100*(1-E250/AL250)</f>
        <v>#DIV/0!</v>
      </c>
    </row>
    <row r="251" spans="1:40" x14ac:dyDescent="0.3">
      <c r="A251" t="s">
        <v>59</v>
      </c>
      <c r="B251" t="s">
        <v>4064</v>
      </c>
      <c r="C251" t="s">
        <v>4056</v>
      </c>
      <c r="D251" s="4">
        <v>45987</v>
      </c>
      <c r="E251">
        <v>59000</v>
      </c>
      <c r="F251" t="s">
        <v>337</v>
      </c>
      <c r="G251" t="s">
        <v>4057</v>
      </c>
      <c r="H251" t="s">
        <v>111</v>
      </c>
      <c r="I251" t="s">
        <v>4058</v>
      </c>
      <c r="J251" t="s">
        <v>175</v>
      </c>
      <c r="K251" t="s">
        <v>4059</v>
      </c>
      <c r="L251" t="s">
        <v>44</v>
      </c>
      <c r="M251" t="s">
        <v>4060</v>
      </c>
      <c r="N251">
        <v>34006</v>
      </c>
      <c r="O251" t="s">
        <v>45</v>
      </c>
      <c r="P251" t="s">
        <v>54</v>
      </c>
      <c r="Q251" t="s">
        <v>52</v>
      </c>
      <c r="R251">
        <v>1975</v>
      </c>
      <c r="S251">
        <v>42.17</v>
      </c>
      <c r="T251">
        <v>0</v>
      </c>
      <c r="U251">
        <v>0</v>
      </c>
      <c r="V251" t="s">
        <v>4061</v>
      </c>
      <c r="W251">
        <v>35791862</v>
      </c>
      <c r="X251" t="s">
        <v>49</v>
      </c>
      <c r="Y251">
        <v>120180306089</v>
      </c>
      <c r="Z251" t="b">
        <v>0</v>
      </c>
      <c r="AA251">
        <v>1399.0988854636</v>
      </c>
      <c r="AN251" t="e">
        <f>100*(1-E251/AL251)</f>
        <v>#DIV/0!</v>
      </c>
    </row>
    <row r="252" spans="1:40" x14ac:dyDescent="0.3">
      <c r="A252" t="s">
        <v>59</v>
      </c>
      <c r="B252" t="s">
        <v>4065</v>
      </c>
      <c r="C252" t="s">
        <v>4065</v>
      </c>
      <c r="D252" s="4">
        <v>45987</v>
      </c>
      <c r="E252">
        <v>41000</v>
      </c>
      <c r="F252" t="s">
        <v>4066</v>
      </c>
      <c r="G252" t="s">
        <v>90</v>
      </c>
      <c r="H252" t="s">
        <v>67</v>
      </c>
      <c r="I252" t="s">
        <v>91</v>
      </c>
      <c r="J252" t="s">
        <v>67</v>
      </c>
      <c r="K252" t="s">
        <v>4067</v>
      </c>
      <c r="L252" t="s">
        <v>44</v>
      </c>
      <c r="M252" t="s">
        <v>4068</v>
      </c>
      <c r="N252">
        <v>17672</v>
      </c>
      <c r="O252" t="s">
        <v>50</v>
      </c>
      <c r="P252" t="s">
        <v>51</v>
      </c>
      <c r="Q252" t="s">
        <v>52</v>
      </c>
      <c r="R252">
        <v>1975</v>
      </c>
      <c r="S252">
        <v>26</v>
      </c>
      <c r="T252">
        <v>0</v>
      </c>
      <c r="U252">
        <v>0</v>
      </c>
      <c r="V252" t="s">
        <v>4069</v>
      </c>
      <c r="W252">
        <v>79520408</v>
      </c>
      <c r="X252" t="s">
        <v>86</v>
      </c>
      <c r="Y252">
        <v>3.2097090270120103E+20</v>
      </c>
      <c r="Z252" t="b">
        <v>0</v>
      </c>
      <c r="AA252">
        <v>1576.9230769230769</v>
      </c>
      <c r="AN252" t="e">
        <f>100*(1-E252/AL252)</f>
        <v>#DIV/0!</v>
      </c>
    </row>
    <row r="253" spans="1:40" x14ac:dyDescent="0.3">
      <c r="A253" t="s">
        <v>59</v>
      </c>
      <c r="B253" t="s">
        <v>4065</v>
      </c>
      <c r="C253" t="s">
        <v>4065</v>
      </c>
      <c r="D253" s="4">
        <v>45987</v>
      </c>
      <c r="E253">
        <v>41000</v>
      </c>
      <c r="F253" t="s">
        <v>4066</v>
      </c>
      <c r="G253" t="s">
        <v>90</v>
      </c>
      <c r="H253" t="s">
        <v>67</v>
      </c>
      <c r="I253" t="s">
        <v>91</v>
      </c>
      <c r="J253" t="s">
        <v>67</v>
      </c>
      <c r="K253" t="s">
        <v>4067</v>
      </c>
      <c r="L253" t="s">
        <v>44</v>
      </c>
      <c r="M253" t="s">
        <v>4068</v>
      </c>
      <c r="N253">
        <v>17672</v>
      </c>
      <c r="O253" t="s">
        <v>50</v>
      </c>
      <c r="P253" t="s">
        <v>51</v>
      </c>
      <c r="Q253" t="s">
        <v>52</v>
      </c>
      <c r="R253">
        <v>1975</v>
      </c>
      <c r="S253">
        <v>26</v>
      </c>
      <c r="T253">
        <v>0</v>
      </c>
      <c r="U253">
        <v>0</v>
      </c>
      <c r="V253" t="s">
        <v>4069</v>
      </c>
      <c r="W253">
        <v>79520408</v>
      </c>
      <c r="X253" t="s">
        <v>86</v>
      </c>
      <c r="Y253">
        <v>3.2097090270120103E+20</v>
      </c>
      <c r="Z253" t="b">
        <v>0</v>
      </c>
      <c r="AA253">
        <v>1576.9230769230769</v>
      </c>
      <c r="AN253" t="e">
        <f>100*(1-E253/AL253)</f>
        <v>#DIV/0!</v>
      </c>
    </row>
    <row r="254" spans="1:40" x14ac:dyDescent="0.3">
      <c r="A254" t="s">
        <v>59</v>
      </c>
      <c r="B254" t="s">
        <v>4070</v>
      </c>
      <c r="C254" t="s">
        <v>4070</v>
      </c>
      <c r="D254" s="4">
        <v>45987</v>
      </c>
      <c r="E254">
        <v>78444</v>
      </c>
      <c r="F254" t="s">
        <v>134</v>
      </c>
      <c r="G254" t="s">
        <v>206</v>
      </c>
      <c r="H254" t="s">
        <v>67</v>
      </c>
      <c r="I254" t="s">
        <v>207</v>
      </c>
      <c r="J254" t="s">
        <v>67</v>
      </c>
      <c r="K254" t="s">
        <v>4071</v>
      </c>
      <c r="L254" t="s">
        <v>44</v>
      </c>
      <c r="M254" t="s">
        <v>4072</v>
      </c>
      <c r="N254">
        <v>18755</v>
      </c>
      <c r="O254" t="s">
        <v>45</v>
      </c>
      <c r="P254" t="s">
        <v>54</v>
      </c>
      <c r="Q254" t="s">
        <v>55</v>
      </c>
      <c r="R254">
        <v>1975</v>
      </c>
      <c r="S254">
        <v>76.599999999999994</v>
      </c>
      <c r="T254">
        <v>0</v>
      </c>
      <c r="U254">
        <v>0</v>
      </c>
      <c r="V254" t="s">
        <v>4073</v>
      </c>
      <c r="W254">
        <v>27866587</v>
      </c>
      <c r="X254" t="s">
        <v>49</v>
      </c>
      <c r="Y254" t="s">
        <v>4074</v>
      </c>
      <c r="Z254" t="b">
        <v>0</v>
      </c>
      <c r="AA254">
        <v>1024.0731070496081</v>
      </c>
      <c r="AN254" t="e">
        <f>100*(1-E254/AL254)</f>
        <v>#DIV/0!</v>
      </c>
    </row>
    <row r="255" spans="1:40" x14ac:dyDescent="0.3">
      <c r="A255" t="s">
        <v>71</v>
      </c>
      <c r="B255" t="s">
        <v>4075</v>
      </c>
      <c r="C255" t="s">
        <v>4075</v>
      </c>
      <c r="D255" s="4">
        <v>45987</v>
      </c>
      <c r="E255">
        <v>76000</v>
      </c>
      <c r="F255" t="s">
        <v>4076</v>
      </c>
      <c r="G255" t="s">
        <v>2705</v>
      </c>
      <c r="H255" t="s">
        <v>152</v>
      </c>
      <c r="I255" t="s">
        <v>2706</v>
      </c>
      <c r="J255" t="s">
        <v>610</v>
      </c>
      <c r="K255" t="s">
        <v>4077</v>
      </c>
      <c r="L255" t="s">
        <v>44</v>
      </c>
      <c r="M255" t="s">
        <v>4078</v>
      </c>
      <c r="N255">
        <v>22100</v>
      </c>
      <c r="O255" t="s">
        <v>50</v>
      </c>
      <c r="P255" t="s">
        <v>51</v>
      </c>
      <c r="Q255" t="s">
        <v>52</v>
      </c>
      <c r="R255">
        <v>1975</v>
      </c>
      <c r="S255">
        <v>101.4</v>
      </c>
      <c r="T255">
        <v>0</v>
      </c>
      <c r="U255">
        <v>0</v>
      </c>
      <c r="V255" t="s">
        <v>4079</v>
      </c>
      <c r="W255">
        <v>67365610</v>
      </c>
      <c r="X255" t="s">
        <v>49</v>
      </c>
      <c r="Y255" t="s">
        <v>4080</v>
      </c>
      <c r="Z255" t="b">
        <v>0</v>
      </c>
      <c r="AA255">
        <v>749.50690335305717</v>
      </c>
      <c r="AN255" t="e">
        <f>100*(1-E255/AL255)</f>
        <v>#DIV/0!</v>
      </c>
    </row>
    <row r="256" spans="1:40" x14ac:dyDescent="0.3">
      <c r="A256" t="s">
        <v>71</v>
      </c>
      <c r="B256" t="s">
        <v>4201</v>
      </c>
      <c r="C256" t="s">
        <v>4201</v>
      </c>
      <c r="D256" s="4">
        <v>45987</v>
      </c>
      <c r="E256">
        <v>82000</v>
      </c>
      <c r="F256" t="s">
        <v>564</v>
      </c>
      <c r="G256" t="s">
        <v>1458</v>
      </c>
      <c r="H256" t="s">
        <v>67</v>
      </c>
      <c r="I256" t="s">
        <v>1005</v>
      </c>
      <c r="J256" t="s">
        <v>67</v>
      </c>
      <c r="K256" t="s">
        <v>4202</v>
      </c>
      <c r="L256" t="s">
        <v>44</v>
      </c>
      <c r="M256" t="s">
        <v>4203</v>
      </c>
      <c r="N256">
        <v>17235</v>
      </c>
      <c r="O256" t="s">
        <v>45</v>
      </c>
      <c r="P256" t="s">
        <v>54</v>
      </c>
      <c r="Q256" t="s">
        <v>55</v>
      </c>
      <c r="R256">
        <v>1977</v>
      </c>
      <c r="S256">
        <v>53.7</v>
      </c>
      <c r="T256">
        <v>0</v>
      </c>
      <c r="U256">
        <v>0</v>
      </c>
      <c r="V256" t="s">
        <v>4204</v>
      </c>
      <c r="W256">
        <v>45770327</v>
      </c>
      <c r="X256" t="s">
        <v>49</v>
      </c>
      <c r="Y256" t="s">
        <v>4205</v>
      </c>
      <c r="Z256" t="b">
        <v>0</v>
      </c>
      <c r="AA256">
        <v>1527.0018621973929</v>
      </c>
      <c r="AN256" t="e">
        <f>100*(1-E256/AL256)</f>
        <v>#DIV/0!</v>
      </c>
    </row>
    <row r="257" spans="1:40" x14ac:dyDescent="0.3">
      <c r="A257" t="s">
        <v>39</v>
      </c>
      <c r="B257" t="s">
        <v>4206</v>
      </c>
      <c r="C257" t="s">
        <v>4206</v>
      </c>
      <c r="D257" s="4">
        <v>45987</v>
      </c>
      <c r="E257">
        <v>5546</v>
      </c>
      <c r="F257" t="s">
        <v>4207</v>
      </c>
      <c r="G257" t="s">
        <v>4208</v>
      </c>
      <c r="H257" t="s">
        <v>67</v>
      </c>
      <c r="I257" t="s">
        <v>3941</v>
      </c>
      <c r="J257" t="s">
        <v>67</v>
      </c>
      <c r="K257" t="s">
        <v>4209</v>
      </c>
      <c r="L257" t="s">
        <v>44</v>
      </c>
      <c r="M257" t="s">
        <v>4210</v>
      </c>
      <c r="N257">
        <v>19003</v>
      </c>
      <c r="O257" t="s">
        <v>45</v>
      </c>
      <c r="P257" t="s">
        <v>81</v>
      </c>
      <c r="Q257" t="s">
        <v>52</v>
      </c>
      <c r="R257">
        <v>1977</v>
      </c>
      <c r="S257">
        <v>53.75</v>
      </c>
      <c r="T257" t="s">
        <v>48</v>
      </c>
      <c r="U257" t="s">
        <v>4211</v>
      </c>
      <c r="V257" t="s">
        <v>4212</v>
      </c>
      <c r="W257">
        <v>1542972</v>
      </c>
      <c r="X257" t="s">
        <v>49</v>
      </c>
      <c r="Y257" t="s">
        <v>4213</v>
      </c>
      <c r="Z257" t="b">
        <v>0</v>
      </c>
      <c r="AA257">
        <v>103.1813953488372</v>
      </c>
      <c r="AN257" t="e">
        <f>100*(1-E257/AL257)</f>
        <v>#DIV/0!</v>
      </c>
    </row>
    <row r="258" spans="1:40" x14ac:dyDescent="0.3">
      <c r="A258" t="s">
        <v>139</v>
      </c>
      <c r="B258" t="s">
        <v>4283</v>
      </c>
      <c r="C258" t="s">
        <v>4283</v>
      </c>
      <c r="D258" s="4">
        <v>45987</v>
      </c>
      <c r="E258">
        <v>96500</v>
      </c>
      <c r="F258" t="s">
        <v>429</v>
      </c>
      <c r="G258" t="s">
        <v>3570</v>
      </c>
      <c r="H258" t="s">
        <v>111</v>
      </c>
      <c r="I258" t="s">
        <v>443</v>
      </c>
      <c r="J258" t="s">
        <v>165</v>
      </c>
      <c r="K258" t="s">
        <v>4284</v>
      </c>
      <c r="L258" t="s">
        <v>44</v>
      </c>
      <c r="M258" t="s">
        <v>4285</v>
      </c>
      <c r="N258">
        <v>32010</v>
      </c>
      <c r="O258" t="s">
        <v>45</v>
      </c>
      <c r="P258" t="s">
        <v>81</v>
      </c>
      <c r="Q258" t="s">
        <v>52</v>
      </c>
      <c r="R258">
        <v>1979</v>
      </c>
      <c r="S258">
        <v>164.91</v>
      </c>
      <c r="T258">
        <v>0</v>
      </c>
      <c r="U258">
        <v>0</v>
      </c>
      <c r="V258" t="s">
        <v>4286</v>
      </c>
      <c r="W258" t="s">
        <v>4287</v>
      </c>
      <c r="X258" t="s">
        <v>86</v>
      </c>
      <c r="Y258">
        <v>70530123021</v>
      </c>
      <c r="Z258" t="b">
        <v>0</v>
      </c>
      <c r="AA258">
        <v>585.16766721241891</v>
      </c>
      <c r="AN258" t="e">
        <f>100*(1-E258/AL258)</f>
        <v>#DIV/0!</v>
      </c>
    </row>
    <row r="259" spans="1:40" x14ac:dyDescent="0.3">
      <c r="A259" t="s">
        <v>166</v>
      </c>
      <c r="B259" t="s">
        <v>4333</v>
      </c>
      <c r="C259" t="s">
        <v>4333</v>
      </c>
      <c r="D259" s="4">
        <v>45987</v>
      </c>
      <c r="E259">
        <v>30000</v>
      </c>
      <c r="F259" t="s">
        <v>3289</v>
      </c>
      <c r="G259" t="s">
        <v>497</v>
      </c>
      <c r="H259" t="s">
        <v>62</v>
      </c>
      <c r="I259" t="s">
        <v>498</v>
      </c>
      <c r="J259" t="s">
        <v>63</v>
      </c>
      <c r="K259" t="s">
        <v>4334</v>
      </c>
      <c r="L259" t="s">
        <v>44</v>
      </c>
      <c r="M259" t="s">
        <v>4335</v>
      </c>
      <c r="N259">
        <v>56123</v>
      </c>
      <c r="O259" t="s">
        <v>50</v>
      </c>
      <c r="P259" t="s">
        <v>51</v>
      </c>
      <c r="Q259" t="s">
        <v>52</v>
      </c>
      <c r="R259">
        <v>1980</v>
      </c>
      <c r="S259">
        <v>45</v>
      </c>
      <c r="T259">
        <v>0</v>
      </c>
      <c r="U259">
        <v>0</v>
      </c>
      <c r="V259" t="s">
        <v>4336</v>
      </c>
      <c r="W259">
        <v>24022809</v>
      </c>
      <c r="X259" t="s">
        <v>49</v>
      </c>
      <c r="Y259" t="s">
        <v>4337</v>
      </c>
      <c r="Z259" t="b">
        <v>0</v>
      </c>
      <c r="AA259">
        <v>666.66666666666663</v>
      </c>
      <c r="AN259" t="e">
        <f>100*(1-E259/AL259)</f>
        <v>#DIV/0!</v>
      </c>
    </row>
    <row r="260" spans="1:40" x14ac:dyDescent="0.3">
      <c r="A260" t="s">
        <v>59</v>
      </c>
      <c r="B260" t="s">
        <v>4338</v>
      </c>
      <c r="C260" t="s">
        <v>4338</v>
      </c>
      <c r="D260" s="4">
        <v>45987</v>
      </c>
      <c r="E260">
        <v>50400</v>
      </c>
      <c r="F260" t="s">
        <v>1439</v>
      </c>
      <c r="G260" t="s">
        <v>106</v>
      </c>
      <c r="H260" t="s">
        <v>62</v>
      </c>
      <c r="I260" t="s">
        <v>107</v>
      </c>
      <c r="J260" t="s">
        <v>108</v>
      </c>
      <c r="K260" t="s">
        <v>4339</v>
      </c>
      <c r="L260" t="s">
        <v>44</v>
      </c>
      <c r="M260" t="s">
        <v>4340</v>
      </c>
      <c r="N260">
        <v>59132</v>
      </c>
      <c r="O260" t="s">
        <v>45</v>
      </c>
      <c r="P260" t="s">
        <v>54</v>
      </c>
      <c r="Q260" t="s">
        <v>64</v>
      </c>
      <c r="R260">
        <v>1980</v>
      </c>
      <c r="S260">
        <v>65</v>
      </c>
      <c r="T260">
        <v>0</v>
      </c>
      <c r="U260">
        <v>0</v>
      </c>
      <c r="V260" t="s">
        <v>4341</v>
      </c>
      <c r="W260">
        <v>28518799</v>
      </c>
      <c r="X260" t="s">
        <v>49</v>
      </c>
      <c r="Y260" t="s">
        <v>4342</v>
      </c>
      <c r="Z260" t="b">
        <v>0</v>
      </c>
      <c r="AA260">
        <v>775.38461538461536</v>
      </c>
      <c r="AN260" t="e">
        <f>100*(1-E260/AL260)</f>
        <v>#DIV/0!</v>
      </c>
    </row>
    <row r="261" spans="1:40" x14ac:dyDescent="0.3">
      <c r="A261" t="s">
        <v>59</v>
      </c>
      <c r="B261" t="s">
        <v>4343</v>
      </c>
      <c r="C261" t="s">
        <v>4343</v>
      </c>
      <c r="D261" s="4">
        <v>45987</v>
      </c>
      <c r="E261">
        <v>16900</v>
      </c>
      <c r="F261" t="s">
        <v>458</v>
      </c>
      <c r="G261" t="s">
        <v>238</v>
      </c>
      <c r="H261" t="s">
        <v>62</v>
      </c>
      <c r="I261" t="s">
        <v>238</v>
      </c>
      <c r="J261" t="s">
        <v>238</v>
      </c>
      <c r="K261" t="s">
        <v>4344</v>
      </c>
      <c r="L261" t="s">
        <v>44</v>
      </c>
      <c r="M261" t="s">
        <v>4345</v>
      </c>
      <c r="N261">
        <v>61100</v>
      </c>
      <c r="O261" t="s">
        <v>45</v>
      </c>
      <c r="P261" t="s">
        <v>81</v>
      </c>
      <c r="Q261" t="s">
        <v>52</v>
      </c>
      <c r="R261">
        <v>1980</v>
      </c>
      <c r="S261">
        <v>73.53</v>
      </c>
      <c r="T261">
        <v>0</v>
      </c>
      <c r="U261">
        <v>0</v>
      </c>
      <c r="V261" t="s">
        <v>4346</v>
      </c>
      <c r="W261">
        <v>142343616</v>
      </c>
      <c r="X261" t="s">
        <v>49</v>
      </c>
      <c r="Y261" t="s">
        <v>4347</v>
      </c>
      <c r="Z261" t="b">
        <v>0</v>
      </c>
      <c r="AA261">
        <v>229.83816129470961</v>
      </c>
      <c r="AN261" t="e">
        <f>100*(1-E261/AL261)</f>
        <v>#DIV/0!</v>
      </c>
    </row>
    <row r="262" spans="1:40" x14ac:dyDescent="0.3">
      <c r="A262" t="s">
        <v>39</v>
      </c>
      <c r="B262" t="s">
        <v>4348</v>
      </c>
      <c r="C262" t="s">
        <v>4348</v>
      </c>
      <c r="D262" s="4">
        <v>45987</v>
      </c>
      <c r="E262">
        <v>213500</v>
      </c>
      <c r="F262" t="s">
        <v>4349</v>
      </c>
      <c r="G262" t="s">
        <v>990</v>
      </c>
      <c r="H262" t="s">
        <v>67</v>
      </c>
      <c r="I262" t="s">
        <v>991</v>
      </c>
      <c r="J262" t="s">
        <v>67</v>
      </c>
      <c r="K262" t="s">
        <v>4350</v>
      </c>
      <c r="L262" t="s">
        <v>44</v>
      </c>
      <c r="M262" t="s">
        <v>4351</v>
      </c>
      <c r="N262">
        <v>17122</v>
      </c>
      <c r="O262" t="s">
        <v>45</v>
      </c>
      <c r="P262" t="s">
        <v>54</v>
      </c>
      <c r="Q262" t="s">
        <v>55</v>
      </c>
      <c r="R262">
        <v>1980</v>
      </c>
      <c r="S262">
        <v>140</v>
      </c>
      <c r="T262">
        <v>0</v>
      </c>
      <c r="U262">
        <v>0</v>
      </c>
      <c r="V262" t="s">
        <v>4352</v>
      </c>
      <c r="W262">
        <v>24566284</v>
      </c>
      <c r="X262" t="s">
        <v>49</v>
      </c>
      <c r="Y262" t="s">
        <v>4353</v>
      </c>
      <c r="Z262" t="b">
        <v>0</v>
      </c>
      <c r="AA262">
        <v>1525</v>
      </c>
      <c r="AN262" t="e">
        <f>100*(1-E262/AL262)</f>
        <v>#DIV/0!</v>
      </c>
    </row>
    <row r="263" spans="1:40" x14ac:dyDescent="0.3">
      <c r="A263" t="s">
        <v>59</v>
      </c>
      <c r="B263" t="s">
        <v>4354</v>
      </c>
      <c r="C263" t="s">
        <v>4354</v>
      </c>
      <c r="D263" s="4">
        <v>45987</v>
      </c>
      <c r="E263">
        <v>48000</v>
      </c>
      <c r="F263" t="s">
        <v>114</v>
      </c>
      <c r="G263" t="s">
        <v>141</v>
      </c>
      <c r="H263" t="s">
        <v>67</v>
      </c>
      <c r="I263" t="s">
        <v>142</v>
      </c>
      <c r="J263" t="s">
        <v>67</v>
      </c>
      <c r="K263" t="s">
        <v>4355</v>
      </c>
      <c r="L263" t="s">
        <v>44</v>
      </c>
      <c r="M263" t="s">
        <v>4356</v>
      </c>
      <c r="N263">
        <v>13675</v>
      </c>
      <c r="O263" t="s">
        <v>45</v>
      </c>
      <c r="P263" t="s">
        <v>54</v>
      </c>
      <c r="Q263" t="s">
        <v>52</v>
      </c>
      <c r="R263">
        <v>1980</v>
      </c>
      <c r="S263">
        <v>74.5</v>
      </c>
      <c r="T263">
        <v>0</v>
      </c>
      <c r="U263">
        <v>0</v>
      </c>
      <c r="V263" t="s">
        <v>4357</v>
      </c>
      <c r="W263">
        <v>115594123</v>
      </c>
      <c r="X263" t="s">
        <v>49</v>
      </c>
      <c r="Y263" t="s">
        <v>4358</v>
      </c>
      <c r="Z263" t="b">
        <v>0</v>
      </c>
      <c r="AA263">
        <v>644.29530201342277</v>
      </c>
      <c r="AN263" t="e">
        <f>100*(1-E263/AL263)</f>
        <v>#DIV/0!</v>
      </c>
    </row>
    <row r="264" spans="1:40" x14ac:dyDescent="0.3">
      <c r="A264" t="s">
        <v>39</v>
      </c>
      <c r="B264" t="s">
        <v>4554</v>
      </c>
      <c r="C264" t="s">
        <v>4554</v>
      </c>
      <c r="D264" s="4">
        <v>45987</v>
      </c>
      <c r="E264">
        <v>49000</v>
      </c>
      <c r="F264" t="s">
        <v>303</v>
      </c>
      <c r="G264" t="s">
        <v>106</v>
      </c>
      <c r="H264" t="s">
        <v>62</v>
      </c>
      <c r="I264" t="s">
        <v>107</v>
      </c>
      <c r="J264" t="s">
        <v>108</v>
      </c>
      <c r="K264" t="s">
        <v>4555</v>
      </c>
      <c r="L264" t="s">
        <v>44</v>
      </c>
      <c r="M264" t="s">
        <v>4556</v>
      </c>
      <c r="N264">
        <v>59132</v>
      </c>
      <c r="O264" t="s">
        <v>45</v>
      </c>
      <c r="P264" t="s">
        <v>54</v>
      </c>
      <c r="Q264" t="s">
        <v>85</v>
      </c>
      <c r="R264">
        <v>1981</v>
      </c>
      <c r="S264">
        <v>73.650000000000006</v>
      </c>
      <c r="T264">
        <v>0</v>
      </c>
      <c r="U264">
        <v>0</v>
      </c>
      <c r="V264" t="s">
        <v>4557</v>
      </c>
      <c r="W264">
        <v>26214121</v>
      </c>
      <c r="X264" t="s">
        <v>86</v>
      </c>
      <c r="Y264" t="s">
        <v>4558</v>
      </c>
      <c r="Z264" t="b">
        <v>0</v>
      </c>
      <c r="AA264">
        <v>665.30889341479963</v>
      </c>
      <c r="AN264" t="e">
        <f>100*(1-E264/AL264)</f>
        <v>#DIV/0!</v>
      </c>
    </row>
    <row r="265" spans="1:40" x14ac:dyDescent="0.3">
      <c r="A265" t="s">
        <v>59</v>
      </c>
      <c r="B265" t="s">
        <v>4559</v>
      </c>
      <c r="C265" t="s">
        <v>4560</v>
      </c>
      <c r="D265" s="4">
        <v>45987</v>
      </c>
      <c r="E265">
        <v>209000</v>
      </c>
      <c r="F265" t="s">
        <v>380</v>
      </c>
      <c r="G265" t="s">
        <v>1677</v>
      </c>
      <c r="H265" t="s">
        <v>67</v>
      </c>
      <c r="I265" t="s">
        <v>1678</v>
      </c>
      <c r="J265" t="s">
        <v>67</v>
      </c>
      <c r="K265" t="s">
        <v>4561</v>
      </c>
      <c r="L265" t="s">
        <v>44</v>
      </c>
      <c r="M265" t="s">
        <v>4562</v>
      </c>
      <c r="N265">
        <v>17563</v>
      </c>
      <c r="O265" t="s">
        <v>45</v>
      </c>
      <c r="P265" t="s">
        <v>54</v>
      </c>
      <c r="Q265" t="s">
        <v>100</v>
      </c>
      <c r="R265">
        <v>1981</v>
      </c>
      <c r="S265">
        <v>97.4</v>
      </c>
      <c r="T265">
        <v>0</v>
      </c>
      <c r="U265">
        <v>0</v>
      </c>
      <c r="V265" t="s">
        <v>4563</v>
      </c>
      <c r="W265" t="s">
        <v>4564</v>
      </c>
      <c r="X265" t="s">
        <v>49</v>
      </c>
      <c r="Y265">
        <v>0</v>
      </c>
      <c r="Z265" t="b">
        <v>0</v>
      </c>
      <c r="AA265">
        <v>2145.7905544147839</v>
      </c>
      <c r="AN265" t="e">
        <f>100*(1-E265/AL265)</f>
        <v>#DIV/0!</v>
      </c>
    </row>
    <row r="266" spans="1:40" x14ac:dyDescent="0.3">
      <c r="A266" t="s">
        <v>59</v>
      </c>
      <c r="B266" t="s">
        <v>4565</v>
      </c>
      <c r="C266" t="s">
        <v>4560</v>
      </c>
      <c r="D266" s="4">
        <v>45987</v>
      </c>
      <c r="E266">
        <v>3220</v>
      </c>
      <c r="F266" t="s">
        <v>243</v>
      </c>
      <c r="G266" t="s">
        <v>1677</v>
      </c>
      <c r="H266" t="s">
        <v>67</v>
      </c>
      <c r="I266" t="s">
        <v>1678</v>
      </c>
      <c r="J266" t="s">
        <v>67</v>
      </c>
      <c r="K266" t="s">
        <v>4561</v>
      </c>
      <c r="L266" t="s">
        <v>44</v>
      </c>
      <c r="M266" t="s">
        <v>4562</v>
      </c>
      <c r="N266">
        <v>17563</v>
      </c>
      <c r="O266" t="s">
        <v>45</v>
      </c>
      <c r="P266" t="s">
        <v>46</v>
      </c>
      <c r="Q266" t="s">
        <v>52</v>
      </c>
      <c r="R266">
        <v>1981</v>
      </c>
      <c r="S266">
        <v>9</v>
      </c>
      <c r="T266">
        <v>0</v>
      </c>
      <c r="U266">
        <v>0</v>
      </c>
      <c r="V266" t="s">
        <v>4563</v>
      </c>
      <c r="W266" t="s">
        <v>4564</v>
      </c>
      <c r="X266" t="s">
        <v>49</v>
      </c>
      <c r="Y266">
        <v>0</v>
      </c>
      <c r="Z266" t="b">
        <v>0</v>
      </c>
      <c r="AA266">
        <v>357.77777777777783</v>
      </c>
      <c r="AN266" t="e">
        <f>100*(1-E266/AL266)</f>
        <v>#DIV/0!</v>
      </c>
    </row>
    <row r="267" spans="1:40" x14ac:dyDescent="0.3">
      <c r="A267" t="s">
        <v>59</v>
      </c>
      <c r="B267" t="s">
        <v>4566</v>
      </c>
      <c r="C267" t="s">
        <v>4567</v>
      </c>
      <c r="D267" s="4">
        <v>45987</v>
      </c>
      <c r="E267">
        <v>11000</v>
      </c>
      <c r="F267" t="s">
        <v>4568</v>
      </c>
      <c r="G267" t="s">
        <v>106</v>
      </c>
      <c r="H267" t="s">
        <v>62</v>
      </c>
      <c r="I267" t="s">
        <v>107</v>
      </c>
      <c r="J267" t="s">
        <v>108</v>
      </c>
      <c r="K267" t="s">
        <v>4569</v>
      </c>
      <c r="L267" t="s">
        <v>44</v>
      </c>
      <c r="M267" t="s">
        <v>4570</v>
      </c>
      <c r="N267">
        <v>59132</v>
      </c>
      <c r="O267" t="s">
        <v>50</v>
      </c>
      <c r="P267" t="s">
        <v>176</v>
      </c>
      <c r="Q267" t="s">
        <v>55</v>
      </c>
      <c r="R267">
        <v>1981</v>
      </c>
      <c r="S267">
        <v>9.5500000000000007</v>
      </c>
      <c r="T267">
        <v>0</v>
      </c>
      <c r="U267">
        <v>0</v>
      </c>
      <c r="V267" t="s">
        <v>4571</v>
      </c>
      <c r="W267">
        <v>59942325</v>
      </c>
      <c r="X267" t="s">
        <v>49</v>
      </c>
      <c r="Y267" t="s">
        <v>4572</v>
      </c>
      <c r="Z267" t="b">
        <v>0</v>
      </c>
      <c r="AA267">
        <v>1151.8324607329839</v>
      </c>
      <c r="AN267" t="e">
        <f>100*(1-E267/AL267)</f>
        <v>#DIV/0!</v>
      </c>
    </row>
    <row r="268" spans="1:40" x14ac:dyDescent="0.3">
      <c r="A268" t="s">
        <v>59</v>
      </c>
      <c r="B268" t="s">
        <v>4573</v>
      </c>
      <c r="C268" t="s">
        <v>4567</v>
      </c>
      <c r="D268" s="4">
        <v>45987</v>
      </c>
      <c r="E268">
        <v>51000</v>
      </c>
      <c r="F268" t="s">
        <v>4574</v>
      </c>
      <c r="G268" t="s">
        <v>106</v>
      </c>
      <c r="H268" t="s">
        <v>62</v>
      </c>
      <c r="I268" t="s">
        <v>107</v>
      </c>
      <c r="J268" t="s">
        <v>108</v>
      </c>
      <c r="K268" t="s">
        <v>4569</v>
      </c>
      <c r="L268" t="s">
        <v>44</v>
      </c>
      <c r="M268" t="s">
        <v>4570</v>
      </c>
      <c r="N268">
        <v>59132</v>
      </c>
      <c r="O268" t="s">
        <v>50</v>
      </c>
      <c r="P268" t="s">
        <v>176</v>
      </c>
      <c r="Q268" t="s">
        <v>55</v>
      </c>
      <c r="R268">
        <v>1981</v>
      </c>
      <c r="S268">
        <v>47</v>
      </c>
      <c r="T268">
        <v>0</v>
      </c>
      <c r="U268">
        <v>0</v>
      </c>
      <c r="V268" t="s">
        <v>4571</v>
      </c>
      <c r="W268">
        <v>59942325</v>
      </c>
      <c r="X268" t="s">
        <v>49</v>
      </c>
      <c r="Y268" t="s">
        <v>4575</v>
      </c>
      <c r="Z268" t="b">
        <v>0</v>
      </c>
      <c r="AA268">
        <v>1085.1063829787231</v>
      </c>
      <c r="AN268" t="e">
        <f>100*(1-E268/AL268)</f>
        <v>#DIV/0!</v>
      </c>
    </row>
    <row r="269" spans="1:40" x14ac:dyDescent="0.3">
      <c r="A269" t="s">
        <v>39</v>
      </c>
      <c r="B269" t="s">
        <v>4663</v>
      </c>
      <c r="C269" t="s">
        <v>4663</v>
      </c>
      <c r="D269" s="4">
        <v>45987</v>
      </c>
      <c r="E269">
        <v>250000</v>
      </c>
      <c r="F269" t="s">
        <v>4664</v>
      </c>
      <c r="G269" t="s">
        <v>4665</v>
      </c>
      <c r="H269" t="s">
        <v>111</v>
      </c>
      <c r="I269" t="s">
        <v>174</v>
      </c>
      <c r="J269" t="s">
        <v>175</v>
      </c>
      <c r="K269" t="s">
        <v>4666</v>
      </c>
      <c r="L269" t="s">
        <v>44</v>
      </c>
      <c r="M269" t="s">
        <v>4667</v>
      </c>
      <c r="N269">
        <v>34002</v>
      </c>
      <c r="O269" t="s">
        <v>331</v>
      </c>
      <c r="P269" t="s">
        <v>331</v>
      </c>
      <c r="Q269" t="s">
        <v>55</v>
      </c>
      <c r="R269">
        <v>1983</v>
      </c>
      <c r="S269">
        <v>237.74</v>
      </c>
      <c r="T269">
        <v>0</v>
      </c>
      <c r="U269">
        <v>0</v>
      </c>
      <c r="V269" t="s">
        <v>4668</v>
      </c>
      <c r="W269" t="s">
        <v>4669</v>
      </c>
      <c r="X269" t="s">
        <v>86</v>
      </c>
      <c r="Y269" t="s">
        <v>4670</v>
      </c>
      <c r="Z269" t="b">
        <v>0</v>
      </c>
      <c r="AA269">
        <v>1051.568940859763</v>
      </c>
      <c r="AN269" t="e">
        <f>100*(1-E269/AL269)</f>
        <v>#DIV/0!</v>
      </c>
    </row>
    <row r="270" spans="1:40" x14ac:dyDescent="0.3">
      <c r="A270" t="s">
        <v>39</v>
      </c>
      <c r="B270" t="s">
        <v>4671</v>
      </c>
      <c r="C270" t="s">
        <v>4671</v>
      </c>
      <c r="D270" s="4">
        <v>45987</v>
      </c>
      <c r="E270">
        <v>156713</v>
      </c>
      <c r="F270" t="s">
        <v>4672</v>
      </c>
      <c r="G270" t="s">
        <v>83</v>
      </c>
      <c r="H270" t="s">
        <v>67</v>
      </c>
      <c r="I270" t="s">
        <v>84</v>
      </c>
      <c r="J270" t="s">
        <v>67</v>
      </c>
      <c r="K270" t="s">
        <v>4673</v>
      </c>
      <c r="L270" t="s">
        <v>44</v>
      </c>
      <c r="M270" t="s">
        <v>4674</v>
      </c>
      <c r="N270">
        <v>12135</v>
      </c>
      <c r="O270" t="s">
        <v>50</v>
      </c>
      <c r="P270" t="s">
        <v>51</v>
      </c>
      <c r="Q270" t="s">
        <v>52</v>
      </c>
      <c r="R270">
        <v>1983</v>
      </c>
      <c r="S270">
        <v>290</v>
      </c>
      <c r="T270">
        <v>0</v>
      </c>
      <c r="U270">
        <v>0</v>
      </c>
      <c r="V270" t="s">
        <v>4675</v>
      </c>
      <c r="W270">
        <v>37130164</v>
      </c>
      <c r="X270" t="s">
        <v>49</v>
      </c>
      <c r="Y270" t="s">
        <v>4676</v>
      </c>
      <c r="Z270" t="b">
        <v>0</v>
      </c>
      <c r="AA270">
        <v>540.38965517241377</v>
      </c>
      <c r="AN270" t="e">
        <f>100*(1-E270/AL270)</f>
        <v>#DIV/0!</v>
      </c>
    </row>
    <row r="271" spans="1:40" x14ac:dyDescent="0.3">
      <c r="A271" t="s">
        <v>71</v>
      </c>
      <c r="B271" t="s">
        <v>4762</v>
      </c>
      <c r="C271" t="s">
        <v>4762</v>
      </c>
      <c r="D271" s="4">
        <v>45987</v>
      </c>
      <c r="E271">
        <v>54000</v>
      </c>
      <c r="F271" t="s">
        <v>4763</v>
      </c>
      <c r="G271" t="s">
        <v>238</v>
      </c>
      <c r="H271" t="s">
        <v>62</v>
      </c>
      <c r="I271" t="s">
        <v>238</v>
      </c>
      <c r="J271" t="s">
        <v>238</v>
      </c>
      <c r="K271" t="s">
        <v>4764</v>
      </c>
      <c r="L271" t="s">
        <v>44</v>
      </c>
      <c r="M271" t="s">
        <v>119</v>
      </c>
      <c r="N271">
        <v>61100</v>
      </c>
      <c r="O271" t="s">
        <v>45</v>
      </c>
      <c r="P271" t="s">
        <v>81</v>
      </c>
      <c r="Q271" t="s">
        <v>52</v>
      </c>
      <c r="R271">
        <v>1985</v>
      </c>
      <c r="S271">
        <v>134.83000000000001</v>
      </c>
      <c r="T271">
        <v>0</v>
      </c>
      <c r="U271">
        <v>0</v>
      </c>
      <c r="V271" t="s">
        <v>4765</v>
      </c>
      <c r="W271">
        <v>29984643</v>
      </c>
      <c r="X271" t="s">
        <v>86</v>
      </c>
      <c r="Y271" t="s">
        <v>4766</v>
      </c>
      <c r="Z271" t="b">
        <v>0</v>
      </c>
      <c r="AA271">
        <v>400.50433879700358</v>
      </c>
      <c r="AN271" t="e">
        <f>100*(1-E271/AL271)</f>
        <v>#DIV/0!</v>
      </c>
    </row>
    <row r="272" spans="1:40" x14ac:dyDescent="0.3">
      <c r="A272" t="s">
        <v>71</v>
      </c>
      <c r="B272" t="s">
        <v>4899</v>
      </c>
      <c r="C272" t="s">
        <v>4899</v>
      </c>
      <c r="D272" s="4">
        <v>45987</v>
      </c>
      <c r="E272">
        <v>127000</v>
      </c>
      <c r="F272" t="s">
        <v>287</v>
      </c>
      <c r="G272" t="s">
        <v>404</v>
      </c>
      <c r="H272" t="s">
        <v>124</v>
      </c>
      <c r="I272" t="s">
        <v>405</v>
      </c>
      <c r="J272" t="s">
        <v>126</v>
      </c>
      <c r="K272" t="s">
        <v>4900</v>
      </c>
      <c r="L272" t="s">
        <v>44</v>
      </c>
      <c r="M272" t="s">
        <v>4901</v>
      </c>
      <c r="N272">
        <v>26223</v>
      </c>
      <c r="O272" t="s">
        <v>45</v>
      </c>
      <c r="P272" t="s">
        <v>54</v>
      </c>
      <c r="Q272" t="s">
        <v>55</v>
      </c>
      <c r="R272">
        <v>1988</v>
      </c>
      <c r="S272">
        <v>90</v>
      </c>
      <c r="T272">
        <v>0</v>
      </c>
      <c r="U272">
        <v>0</v>
      </c>
      <c r="V272" t="s">
        <v>4902</v>
      </c>
      <c r="W272">
        <v>101760272</v>
      </c>
      <c r="X272" t="s">
        <v>86</v>
      </c>
      <c r="Y272" t="s">
        <v>4903</v>
      </c>
      <c r="Z272" t="b">
        <v>0</v>
      </c>
      <c r="AA272">
        <v>1411.1111111111111</v>
      </c>
      <c r="AN272" t="e">
        <f>100*(1-E272/AL272)</f>
        <v>#DIV/0!</v>
      </c>
    </row>
    <row r="273" spans="1:40" x14ac:dyDescent="0.3">
      <c r="A273" t="s">
        <v>89</v>
      </c>
      <c r="B273" t="s">
        <v>4904</v>
      </c>
      <c r="C273" t="s">
        <v>4904</v>
      </c>
      <c r="D273" s="4">
        <v>45987</v>
      </c>
      <c r="E273">
        <v>284000</v>
      </c>
      <c r="F273" t="s">
        <v>4905</v>
      </c>
      <c r="G273" t="s">
        <v>83</v>
      </c>
      <c r="H273" t="s">
        <v>67</v>
      </c>
      <c r="I273" t="s">
        <v>84</v>
      </c>
      <c r="J273" t="s">
        <v>67</v>
      </c>
      <c r="K273" t="s">
        <v>4906</v>
      </c>
      <c r="L273" t="s">
        <v>44</v>
      </c>
      <c r="M273" t="s">
        <v>4907</v>
      </c>
      <c r="N273">
        <v>12131</v>
      </c>
      <c r="O273" t="s">
        <v>331</v>
      </c>
      <c r="P273" t="s">
        <v>331</v>
      </c>
      <c r="Q273" t="s">
        <v>55</v>
      </c>
      <c r="R273">
        <v>1988</v>
      </c>
      <c r="S273">
        <v>257.79000000000002</v>
      </c>
      <c r="T273">
        <v>0</v>
      </c>
      <c r="U273">
        <v>0</v>
      </c>
      <c r="V273" t="s">
        <v>4908</v>
      </c>
      <c r="W273" t="s">
        <v>4909</v>
      </c>
      <c r="X273" t="s">
        <v>49</v>
      </c>
      <c r="Y273" t="s">
        <v>4910</v>
      </c>
      <c r="Z273" t="b">
        <v>0</v>
      </c>
      <c r="AA273">
        <v>1101.671903487334</v>
      </c>
      <c r="AN273" t="e">
        <f>100*(1-E273/AL273)</f>
        <v>#DIV/0!</v>
      </c>
    </row>
    <row r="274" spans="1:40" x14ac:dyDescent="0.3">
      <c r="A274" t="s">
        <v>166</v>
      </c>
      <c r="B274" t="s">
        <v>4949</v>
      </c>
      <c r="C274" t="s">
        <v>4949</v>
      </c>
      <c r="D274" s="4">
        <v>45987</v>
      </c>
      <c r="E274">
        <v>136713</v>
      </c>
      <c r="F274" t="s">
        <v>424</v>
      </c>
      <c r="G274" t="s">
        <v>497</v>
      </c>
      <c r="H274" t="s">
        <v>62</v>
      </c>
      <c r="I274" t="s">
        <v>498</v>
      </c>
      <c r="J274" t="s">
        <v>63</v>
      </c>
      <c r="K274" t="s">
        <v>4950</v>
      </c>
      <c r="L274" t="s">
        <v>44</v>
      </c>
      <c r="M274" t="s">
        <v>4951</v>
      </c>
      <c r="N274">
        <v>56121</v>
      </c>
      <c r="O274" t="s">
        <v>45</v>
      </c>
      <c r="P274" t="s">
        <v>54</v>
      </c>
      <c r="Q274" t="s">
        <v>100</v>
      </c>
      <c r="R274">
        <v>1989</v>
      </c>
      <c r="S274">
        <v>87.9</v>
      </c>
      <c r="T274">
        <v>0</v>
      </c>
      <c r="U274">
        <v>0</v>
      </c>
      <c r="V274" t="s">
        <v>4952</v>
      </c>
      <c r="W274">
        <v>41355927</v>
      </c>
      <c r="X274" t="s">
        <v>49</v>
      </c>
      <c r="Y274" t="s">
        <v>4953</v>
      </c>
      <c r="Z274" t="b">
        <v>0</v>
      </c>
      <c r="AA274">
        <v>1555.3242320819111</v>
      </c>
      <c r="AN274" t="e">
        <f>100*(1-E274/AL274)</f>
        <v>#DIV/0!</v>
      </c>
    </row>
    <row r="275" spans="1:40" x14ac:dyDescent="0.3">
      <c r="A275" t="s">
        <v>139</v>
      </c>
      <c r="B275" t="s">
        <v>5011</v>
      </c>
      <c r="C275" t="s">
        <v>5011</v>
      </c>
      <c r="D275" s="4">
        <v>45987</v>
      </c>
      <c r="E275">
        <v>340000</v>
      </c>
      <c r="F275" t="s">
        <v>5012</v>
      </c>
      <c r="G275" t="s">
        <v>5013</v>
      </c>
      <c r="H275" t="s">
        <v>124</v>
      </c>
      <c r="I275" t="s">
        <v>125</v>
      </c>
      <c r="J275" t="s">
        <v>126</v>
      </c>
      <c r="K275" t="s">
        <v>5014</v>
      </c>
      <c r="L275" t="s">
        <v>44</v>
      </c>
      <c r="M275" t="s">
        <v>5015</v>
      </c>
      <c r="N275">
        <v>25005</v>
      </c>
      <c r="O275" t="s">
        <v>45</v>
      </c>
      <c r="P275" t="s">
        <v>81</v>
      </c>
      <c r="Q275">
        <v>0</v>
      </c>
      <c r="R275">
        <v>1990</v>
      </c>
      <c r="S275">
        <v>216.46</v>
      </c>
      <c r="T275">
        <v>0</v>
      </c>
      <c r="U275">
        <v>0</v>
      </c>
      <c r="V275" t="s">
        <v>5016</v>
      </c>
      <c r="W275">
        <v>43242781</v>
      </c>
      <c r="X275" t="s">
        <v>69</v>
      </c>
      <c r="Y275">
        <v>61930803048</v>
      </c>
      <c r="Z275" t="b">
        <v>0</v>
      </c>
      <c r="AA275">
        <v>1570.7290030490619</v>
      </c>
      <c r="AN275" t="e">
        <f>100*(1-E275/AL275)</f>
        <v>#DIV/0!</v>
      </c>
    </row>
    <row r="276" spans="1:40" x14ac:dyDescent="0.3">
      <c r="A276" t="s">
        <v>183</v>
      </c>
      <c r="B276" t="s">
        <v>5017</v>
      </c>
      <c r="C276" t="s">
        <v>5018</v>
      </c>
      <c r="D276" s="4">
        <v>45987</v>
      </c>
      <c r="E276">
        <v>2500</v>
      </c>
      <c r="F276" t="s">
        <v>345</v>
      </c>
      <c r="G276" t="s">
        <v>431</v>
      </c>
      <c r="H276" t="s">
        <v>67</v>
      </c>
      <c r="I276" t="s">
        <v>432</v>
      </c>
      <c r="J276" t="s">
        <v>67</v>
      </c>
      <c r="K276" t="s">
        <v>5019</v>
      </c>
      <c r="L276" t="s">
        <v>44</v>
      </c>
      <c r="M276" t="s">
        <v>5020</v>
      </c>
      <c r="N276">
        <v>15562</v>
      </c>
      <c r="O276" t="s">
        <v>45</v>
      </c>
      <c r="P276" t="s">
        <v>46</v>
      </c>
      <c r="Q276" t="s">
        <v>47</v>
      </c>
      <c r="R276">
        <v>1990</v>
      </c>
      <c r="S276">
        <v>5.94</v>
      </c>
      <c r="T276">
        <v>0</v>
      </c>
      <c r="U276">
        <v>0</v>
      </c>
      <c r="V276" t="s">
        <v>5021</v>
      </c>
      <c r="W276">
        <v>42431791</v>
      </c>
      <c r="X276" t="s">
        <v>49</v>
      </c>
      <c r="Y276" t="s">
        <v>5022</v>
      </c>
      <c r="Z276" t="b">
        <v>0</v>
      </c>
      <c r="AA276">
        <v>420.87542087542079</v>
      </c>
      <c r="AN276" t="e">
        <f>100*(1-E276/AL276)</f>
        <v>#DIV/0!</v>
      </c>
    </row>
    <row r="277" spans="1:40" x14ac:dyDescent="0.3">
      <c r="A277" t="s">
        <v>166</v>
      </c>
      <c r="B277" t="s">
        <v>5023</v>
      </c>
      <c r="C277" t="s">
        <v>5024</v>
      </c>
      <c r="D277" s="4">
        <v>45987</v>
      </c>
      <c r="E277">
        <v>33000</v>
      </c>
      <c r="F277" t="s">
        <v>5025</v>
      </c>
      <c r="G277" t="s">
        <v>115</v>
      </c>
      <c r="H277" t="s">
        <v>67</v>
      </c>
      <c r="I277" t="s">
        <v>116</v>
      </c>
      <c r="J277" t="s">
        <v>67</v>
      </c>
      <c r="K277" t="s">
        <v>5026</v>
      </c>
      <c r="L277" t="s">
        <v>44</v>
      </c>
      <c r="M277" t="s">
        <v>5027</v>
      </c>
      <c r="N277">
        <v>11853</v>
      </c>
      <c r="O277" t="s">
        <v>50</v>
      </c>
      <c r="P277" t="s">
        <v>46</v>
      </c>
      <c r="Q277">
        <v>0</v>
      </c>
      <c r="R277">
        <v>1990</v>
      </c>
      <c r="S277">
        <v>87.78</v>
      </c>
      <c r="T277">
        <v>0</v>
      </c>
      <c r="U277">
        <v>0</v>
      </c>
      <c r="V277" t="s">
        <v>5028</v>
      </c>
      <c r="W277">
        <v>99352854</v>
      </c>
      <c r="X277" t="s">
        <v>49</v>
      </c>
      <c r="Y277" t="s">
        <v>5029</v>
      </c>
      <c r="Z277" t="b">
        <v>0</v>
      </c>
      <c r="AA277">
        <v>375.93984962406017</v>
      </c>
      <c r="AN277" t="e">
        <f>100*(1-E277/AL277)</f>
        <v>#DIV/0!</v>
      </c>
    </row>
    <row r="278" spans="1:40" x14ac:dyDescent="0.3">
      <c r="A278" t="s">
        <v>166</v>
      </c>
      <c r="B278" t="s">
        <v>5030</v>
      </c>
      <c r="C278" t="s">
        <v>5024</v>
      </c>
      <c r="D278" s="4">
        <v>45987</v>
      </c>
      <c r="E278">
        <v>101000</v>
      </c>
      <c r="F278" t="s">
        <v>5031</v>
      </c>
      <c r="G278" t="s">
        <v>115</v>
      </c>
      <c r="H278" t="s">
        <v>67</v>
      </c>
      <c r="I278" t="s">
        <v>116</v>
      </c>
      <c r="J278" t="s">
        <v>67</v>
      </c>
      <c r="K278" t="s">
        <v>5026</v>
      </c>
      <c r="L278" t="s">
        <v>44</v>
      </c>
      <c r="M278" t="s">
        <v>5027</v>
      </c>
      <c r="N278">
        <v>11853</v>
      </c>
      <c r="O278" t="s">
        <v>50</v>
      </c>
      <c r="P278" t="s">
        <v>51</v>
      </c>
      <c r="Q278" t="s">
        <v>52</v>
      </c>
      <c r="R278">
        <v>1990</v>
      </c>
      <c r="S278">
        <v>69.2</v>
      </c>
      <c r="T278">
        <v>0</v>
      </c>
      <c r="U278">
        <v>0</v>
      </c>
      <c r="V278" t="s">
        <v>5028</v>
      </c>
      <c r="W278">
        <v>99352854</v>
      </c>
      <c r="X278" t="s">
        <v>49</v>
      </c>
      <c r="Y278" t="s">
        <v>5032</v>
      </c>
      <c r="Z278" t="b">
        <v>0</v>
      </c>
      <c r="AA278">
        <v>1459.5375722543349</v>
      </c>
      <c r="AN278" t="e">
        <f>100*(1-E278/AL278)</f>
        <v>#DIV/0!</v>
      </c>
    </row>
    <row r="279" spans="1:40" x14ac:dyDescent="0.3">
      <c r="A279" t="s">
        <v>166</v>
      </c>
      <c r="B279" t="s">
        <v>5033</v>
      </c>
      <c r="C279" t="s">
        <v>5024</v>
      </c>
      <c r="D279" s="4">
        <v>45987</v>
      </c>
      <c r="E279">
        <v>74000</v>
      </c>
      <c r="F279" t="s">
        <v>5034</v>
      </c>
      <c r="G279" t="s">
        <v>115</v>
      </c>
      <c r="H279" t="s">
        <v>67</v>
      </c>
      <c r="I279" t="s">
        <v>116</v>
      </c>
      <c r="J279" t="s">
        <v>67</v>
      </c>
      <c r="K279" t="s">
        <v>5026</v>
      </c>
      <c r="L279" t="s">
        <v>44</v>
      </c>
      <c r="M279" t="s">
        <v>5027</v>
      </c>
      <c r="N279">
        <v>11853</v>
      </c>
      <c r="O279" t="s">
        <v>50</v>
      </c>
      <c r="P279" t="s">
        <v>176</v>
      </c>
      <c r="Q279" t="s">
        <v>55</v>
      </c>
      <c r="R279">
        <v>1990</v>
      </c>
      <c r="S279">
        <v>73</v>
      </c>
      <c r="T279">
        <v>0</v>
      </c>
      <c r="U279">
        <v>0</v>
      </c>
      <c r="V279" t="s">
        <v>5028</v>
      </c>
      <c r="W279">
        <v>99352854</v>
      </c>
      <c r="X279" t="s">
        <v>49</v>
      </c>
      <c r="Y279" t="s">
        <v>5035</v>
      </c>
      <c r="Z279" t="b">
        <v>0</v>
      </c>
      <c r="AA279">
        <v>1013.698630136986</v>
      </c>
      <c r="AN279" t="e">
        <f>100*(1-E279/AL279)</f>
        <v>#DIV/0!</v>
      </c>
    </row>
    <row r="280" spans="1:40" x14ac:dyDescent="0.3">
      <c r="A280" t="s">
        <v>183</v>
      </c>
      <c r="B280" t="s">
        <v>5036</v>
      </c>
      <c r="C280" t="s">
        <v>5018</v>
      </c>
      <c r="D280" s="4">
        <v>45987</v>
      </c>
      <c r="E280">
        <v>239000</v>
      </c>
      <c r="F280" t="s">
        <v>5037</v>
      </c>
      <c r="G280" t="s">
        <v>431</v>
      </c>
      <c r="H280" t="s">
        <v>67</v>
      </c>
      <c r="I280" t="s">
        <v>432</v>
      </c>
      <c r="J280" t="s">
        <v>67</v>
      </c>
      <c r="K280" t="s">
        <v>5019</v>
      </c>
      <c r="L280" t="s">
        <v>44</v>
      </c>
      <c r="M280" t="s">
        <v>5020</v>
      </c>
      <c r="N280">
        <v>15562</v>
      </c>
      <c r="O280" t="s">
        <v>45</v>
      </c>
      <c r="P280" t="s">
        <v>54</v>
      </c>
      <c r="Q280" t="s">
        <v>100</v>
      </c>
      <c r="R280">
        <v>1990</v>
      </c>
      <c r="S280">
        <v>114.86</v>
      </c>
      <c r="T280">
        <v>0</v>
      </c>
      <c r="U280">
        <v>0</v>
      </c>
      <c r="V280" t="s">
        <v>5021</v>
      </c>
      <c r="W280">
        <v>42431791</v>
      </c>
      <c r="X280" t="s">
        <v>49</v>
      </c>
      <c r="Y280" t="s">
        <v>5038</v>
      </c>
      <c r="Z280" t="b">
        <v>0</v>
      </c>
      <c r="AA280">
        <v>2080.794010099251</v>
      </c>
      <c r="AN280" t="e">
        <f>100*(1-E280/AL280)</f>
        <v>#DIV/0!</v>
      </c>
    </row>
    <row r="281" spans="1:40" x14ac:dyDescent="0.3">
      <c r="A281" t="s">
        <v>59</v>
      </c>
      <c r="B281" t="s">
        <v>5202</v>
      </c>
      <c r="C281" t="s">
        <v>5202</v>
      </c>
      <c r="D281" s="4">
        <v>45987</v>
      </c>
      <c r="E281">
        <v>60500</v>
      </c>
      <c r="F281" t="s">
        <v>564</v>
      </c>
      <c r="G281" t="s">
        <v>106</v>
      </c>
      <c r="H281" t="s">
        <v>62</v>
      </c>
      <c r="I281" t="s">
        <v>107</v>
      </c>
      <c r="J281" t="s">
        <v>108</v>
      </c>
      <c r="K281" t="s">
        <v>5203</v>
      </c>
      <c r="L281" t="s">
        <v>44</v>
      </c>
      <c r="M281" t="s">
        <v>5204</v>
      </c>
      <c r="N281">
        <v>59132</v>
      </c>
      <c r="O281" t="s">
        <v>45</v>
      </c>
      <c r="P281" t="s">
        <v>54</v>
      </c>
      <c r="Q281" t="s">
        <v>85</v>
      </c>
      <c r="R281">
        <v>1992</v>
      </c>
      <c r="S281">
        <v>54.4</v>
      </c>
      <c r="T281">
        <v>0</v>
      </c>
      <c r="U281">
        <v>0</v>
      </c>
      <c r="V281" t="s">
        <v>5205</v>
      </c>
      <c r="W281">
        <v>62154184</v>
      </c>
      <c r="X281" t="s">
        <v>86</v>
      </c>
      <c r="Y281" t="s">
        <v>5206</v>
      </c>
      <c r="Z281" t="b">
        <v>0</v>
      </c>
      <c r="AA281">
        <v>1112.132352941177</v>
      </c>
      <c r="AN281" t="e">
        <f>100*(1-E281/AL281)</f>
        <v>#DIV/0!</v>
      </c>
    </row>
    <row r="282" spans="1:40" x14ac:dyDescent="0.3">
      <c r="A282" t="s">
        <v>59</v>
      </c>
      <c r="B282" t="s">
        <v>5238</v>
      </c>
      <c r="C282" t="s">
        <v>5238</v>
      </c>
      <c r="D282" s="4">
        <v>45987</v>
      </c>
      <c r="E282">
        <v>42000</v>
      </c>
      <c r="F282" t="s">
        <v>5239</v>
      </c>
      <c r="G282" t="s">
        <v>5240</v>
      </c>
      <c r="H282" t="s">
        <v>62</v>
      </c>
      <c r="I282" t="s">
        <v>348</v>
      </c>
      <c r="J282" t="s">
        <v>238</v>
      </c>
      <c r="K282" t="s">
        <v>5241</v>
      </c>
      <c r="L282" t="s">
        <v>44</v>
      </c>
      <c r="M282" t="s">
        <v>5242</v>
      </c>
      <c r="N282">
        <v>61007</v>
      </c>
      <c r="O282" t="s">
        <v>50</v>
      </c>
      <c r="P282" t="s">
        <v>182</v>
      </c>
      <c r="Q282">
        <v>0</v>
      </c>
      <c r="R282">
        <v>1993</v>
      </c>
      <c r="S282">
        <v>806.55</v>
      </c>
      <c r="T282">
        <v>0</v>
      </c>
      <c r="U282">
        <v>0</v>
      </c>
      <c r="V282" t="s">
        <v>5243</v>
      </c>
      <c r="W282">
        <v>44588384</v>
      </c>
      <c r="X282" t="s">
        <v>86</v>
      </c>
      <c r="Y282" t="s">
        <v>5244</v>
      </c>
      <c r="Z282" t="b">
        <v>0</v>
      </c>
      <c r="AA282">
        <v>52.073647015064168</v>
      </c>
      <c r="AN282" t="e">
        <f>100*(1-E282/AL282)</f>
        <v>#DIV/0!</v>
      </c>
    </row>
    <row r="283" spans="1:40" x14ac:dyDescent="0.3">
      <c r="A283" t="s">
        <v>59</v>
      </c>
      <c r="B283" t="s">
        <v>5238</v>
      </c>
      <c r="C283" t="s">
        <v>5238</v>
      </c>
      <c r="D283" s="4">
        <v>45987</v>
      </c>
      <c r="E283">
        <v>42000</v>
      </c>
      <c r="F283" t="s">
        <v>5239</v>
      </c>
      <c r="G283" t="s">
        <v>5240</v>
      </c>
      <c r="H283" t="s">
        <v>62</v>
      </c>
      <c r="I283" t="s">
        <v>348</v>
      </c>
      <c r="J283" t="s">
        <v>238</v>
      </c>
      <c r="K283" t="s">
        <v>5241</v>
      </c>
      <c r="L283" t="s">
        <v>44</v>
      </c>
      <c r="M283" t="s">
        <v>5242</v>
      </c>
      <c r="N283">
        <v>61007</v>
      </c>
      <c r="O283" t="s">
        <v>50</v>
      </c>
      <c r="P283" t="s">
        <v>182</v>
      </c>
      <c r="Q283">
        <v>0</v>
      </c>
      <c r="R283">
        <v>1993</v>
      </c>
      <c r="S283">
        <v>806.55</v>
      </c>
      <c r="T283">
        <v>0</v>
      </c>
      <c r="U283">
        <v>0</v>
      </c>
      <c r="V283" t="s">
        <v>5243</v>
      </c>
      <c r="W283">
        <v>44588384</v>
      </c>
      <c r="X283" t="s">
        <v>86</v>
      </c>
      <c r="Y283" t="s">
        <v>5244</v>
      </c>
      <c r="Z283" t="b">
        <v>0</v>
      </c>
      <c r="AA283">
        <v>52.073647015064168</v>
      </c>
      <c r="AN283" t="e">
        <f>100*(1-E283/AL283)</f>
        <v>#DIV/0!</v>
      </c>
    </row>
    <row r="284" spans="1:40" x14ac:dyDescent="0.3">
      <c r="A284" t="s">
        <v>59</v>
      </c>
      <c r="B284" t="s">
        <v>5245</v>
      </c>
      <c r="C284" t="s">
        <v>5245</v>
      </c>
      <c r="D284" s="4">
        <v>45987</v>
      </c>
      <c r="E284">
        <v>212000</v>
      </c>
      <c r="F284" t="s">
        <v>5246</v>
      </c>
      <c r="G284" t="s">
        <v>404</v>
      </c>
      <c r="H284" t="s">
        <v>124</v>
      </c>
      <c r="I284" t="s">
        <v>405</v>
      </c>
      <c r="J284" t="s">
        <v>126</v>
      </c>
      <c r="K284" t="s">
        <v>5247</v>
      </c>
      <c r="L284" t="s">
        <v>44</v>
      </c>
      <c r="M284" t="s">
        <v>5248</v>
      </c>
      <c r="N284">
        <v>26443</v>
      </c>
      <c r="O284" t="s">
        <v>331</v>
      </c>
      <c r="P284" t="s">
        <v>331</v>
      </c>
      <c r="Q284" t="s">
        <v>55</v>
      </c>
      <c r="R284">
        <v>1993</v>
      </c>
      <c r="S284">
        <v>210</v>
      </c>
      <c r="T284">
        <v>0</v>
      </c>
      <c r="U284">
        <v>0</v>
      </c>
      <c r="V284" t="s">
        <v>5249</v>
      </c>
      <c r="W284" t="s">
        <v>5250</v>
      </c>
      <c r="X284" t="s">
        <v>49</v>
      </c>
      <c r="Y284" t="s">
        <v>5251</v>
      </c>
      <c r="Z284" t="b">
        <v>0</v>
      </c>
      <c r="AA284">
        <v>1009.52380952381</v>
      </c>
      <c r="AN284" t="e">
        <f>100*(1-E284/AL284)</f>
        <v>#DIV/0!</v>
      </c>
    </row>
    <row r="285" spans="1:40" x14ac:dyDescent="0.3">
      <c r="A285" t="s">
        <v>166</v>
      </c>
      <c r="B285" t="s">
        <v>5263</v>
      </c>
      <c r="C285" t="s">
        <v>5263</v>
      </c>
      <c r="D285" s="4">
        <v>45987</v>
      </c>
      <c r="E285">
        <v>108500</v>
      </c>
      <c r="F285" t="s">
        <v>99</v>
      </c>
      <c r="G285" t="s">
        <v>74</v>
      </c>
      <c r="H285" t="s">
        <v>62</v>
      </c>
      <c r="I285" t="s">
        <v>75</v>
      </c>
      <c r="J285" t="s">
        <v>63</v>
      </c>
      <c r="K285" t="s">
        <v>5264</v>
      </c>
      <c r="L285" t="s">
        <v>44</v>
      </c>
      <c r="M285" t="s">
        <v>5265</v>
      </c>
      <c r="N285">
        <v>56224</v>
      </c>
      <c r="O285" t="s">
        <v>45</v>
      </c>
      <c r="P285" t="s">
        <v>54</v>
      </c>
      <c r="Q285" t="s">
        <v>85</v>
      </c>
      <c r="R285">
        <v>1994</v>
      </c>
      <c r="S285">
        <v>67.97</v>
      </c>
      <c r="T285">
        <v>0</v>
      </c>
      <c r="U285">
        <v>0</v>
      </c>
      <c r="V285" t="s">
        <v>5266</v>
      </c>
      <c r="W285">
        <v>28682028</v>
      </c>
      <c r="X285" t="s">
        <v>49</v>
      </c>
      <c r="Y285" t="s">
        <v>5267</v>
      </c>
      <c r="Z285" t="b">
        <v>0</v>
      </c>
      <c r="AA285">
        <v>1596.292481977343</v>
      </c>
      <c r="AN285" t="e">
        <f>100*(1-E285/AL285)</f>
        <v>#DIV/0!</v>
      </c>
    </row>
    <row r="286" spans="1:40" x14ac:dyDescent="0.3">
      <c r="A286" t="s">
        <v>71</v>
      </c>
      <c r="B286" t="s">
        <v>5268</v>
      </c>
      <c r="C286" t="s">
        <v>5268</v>
      </c>
      <c r="D286" s="4">
        <v>45987</v>
      </c>
      <c r="E286">
        <v>71000</v>
      </c>
      <c r="F286" t="s">
        <v>5269</v>
      </c>
      <c r="G286" t="s">
        <v>456</v>
      </c>
      <c r="H286" t="s">
        <v>62</v>
      </c>
      <c r="I286" t="s">
        <v>457</v>
      </c>
      <c r="J286" t="s">
        <v>63</v>
      </c>
      <c r="K286" t="s">
        <v>5270</v>
      </c>
      <c r="L286" t="s">
        <v>44</v>
      </c>
      <c r="M286" t="s">
        <v>5271</v>
      </c>
      <c r="N286">
        <v>57200</v>
      </c>
      <c r="O286" t="s">
        <v>50</v>
      </c>
      <c r="P286" t="s">
        <v>4452</v>
      </c>
      <c r="Q286" t="s">
        <v>47</v>
      </c>
      <c r="R286">
        <v>1994</v>
      </c>
      <c r="S286">
        <v>396.49</v>
      </c>
      <c r="T286">
        <v>0</v>
      </c>
      <c r="U286">
        <v>0</v>
      </c>
      <c r="V286" t="s">
        <v>5272</v>
      </c>
      <c r="W286">
        <v>78902763</v>
      </c>
      <c r="X286" t="s">
        <v>49</v>
      </c>
      <c r="Y286" t="s">
        <v>5273</v>
      </c>
      <c r="Z286" t="b">
        <v>0</v>
      </c>
      <c r="AA286">
        <v>179.07135110595479</v>
      </c>
      <c r="AN286" t="e">
        <f>100*(1-E286/AL286)</f>
        <v>#DIV/0!</v>
      </c>
    </row>
    <row r="287" spans="1:40" x14ac:dyDescent="0.3">
      <c r="A287" t="s">
        <v>139</v>
      </c>
      <c r="B287" t="s">
        <v>5346</v>
      </c>
      <c r="C287" t="s">
        <v>5346</v>
      </c>
      <c r="D287" s="4">
        <v>45987</v>
      </c>
      <c r="E287">
        <v>113000</v>
      </c>
      <c r="F287" t="s">
        <v>312</v>
      </c>
      <c r="G287" t="s">
        <v>404</v>
      </c>
      <c r="H287" t="s">
        <v>124</v>
      </c>
      <c r="I287" t="s">
        <v>405</v>
      </c>
      <c r="J287" t="s">
        <v>126</v>
      </c>
      <c r="K287" t="s">
        <v>5347</v>
      </c>
      <c r="L287" t="s">
        <v>44</v>
      </c>
      <c r="M287" t="s">
        <v>5348</v>
      </c>
      <c r="N287">
        <v>26332</v>
      </c>
      <c r="O287" t="s">
        <v>45</v>
      </c>
      <c r="P287" t="s">
        <v>54</v>
      </c>
      <c r="Q287" t="s">
        <v>85</v>
      </c>
      <c r="R287">
        <v>1995</v>
      </c>
      <c r="S287">
        <v>85.05</v>
      </c>
      <c r="T287">
        <v>0</v>
      </c>
      <c r="U287">
        <v>0</v>
      </c>
      <c r="V287" t="s">
        <v>5349</v>
      </c>
      <c r="W287">
        <v>64283672</v>
      </c>
      <c r="X287" t="s">
        <v>49</v>
      </c>
      <c r="Y287" t="s">
        <v>5350</v>
      </c>
      <c r="Z287" t="b">
        <v>0</v>
      </c>
      <c r="AA287">
        <v>1328.630217519107</v>
      </c>
      <c r="AN287" t="e">
        <f>100*(1-E287/AL287)</f>
        <v>#DIV/0!</v>
      </c>
    </row>
    <row r="288" spans="1:40" x14ac:dyDescent="0.3">
      <c r="A288" t="s">
        <v>213</v>
      </c>
      <c r="B288" t="s">
        <v>5395</v>
      </c>
      <c r="C288" t="s">
        <v>5395</v>
      </c>
      <c r="D288" s="4">
        <v>45987</v>
      </c>
      <c r="E288">
        <v>168000</v>
      </c>
      <c r="F288" t="s">
        <v>5396</v>
      </c>
      <c r="G288" t="s">
        <v>2705</v>
      </c>
      <c r="H288" t="s">
        <v>152</v>
      </c>
      <c r="I288" t="s">
        <v>2706</v>
      </c>
      <c r="J288" t="s">
        <v>610</v>
      </c>
      <c r="K288" t="s">
        <v>5397</v>
      </c>
      <c r="L288" t="s">
        <v>44</v>
      </c>
      <c r="M288" t="s">
        <v>5398</v>
      </c>
      <c r="N288">
        <v>22100</v>
      </c>
      <c r="O288" t="s">
        <v>45</v>
      </c>
      <c r="P288" t="s">
        <v>54</v>
      </c>
      <c r="Q288" t="s">
        <v>1321</v>
      </c>
      <c r="R288">
        <v>1996</v>
      </c>
      <c r="S288">
        <v>119</v>
      </c>
      <c r="T288">
        <v>0</v>
      </c>
      <c r="U288">
        <v>0</v>
      </c>
      <c r="V288" t="s">
        <v>5399</v>
      </c>
      <c r="W288">
        <v>32083723</v>
      </c>
      <c r="X288" t="s">
        <v>49</v>
      </c>
      <c r="Y288" t="s">
        <v>5400</v>
      </c>
      <c r="Z288" t="b">
        <v>0</v>
      </c>
      <c r="AA288">
        <v>1411.7647058823529</v>
      </c>
      <c r="AN288" t="e">
        <f>100*(1-E288/AL288)</f>
        <v>#DIV/0!</v>
      </c>
    </row>
    <row r="289" spans="1:40" x14ac:dyDescent="0.3">
      <c r="A289" t="s">
        <v>59</v>
      </c>
      <c r="B289" t="s">
        <v>5419</v>
      </c>
      <c r="C289" t="s">
        <v>5420</v>
      </c>
      <c r="D289" s="4">
        <v>45987</v>
      </c>
      <c r="E289">
        <v>32000</v>
      </c>
      <c r="F289" t="s">
        <v>5421</v>
      </c>
      <c r="G289" t="s">
        <v>404</v>
      </c>
      <c r="H289" t="s">
        <v>124</v>
      </c>
      <c r="I289" t="s">
        <v>405</v>
      </c>
      <c r="J289" t="s">
        <v>126</v>
      </c>
      <c r="K289" t="s">
        <v>5422</v>
      </c>
      <c r="L289" t="s">
        <v>44</v>
      </c>
      <c r="M289" t="s">
        <v>5423</v>
      </c>
      <c r="N289">
        <v>26222</v>
      </c>
      <c r="O289" t="s">
        <v>45</v>
      </c>
      <c r="P289" t="s">
        <v>46</v>
      </c>
      <c r="Q289" t="s">
        <v>47</v>
      </c>
      <c r="R289">
        <v>1997</v>
      </c>
      <c r="S289">
        <v>85.18</v>
      </c>
      <c r="T289">
        <v>0</v>
      </c>
      <c r="U289">
        <v>0</v>
      </c>
      <c r="V289" t="s">
        <v>5424</v>
      </c>
      <c r="W289" t="s">
        <v>5425</v>
      </c>
      <c r="X289" t="s">
        <v>49</v>
      </c>
      <c r="Y289" t="s">
        <v>5426</v>
      </c>
      <c r="Z289" t="b">
        <v>0</v>
      </c>
      <c r="AA289">
        <v>375.67504108945758</v>
      </c>
      <c r="AN289" t="e">
        <f>100*(1-E289/AL289)</f>
        <v>#DIV/0!</v>
      </c>
    </row>
    <row r="290" spans="1:40" x14ac:dyDescent="0.3">
      <c r="A290" t="s">
        <v>59</v>
      </c>
      <c r="B290" t="s">
        <v>5427</v>
      </c>
      <c r="C290" t="s">
        <v>5420</v>
      </c>
      <c r="D290" s="4">
        <v>45987</v>
      </c>
      <c r="E290">
        <v>133000</v>
      </c>
      <c r="F290" t="s">
        <v>5428</v>
      </c>
      <c r="G290" t="s">
        <v>404</v>
      </c>
      <c r="H290" t="s">
        <v>124</v>
      </c>
      <c r="I290" t="s">
        <v>405</v>
      </c>
      <c r="J290" t="s">
        <v>126</v>
      </c>
      <c r="K290" t="s">
        <v>5422</v>
      </c>
      <c r="L290" t="s">
        <v>44</v>
      </c>
      <c r="M290" t="s">
        <v>5423</v>
      </c>
      <c r="N290">
        <v>26222</v>
      </c>
      <c r="O290" t="s">
        <v>50</v>
      </c>
      <c r="P290" t="s">
        <v>51</v>
      </c>
      <c r="Q290" t="s">
        <v>52</v>
      </c>
      <c r="R290">
        <v>1997</v>
      </c>
      <c r="S290">
        <v>71.849999999999994</v>
      </c>
      <c r="T290">
        <v>0</v>
      </c>
      <c r="U290">
        <v>0</v>
      </c>
      <c r="V290" t="s">
        <v>5424</v>
      </c>
      <c r="W290" t="s">
        <v>5425</v>
      </c>
      <c r="X290" t="s">
        <v>49</v>
      </c>
      <c r="Y290" t="s">
        <v>5429</v>
      </c>
      <c r="Z290" t="b">
        <v>0</v>
      </c>
      <c r="AA290">
        <v>1851.078636047321</v>
      </c>
      <c r="AN290" t="e">
        <f>100*(1-E290/AL290)</f>
        <v>#DIV/0!</v>
      </c>
    </row>
    <row r="291" spans="1:40" x14ac:dyDescent="0.3">
      <c r="A291" t="s">
        <v>59</v>
      </c>
      <c r="B291" t="s">
        <v>5430</v>
      </c>
      <c r="C291" t="s">
        <v>4056</v>
      </c>
      <c r="D291" s="4">
        <v>45987</v>
      </c>
      <c r="E291">
        <v>64000</v>
      </c>
      <c r="F291" t="s">
        <v>65</v>
      </c>
      <c r="G291" t="s">
        <v>4057</v>
      </c>
      <c r="H291" t="s">
        <v>111</v>
      </c>
      <c r="I291" t="s">
        <v>4058</v>
      </c>
      <c r="J291" t="s">
        <v>175</v>
      </c>
      <c r="K291" t="s">
        <v>4059</v>
      </c>
      <c r="L291" t="s">
        <v>44</v>
      </c>
      <c r="M291" t="s">
        <v>4060</v>
      </c>
      <c r="N291">
        <v>34006</v>
      </c>
      <c r="O291" t="s">
        <v>45</v>
      </c>
      <c r="P291" t="s">
        <v>54</v>
      </c>
      <c r="Q291" t="s">
        <v>52</v>
      </c>
      <c r="R291">
        <v>1997</v>
      </c>
      <c r="S291">
        <v>45.83</v>
      </c>
      <c r="T291">
        <v>0</v>
      </c>
      <c r="U291">
        <v>0</v>
      </c>
      <c r="V291" t="s">
        <v>4061</v>
      </c>
      <c r="W291">
        <v>35791862</v>
      </c>
      <c r="X291" t="s">
        <v>49</v>
      </c>
      <c r="Y291">
        <v>120180306089</v>
      </c>
      <c r="Z291" t="b">
        <v>0</v>
      </c>
      <c r="AA291">
        <v>1396.465197468907</v>
      </c>
      <c r="AN291" t="e">
        <f>100*(1-E291/AL291)</f>
        <v>#DIV/0!</v>
      </c>
    </row>
    <row r="292" spans="1:40" x14ac:dyDescent="0.3">
      <c r="A292" t="s">
        <v>166</v>
      </c>
      <c r="B292" t="s">
        <v>5442</v>
      </c>
      <c r="C292" t="s">
        <v>5442</v>
      </c>
      <c r="D292" s="4">
        <v>45987</v>
      </c>
      <c r="E292">
        <v>81500</v>
      </c>
      <c r="F292" t="s">
        <v>461</v>
      </c>
      <c r="G292" t="s">
        <v>272</v>
      </c>
      <c r="H292" t="s">
        <v>102</v>
      </c>
      <c r="I292" t="s">
        <v>273</v>
      </c>
      <c r="J292" t="s">
        <v>273</v>
      </c>
      <c r="K292" t="s">
        <v>5443</v>
      </c>
      <c r="L292" t="s">
        <v>44</v>
      </c>
      <c r="M292" t="s">
        <v>5444</v>
      </c>
      <c r="N292">
        <v>51100</v>
      </c>
      <c r="O292" t="s">
        <v>45</v>
      </c>
      <c r="P292" t="s">
        <v>54</v>
      </c>
      <c r="Q292" t="s">
        <v>55</v>
      </c>
      <c r="R292">
        <v>1998</v>
      </c>
      <c r="S292">
        <v>94.5</v>
      </c>
      <c r="T292">
        <v>0</v>
      </c>
      <c r="U292">
        <v>0</v>
      </c>
      <c r="V292" t="s">
        <v>5445</v>
      </c>
      <c r="W292">
        <v>27624390</v>
      </c>
      <c r="X292" t="s">
        <v>49</v>
      </c>
      <c r="Y292" t="s">
        <v>5446</v>
      </c>
      <c r="Z292" t="b">
        <v>0</v>
      </c>
      <c r="AA292">
        <v>862.43386243386249</v>
      </c>
      <c r="AN292" t="e">
        <f>100*(1-E292/AL292)</f>
        <v>#DIV/0!</v>
      </c>
    </row>
    <row r="293" spans="1:40" x14ac:dyDescent="0.3">
      <c r="A293" t="s">
        <v>139</v>
      </c>
      <c r="B293" t="s">
        <v>5487</v>
      </c>
      <c r="C293" t="s">
        <v>5487</v>
      </c>
      <c r="D293" s="4">
        <v>45987</v>
      </c>
      <c r="E293">
        <v>71615</v>
      </c>
      <c r="F293" t="s">
        <v>2608</v>
      </c>
      <c r="G293" t="s">
        <v>5488</v>
      </c>
      <c r="H293" t="s">
        <v>230</v>
      </c>
      <c r="I293" t="s">
        <v>463</v>
      </c>
      <c r="J293" t="s">
        <v>464</v>
      </c>
      <c r="K293" t="s">
        <v>5489</v>
      </c>
      <c r="L293" t="s">
        <v>44</v>
      </c>
      <c r="M293" t="s">
        <v>5490</v>
      </c>
      <c r="N293">
        <v>68500</v>
      </c>
      <c r="O293" t="s">
        <v>45</v>
      </c>
      <c r="P293" t="s">
        <v>81</v>
      </c>
      <c r="Q293" t="s">
        <v>52</v>
      </c>
      <c r="R293">
        <v>1999</v>
      </c>
      <c r="S293">
        <v>120</v>
      </c>
      <c r="T293">
        <v>0</v>
      </c>
      <c r="U293">
        <v>0</v>
      </c>
      <c r="V293" t="s">
        <v>5491</v>
      </c>
      <c r="W293">
        <v>79428481</v>
      </c>
      <c r="X293" t="s">
        <v>49</v>
      </c>
      <c r="Y293" t="s">
        <v>5492</v>
      </c>
      <c r="Z293" t="b">
        <v>0</v>
      </c>
      <c r="AA293">
        <v>596.79166666666663</v>
      </c>
      <c r="AN293" t="e">
        <f>100*(1-E293/AL293)</f>
        <v>#DIV/0!</v>
      </c>
    </row>
    <row r="294" spans="1:40" x14ac:dyDescent="0.3">
      <c r="A294" t="s">
        <v>71</v>
      </c>
      <c r="B294" t="s">
        <v>5493</v>
      </c>
      <c r="C294" t="s">
        <v>5493</v>
      </c>
      <c r="D294" s="4">
        <v>45987</v>
      </c>
      <c r="E294">
        <v>425000</v>
      </c>
      <c r="F294" t="s">
        <v>5494</v>
      </c>
      <c r="G294" t="s">
        <v>227</v>
      </c>
      <c r="H294" t="s">
        <v>62</v>
      </c>
      <c r="I294" t="s">
        <v>228</v>
      </c>
      <c r="J294" t="s">
        <v>79</v>
      </c>
      <c r="K294" t="s">
        <v>5495</v>
      </c>
      <c r="L294" t="s">
        <v>44</v>
      </c>
      <c r="M294" t="s">
        <v>5496</v>
      </c>
      <c r="N294">
        <v>60100</v>
      </c>
      <c r="O294" t="s">
        <v>50</v>
      </c>
      <c r="P294" t="s">
        <v>289</v>
      </c>
      <c r="Q294" t="s">
        <v>100</v>
      </c>
      <c r="R294">
        <v>1999</v>
      </c>
      <c r="S294">
        <v>609.82000000000005</v>
      </c>
      <c r="T294">
        <v>0</v>
      </c>
      <c r="U294">
        <v>0</v>
      </c>
      <c r="V294" t="s">
        <v>5497</v>
      </c>
      <c r="W294">
        <v>22379827</v>
      </c>
      <c r="X294" t="s">
        <v>49</v>
      </c>
      <c r="Y294" t="s">
        <v>5498</v>
      </c>
      <c r="Z294" t="b">
        <v>0</v>
      </c>
      <c r="AA294">
        <v>696.92696205437665</v>
      </c>
      <c r="AN294" t="e">
        <f>100*(1-E294/AL294)</f>
        <v>#DIV/0!</v>
      </c>
    </row>
    <row r="295" spans="1:40" x14ac:dyDescent="0.3">
      <c r="A295" t="s">
        <v>139</v>
      </c>
      <c r="B295" t="s">
        <v>5555</v>
      </c>
      <c r="C295" t="s">
        <v>5555</v>
      </c>
      <c r="D295" s="4">
        <v>45987</v>
      </c>
      <c r="E295">
        <v>119000</v>
      </c>
      <c r="F295" t="s">
        <v>60</v>
      </c>
      <c r="G295" t="s">
        <v>527</v>
      </c>
      <c r="H295" t="s">
        <v>196</v>
      </c>
      <c r="I295" t="s">
        <v>470</v>
      </c>
      <c r="J295" t="s">
        <v>396</v>
      </c>
      <c r="K295" t="s">
        <v>5556</v>
      </c>
      <c r="L295" t="s">
        <v>44</v>
      </c>
      <c r="M295" t="s">
        <v>5557</v>
      </c>
      <c r="N295">
        <v>85100</v>
      </c>
      <c r="O295" t="s">
        <v>45</v>
      </c>
      <c r="P295" t="s">
        <v>54</v>
      </c>
      <c r="Q295" t="s">
        <v>100</v>
      </c>
      <c r="R295">
        <v>2000</v>
      </c>
      <c r="S295">
        <v>72.900000000000006</v>
      </c>
      <c r="T295">
        <v>0</v>
      </c>
      <c r="U295">
        <v>0</v>
      </c>
      <c r="V295" t="s">
        <v>5558</v>
      </c>
      <c r="W295" t="s">
        <v>5559</v>
      </c>
      <c r="X295" t="s">
        <v>49</v>
      </c>
      <c r="Y295">
        <v>0</v>
      </c>
      <c r="Z295" t="b">
        <v>0</v>
      </c>
      <c r="AA295">
        <v>1632.373113854595</v>
      </c>
      <c r="AN295" t="e">
        <f>100*(1-E295/AL295)</f>
        <v>#DIV/0!</v>
      </c>
    </row>
    <row r="296" spans="1:40" x14ac:dyDescent="0.3">
      <c r="A296" t="s">
        <v>59</v>
      </c>
      <c r="B296" t="s">
        <v>5721</v>
      </c>
      <c r="C296" t="s">
        <v>5721</v>
      </c>
      <c r="D296" s="4">
        <v>45987</v>
      </c>
      <c r="E296">
        <v>89000</v>
      </c>
      <c r="F296" t="s">
        <v>468</v>
      </c>
      <c r="G296" t="s">
        <v>425</v>
      </c>
      <c r="H296" t="s">
        <v>230</v>
      </c>
      <c r="I296" t="s">
        <v>426</v>
      </c>
      <c r="J296" t="s">
        <v>426</v>
      </c>
      <c r="K296" t="s">
        <v>5722</v>
      </c>
      <c r="L296" t="s">
        <v>44</v>
      </c>
      <c r="M296" t="s">
        <v>5723</v>
      </c>
      <c r="N296">
        <v>67100</v>
      </c>
      <c r="O296" t="s">
        <v>45</v>
      </c>
      <c r="P296" t="s">
        <v>54</v>
      </c>
      <c r="Q296" t="s">
        <v>55</v>
      </c>
      <c r="R296">
        <v>2002</v>
      </c>
      <c r="S296">
        <v>91.1</v>
      </c>
      <c r="T296">
        <v>0</v>
      </c>
      <c r="U296">
        <v>0</v>
      </c>
      <c r="V296" t="s">
        <v>5724</v>
      </c>
      <c r="W296">
        <v>31393150</v>
      </c>
      <c r="X296" t="s">
        <v>69</v>
      </c>
      <c r="Y296" t="s">
        <v>5725</v>
      </c>
      <c r="Z296" t="b">
        <v>0</v>
      </c>
      <c r="AA296">
        <v>976.94840834248089</v>
      </c>
      <c r="AN296" t="e">
        <f>100*(1-E296/AL296)</f>
        <v>#DIV/0!</v>
      </c>
    </row>
    <row r="297" spans="1:40" x14ac:dyDescent="0.3">
      <c r="A297" t="s">
        <v>39</v>
      </c>
      <c r="B297" t="s">
        <v>5793</v>
      </c>
      <c r="C297" t="s">
        <v>5793</v>
      </c>
      <c r="D297" s="4">
        <v>45987</v>
      </c>
      <c r="E297">
        <v>134972</v>
      </c>
      <c r="F297" t="s">
        <v>2995</v>
      </c>
      <c r="G297" t="s">
        <v>5794</v>
      </c>
      <c r="H297" t="s">
        <v>62</v>
      </c>
      <c r="I297" t="s">
        <v>477</v>
      </c>
      <c r="J297" t="s">
        <v>63</v>
      </c>
      <c r="K297" t="s">
        <v>5795</v>
      </c>
      <c r="L297" t="s">
        <v>44</v>
      </c>
      <c r="M297" t="s">
        <v>5796</v>
      </c>
      <c r="N297">
        <v>57001</v>
      </c>
      <c r="O297" t="s">
        <v>45</v>
      </c>
      <c r="P297" t="s">
        <v>288</v>
      </c>
      <c r="Q297" t="s">
        <v>55</v>
      </c>
      <c r="R297">
        <v>2003</v>
      </c>
      <c r="S297">
        <v>118.95</v>
      </c>
      <c r="T297">
        <v>0</v>
      </c>
      <c r="U297">
        <v>0</v>
      </c>
      <c r="V297" t="s">
        <v>5797</v>
      </c>
      <c r="W297">
        <v>35775978</v>
      </c>
      <c r="X297" t="s">
        <v>86</v>
      </c>
      <c r="Y297" t="s">
        <v>5798</v>
      </c>
      <c r="Z297" t="b">
        <v>0</v>
      </c>
      <c r="AA297">
        <v>1134.695250105086</v>
      </c>
      <c r="AN297" t="e">
        <f>100*(1-E297/AL297)</f>
        <v>#DIV/0!</v>
      </c>
    </row>
    <row r="298" spans="1:40" x14ac:dyDescent="0.3">
      <c r="A298" t="s">
        <v>278</v>
      </c>
      <c r="B298" t="s">
        <v>5799</v>
      </c>
      <c r="C298" t="s">
        <v>5799</v>
      </c>
      <c r="D298" s="4">
        <v>45987</v>
      </c>
      <c r="E298">
        <v>68200</v>
      </c>
      <c r="F298" t="s">
        <v>5800</v>
      </c>
      <c r="G298" t="s">
        <v>462</v>
      </c>
      <c r="H298" t="s">
        <v>230</v>
      </c>
      <c r="I298" t="s">
        <v>463</v>
      </c>
      <c r="J298" t="s">
        <v>464</v>
      </c>
      <c r="K298" t="s">
        <v>5801</v>
      </c>
      <c r="L298" t="s">
        <v>44</v>
      </c>
      <c r="M298" t="s">
        <v>5802</v>
      </c>
      <c r="N298">
        <v>68100</v>
      </c>
      <c r="O298" t="s">
        <v>45</v>
      </c>
      <c r="P298" t="s">
        <v>54</v>
      </c>
      <c r="Q298" t="s">
        <v>64</v>
      </c>
      <c r="R298">
        <v>2003</v>
      </c>
      <c r="S298">
        <v>49.5</v>
      </c>
      <c r="T298">
        <v>0</v>
      </c>
      <c r="U298">
        <v>0</v>
      </c>
      <c r="V298" t="s">
        <v>5803</v>
      </c>
      <c r="W298">
        <v>77216488</v>
      </c>
      <c r="X298" t="s">
        <v>49</v>
      </c>
      <c r="Y298" t="s">
        <v>5804</v>
      </c>
      <c r="Z298" t="b">
        <v>0</v>
      </c>
      <c r="AA298">
        <v>1377.7777777777781</v>
      </c>
      <c r="AN298" t="e">
        <f>100*(1-E298/AL298)</f>
        <v>#DIV/0!</v>
      </c>
    </row>
    <row r="299" spans="1:40" x14ac:dyDescent="0.3">
      <c r="A299" t="s">
        <v>59</v>
      </c>
      <c r="B299" t="s">
        <v>5805</v>
      </c>
      <c r="C299" t="s">
        <v>5805</v>
      </c>
      <c r="D299" s="4">
        <v>45987</v>
      </c>
      <c r="E299">
        <v>294000</v>
      </c>
      <c r="F299" t="s">
        <v>5806</v>
      </c>
      <c r="G299" t="s">
        <v>5807</v>
      </c>
      <c r="H299" t="s">
        <v>230</v>
      </c>
      <c r="I299" t="s">
        <v>3449</v>
      </c>
      <c r="J299" t="s">
        <v>231</v>
      </c>
      <c r="K299" t="s">
        <v>5808</v>
      </c>
      <c r="L299" t="s">
        <v>44</v>
      </c>
      <c r="M299" t="s">
        <v>5809</v>
      </c>
      <c r="N299">
        <v>64008</v>
      </c>
      <c r="O299" t="s">
        <v>331</v>
      </c>
      <c r="P299" t="s">
        <v>331</v>
      </c>
      <c r="Q299" t="s">
        <v>55</v>
      </c>
      <c r="R299">
        <v>2003</v>
      </c>
      <c r="S299">
        <v>583.77</v>
      </c>
      <c r="T299">
        <v>0</v>
      </c>
      <c r="U299">
        <v>0</v>
      </c>
      <c r="V299" t="s">
        <v>5810</v>
      </c>
      <c r="W299">
        <v>43290176</v>
      </c>
      <c r="X299" t="s">
        <v>86</v>
      </c>
      <c r="Y299" t="s">
        <v>5811</v>
      </c>
      <c r="Z299" t="b">
        <v>0</v>
      </c>
      <c r="AA299">
        <v>503.62300220977443</v>
      </c>
      <c r="AN299" t="e">
        <f>100*(1-E299/AL299)</f>
        <v>#DIV/0!</v>
      </c>
    </row>
    <row r="300" spans="1:40" x14ac:dyDescent="0.3">
      <c r="A300" t="s">
        <v>59</v>
      </c>
      <c r="B300" t="s">
        <v>5911</v>
      </c>
      <c r="C300" t="s">
        <v>5912</v>
      </c>
      <c r="D300" s="4">
        <v>45987</v>
      </c>
      <c r="E300">
        <v>28000</v>
      </c>
      <c r="F300" t="s">
        <v>1099</v>
      </c>
      <c r="G300" t="s">
        <v>404</v>
      </c>
      <c r="H300" t="s">
        <v>124</v>
      </c>
      <c r="I300" t="s">
        <v>405</v>
      </c>
      <c r="J300" t="s">
        <v>126</v>
      </c>
      <c r="K300" t="s">
        <v>5913</v>
      </c>
      <c r="L300" t="s">
        <v>44</v>
      </c>
      <c r="M300" t="s">
        <v>5914</v>
      </c>
      <c r="N300">
        <v>26335</v>
      </c>
      <c r="O300" t="s">
        <v>45</v>
      </c>
      <c r="P300" t="s">
        <v>54</v>
      </c>
      <c r="Q300" t="s">
        <v>55</v>
      </c>
      <c r="R300">
        <v>2004</v>
      </c>
      <c r="S300">
        <v>19.88</v>
      </c>
      <c r="T300">
        <v>0</v>
      </c>
      <c r="U300">
        <v>0</v>
      </c>
      <c r="V300" t="s">
        <v>5915</v>
      </c>
      <c r="W300" t="s">
        <v>5916</v>
      </c>
      <c r="X300" t="s">
        <v>49</v>
      </c>
      <c r="Y300" t="s">
        <v>5917</v>
      </c>
      <c r="Z300" t="b">
        <v>0</v>
      </c>
      <c r="AA300">
        <v>1408.450704225352</v>
      </c>
      <c r="AN300" t="e">
        <f>100*(1-E300/AL300)</f>
        <v>#DIV/0!</v>
      </c>
    </row>
    <row r="301" spans="1:40" x14ac:dyDescent="0.3">
      <c r="A301" t="s">
        <v>59</v>
      </c>
      <c r="B301" t="s">
        <v>5918</v>
      </c>
      <c r="C301" t="s">
        <v>5912</v>
      </c>
      <c r="D301" s="4">
        <v>45987</v>
      </c>
      <c r="E301">
        <v>27000</v>
      </c>
      <c r="F301" t="s">
        <v>1099</v>
      </c>
      <c r="G301" t="s">
        <v>404</v>
      </c>
      <c r="H301" t="s">
        <v>124</v>
      </c>
      <c r="I301" t="s">
        <v>405</v>
      </c>
      <c r="J301" t="s">
        <v>126</v>
      </c>
      <c r="K301" t="s">
        <v>5913</v>
      </c>
      <c r="L301" t="s">
        <v>44</v>
      </c>
      <c r="M301" t="s">
        <v>5914</v>
      </c>
      <c r="N301">
        <v>26335</v>
      </c>
      <c r="O301" t="s">
        <v>45</v>
      </c>
      <c r="P301" t="s">
        <v>54</v>
      </c>
      <c r="Q301" t="s">
        <v>52</v>
      </c>
      <c r="R301">
        <v>2004</v>
      </c>
      <c r="S301">
        <v>19.88</v>
      </c>
      <c r="T301">
        <v>0</v>
      </c>
      <c r="U301">
        <v>0</v>
      </c>
      <c r="V301" t="s">
        <v>5915</v>
      </c>
      <c r="W301" t="s">
        <v>5916</v>
      </c>
      <c r="X301" t="s">
        <v>49</v>
      </c>
      <c r="Y301" t="s">
        <v>5919</v>
      </c>
      <c r="Z301" t="b">
        <v>0</v>
      </c>
      <c r="AA301">
        <v>1358.1488933601611</v>
      </c>
      <c r="AN301" t="e">
        <f>100*(1-E301/AL301)</f>
        <v>#DIV/0!</v>
      </c>
    </row>
    <row r="302" spans="1:40" x14ac:dyDescent="0.3">
      <c r="A302" t="s">
        <v>59</v>
      </c>
      <c r="B302" t="s">
        <v>5920</v>
      </c>
      <c r="C302" t="s">
        <v>5912</v>
      </c>
      <c r="D302" s="4">
        <v>45987</v>
      </c>
      <c r="E302">
        <v>54000</v>
      </c>
      <c r="F302" t="s">
        <v>952</v>
      </c>
      <c r="G302" t="s">
        <v>404</v>
      </c>
      <c r="H302" t="s">
        <v>124</v>
      </c>
      <c r="I302" t="s">
        <v>405</v>
      </c>
      <c r="J302" t="s">
        <v>126</v>
      </c>
      <c r="K302" t="s">
        <v>5913</v>
      </c>
      <c r="L302" t="s">
        <v>44</v>
      </c>
      <c r="M302" t="s">
        <v>5921</v>
      </c>
      <c r="N302">
        <v>26335</v>
      </c>
      <c r="O302" t="s">
        <v>45</v>
      </c>
      <c r="P302" t="s">
        <v>54</v>
      </c>
      <c r="Q302" t="s">
        <v>55</v>
      </c>
      <c r="R302">
        <v>2004</v>
      </c>
      <c r="S302">
        <v>38.24</v>
      </c>
      <c r="T302">
        <v>0</v>
      </c>
      <c r="U302">
        <v>0</v>
      </c>
      <c r="V302" t="s">
        <v>5922</v>
      </c>
      <c r="W302" t="s">
        <v>5923</v>
      </c>
      <c r="X302" t="s">
        <v>49</v>
      </c>
      <c r="Y302" t="s">
        <v>5924</v>
      </c>
      <c r="Z302" t="b">
        <v>0</v>
      </c>
      <c r="AA302">
        <v>1412.133891213389</v>
      </c>
      <c r="AN302" t="e">
        <f>100*(1-E302/AL302)</f>
        <v>#DIV/0!</v>
      </c>
    </row>
    <row r="303" spans="1:40" x14ac:dyDescent="0.3">
      <c r="A303" t="s">
        <v>139</v>
      </c>
      <c r="B303" t="s">
        <v>5925</v>
      </c>
      <c r="C303" t="s">
        <v>5925</v>
      </c>
      <c r="D303" s="4">
        <v>45987</v>
      </c>
      <c r="E303">
        <v>124000</v>
      </c>
      <c r="F303" t="s">
        <v>5926</v>
      </c>
      <c r="G303" t="s">
        <v>5392</v>
      </c>
      <c r="H303" t="s">
        <v>62</v>
      </c>
      <c r="I303" t="s">
        <v>335</v>
      </c>
      <c r="J303" t="s">
        <v>63</v>
      </c>
      <c r="K303" t="s">
        <v>5927</v>
      </c>
      <c r="L303" t="s">
        <v>44</v>
      </c>
      <c r="M303" t="s">
        <v>5928</v>
      </c>
      <c r="N303">
        <v>57019</v>
      </c>
      <c r="O303" t="s">
        <v>45</v>
      </c>
      <c r="P303" t="s">
        <v>54</v>
      </c>
      <c r="Q303" t="s">
        <v>100</v>
      </c>
      <c r="R303">
        <v>2004</v>
      </c>
      <c r="S303">
        <v>52.53</v>
      </c>
      <c r="T303">
        <v>0</v>
      </c>
      <c r="U303">
        <v>0</v>
      </c>
      <c r="V303" t="s">
        <v>5929</v>
      </c>
      <c r="W303">
        <v>109787254</v>
      </c>
      <c r="X303" t="s">
        <v>49</v>
      </c>
      <c r="Y303" t="s">
        <v>5930</v>
      </c>
      <c r="Z303" t="b">
        <v>0</v>
      </c>
      <c r="AA303">
        <v>2360.5558728345709</v>
      </c>
      <c r="AN303" t="e">
        <f>100*(1-E303/AL303)</f>
        <v>#DIV/0!</v>
      </c>
    </row>
    <row r="304" spans="1:40" x14ac:dyDescent="0.3">
      <c r="A304" t="s">
        <v>71</v>
      </c>
      <c r="B304" t="s">
        <v>6039</v>
      </c>
      <c r="C304" t="s">
        <v>6039</v>
      </c>
      <c r="D304" s="4">
        <v>45987</v>
      </c>
      <c r="E304">
        <v>237000</v>
      </c>
      <c r="F304" t="s">
        <v>6040</v>
      </c>
      <c r="G304" t="s">
        <v>2336</v>
      </c>
      <c r="H304" t="s">
        <v>196</v>
      </c>
      <c r="I304" t="s">
        <v>470</v>
      </c>
      <c r="J304" t="s">
        <v>396</v>
      </c>
      <c r="K304" t="s">
        <v>6041</v>
      </c>
      <c r="L304" t="s">
        <v>44</v>
      </c>
      <c r="M304" t="s">
        <v>2336</v>
      </c>
      <c r="N304">
        <v>85106</v>
      </c>
      <c r="O304" t="s">
        <v>45</v>
      </c>
      <c r="P304" t="s">
        <v>288</v>
      </c>
      <c r="Q304" t="s">
        <v>55</v>
      </c>
      <c r="R304">
        <v>2005</v>
      </c>
      <c r="S304">
        <v>159.97999999999999</v>
      </c>
      <c r="T304">
        <v>0</v>
      </c>
      <c r="U304">
        <v>0</v>
      </c>
      <c r="V304" t="s">
        <v>6042</v>
      </c>
      <c r="W304" t="s">
        <v>6043</v>
      </c>
      <c r="X304" t="s">
        <v>49</v>
      </c>
      <c r="Y304">
        <v>0</v>
      </c>
      <c r="Z304" t="b">
        <v>0</v>
      </c>
      <c r="AA304">
        <v>1481.4351793974249</v>
      </c>
      <c r="AN304" t="e">
        <f>100*(1-E304/AL304)</f>
        <v>#DIV/0!</v>
      </c>
    </row>
    <row r="305" spans="1:40" x14ac:dyDescent="0.3">
      <c r="A305" t="s">
        <v>71</v>
      </c>
      <c r="B305" t="s">
        <v>6044</v>
      </c>
      <c r="C305" t="s">
        <v>989</v>
      </c>
      <c r="D305" s="4">
        <v>45987</v>
      </c>
      <c r="E305">
        <v>5000</v>
      </c>
      <c r="F305" t="s">
        <v>417</v>
      </c>
      <c r="G305" t="s">
        <v>990</v>
      </c>
      <c r="H305" t="s">
        <v>67</v>
      </c>
      <c r="I305" t="s">
        <v>991</v>
      </c>
      <c r="J305" t="s">
        <v>67</v>
      </c>
      <c r="K305" t="s">
        <v>992</v>
      </c>
      <c r="L305" t="s">
        <v>44</v>
      </c>
      <c r="M305" t="s">
        <v>993</v>
      </c>
      <c r="N305">
        <v>17124</v>
      </c>
      <c r="O305" t="s">
        <v>45</v>
      </c>
      <c r="P305" t="s">
        <v>46</v>
      </c>
      <c r="Q305" t="s">
        <v>47</v>
      </c>
      <c r="R305">
        <v>2005</v>
      </c>
      <c r="S305">
        <v>4</v>
      </c>
      <c r="T305">
        <v>0</v>
      </c>
      <c r="U305">
        <v>0</v>
      </c>
      <c r="V305" t="s">
        <v>994</v>
      </c>
      <c r="W305">
        <v>106971746</v>
      </c>
      <c r="X305" t="s">
        <v>49</v>
      </c>
      <c r="Y305" t="s">
        <v>6045</v>
      </c>
      <c r="Z305" t="b">
        <v>0</v>
      </c>
      <c r="AA305">
        <v>1250</v>
      </c>
      <c r="AN305" t="e">
        <f>100*(1-E305/AL305)</f>
        <v>#DIV/0!</v>
      </c>
    </row>
    <row r="306" spans="1:40" x14ac:dyDescent="0.3">
      <c r="A306" t="s">
        <v>71</v>
      </c>
      <c r="B306" t="s">
        <v>6046</v>
      </c>
      <c r="C306" t="s">
        <v>989</v>
      </c>
      <c r="D306" s="4">
        <v>45987</v>
      </c>
      <c r="E306">
        <v>168000</v>
      </c>
      <c r="F306" t="s">
        <v>488</v>
      </c>
      <c r="G306" t="s">
        <v>990</v>
      </c>
      <c r="H306" t="s">
        <v>67</v>
      </c>
      <c r="I306" t="s">
        <v>991</v>
      </c>
      <c r="J306" t="s">
        <v>67</v>
      </c>
      <c r="K306" t="s">
        <v>6047</v>
      </c>
      <c r="L306" t="s">
        <v>44</v>
      </c>
      <c r="M306" t="s">
        <v>993</v>
      </c>
      <c r="N306">
        <v>17124</v>
      </c>
      <c r="O306" t="s">
        <v>45</v>
      </c>
      <c r="P306" t="s">
        <v>54</v>
      </c>
      <c r="Q306" t="s">
        <v>55</v>
      </c>
      <c r="R306">
        <v>2005</v>
      </c>
      <c r="S306">
        <v>66.09</v>
      </c>
      <c r="T306">
        <v>0</v>
      </c>
      <c r="U306">
        <v>0</v>
      </c>
      <c r="V306" t="s">
        <v>994</v>
      </c>
      <c r="W306">
        <v>106971746</v>
      </c>
      <c r="X306" t="s">
        <v>49</v>
      </c>
      <c r="Y306" t="s">
        <v>6048</v>
      </c>
      <c r="Z306" t="b">
        <v>0</v>
      </c>
      <c r="AA306">
        <v>2541.9881979119382</v>
      </c>
      <c r="AN306" t="e">
        <f>100*(1-E306/AL306)</f>
        <v>#DIV/0!</v>
      </c>
    </row>
    <row r="307" spans="1:40" x14ac:dyDescent="0.3">
      <c r="A307" t="s">
        <v>139</v>
      </c>
      <c r="B307" t="s">
        <v>6188</v>
      </c>
      <c r="C307" t="s">
        <v>6188</v>
      </c>
      <c r="D307" s="4">
        <v>45987</v>
      </c>
      <c r="E307">
        <v>62300</v>
      </c>
      <c r="F307" t="s">
        <v>3283</v>
      </c>
      <c r="G307" t="s">
        <v>6162</v>
      </c>
      <c r="H307" t="s">
        <v>62</v>
      </c>
      <c r="I307" t="s">
        <v>477</v>
      </c>
      <c r="J307" t="s">
        <v>63</v>
      </c>
      <c r="K307" t="s">
        <v>6163</v>
      </c>
      <c r="L307" t="s">
        <v>44</v>
      </c>
      <c r="M307" t="s">
        <v>6162</v>
      </c>
      <c r="N307">
        <v>57500</v>
      </c>
      <c r="O307" t="s">
        <v>45</v>
      </c>
      <c r="P307" t="s">
        <v>54</v>
      </c>
      <c r="Q307" t="s">
        <v>52</v>
      </c>
      <c r="R307">
        <v>2006</v>
      </c>
      <c r="S307">
        <v>62.2</v>
      </c>
      <c r="T307">
        <v>0</v>
      </c>
      <c r="U307">
        <v>0</v>
      </c>
      <c r="V307" t="s">
        <v>6189</v>
      </c>
      <c r="W307">
        <v>61292294</v>
      </c>
      <c r="X307" t="s">
        <v>49</v>
      </c>
      <c r="Y307" t="s">
        <v>6190</v>
      </c>
      <c r="Z307" t="b">
        <v>0</v>
      </c>
      <c r="AA307">
        <v>1001.607717041801</v>
      </c>
      <c r="AN307" t="e">
        <f>100*(1-E307/AL307)</f>
        <v>#DIV/0!</v>
      </c>
    </row>
    <row r="308" spans="1:40" x14ac:dyDescent="0.3">
      <c r="A308" t="s">
        <v>71</v>
      </c>
      <c r="B308" t="s">
        <v>6191</v>
      </c>
      <c r="C308" t="s">
        <v>6191</v>
      </c>
      <c r="D308" s="4">
        <v>45987</v>
      </c>
      <c r="E308">
        <v>98339</v>
      </c>
      <c r="F308" t="s">
        <v>3194</v>
      </c>
      <c r="G308" t="s">
        <v>382</v>
      </c>
      <c r="H308" t="s">
        <v>67</v>
      </c>
      <c r="I308" t="s">
        <v>266</v>
      </c>
      <c r="J308" t="s">
        <v>67</v>
      </c>
      <c r="K308" t="s">
        <v>6192</v>
      </c>
      <c r="L308" t="s">
        <v>44</v>
      </c>
      <c r="M308" t="s">
        <v>6193</v>
      </c>
      <c r="N308">
        <v>18900</v>
      </c>
      <c r="O308" t="s">
        <v>45</v>
      </c>
      <c r="P308" t="s">
        <v>81</v>
      </c>
      <c r="Q308" t="s">
        <v>52</v>
      </c>
      <c r="R308">
        <v>2006</v>
      </c>
      <c r="S308">
        <v>110</v>
      </c>
      <c r="T308">
        <v>0</v>
      </c>
      <c r="U308">
        <v>0</v>
      </c>
      <c r="V308" t="s">
        <v>6194</v>
      </c>
      <c r="W308">
        <v>66230139</v>
      </c>
      <c r="X308" t="s">
        <v>49</v>
      </c>
      <c r="Y308" t="s">
        <v>6195</v>
      </c>
      <c r="Z308" t="b">
        <v>0</v>
      </c>
      <c r="AA308">
        <v>893.9909090909091</v>
      </c>
      <c r="AN308" t="e">
        <f>100*(1-E308/AL308)</f>
        <v>#DIV/0!</v>
      </c>
    </row>
    <row r="309" spans="1:40" x14ac:dyDescent="0.3">
      <c r="A309" t="s">
        <v>59</v>
      </c>
      <c r="B309" t="s">
        <v>6196</v>
      </c>
      <c r="C309" t="s">
        <v>6196</v>
      </c>
      <c r="D309" s="4">
        <v>45987</v>
      </c>
      <c r="E309">
        <v>108000</v>
      </c>
      <c r="F309" t="s">
        <v>473</v>
      </c>
      <c r="G309" t="s">
        <v>141</v>
      </c>
      <c r="H309" t="s">
        <v>67</v>
      </c>
      <c r="I309" t="s">
        <v>142</v>
      </c>
      <c r="J309" t="s">
        <v>67</v>
      </c>
      <c r="K309" t="s">
        <v>6197</v>
      </c>
      <c r="L309" t="s">
        <v>44</v>
      </c>
      <c r="M309" t="s">
        <v>6198</v>
      </c>
      <c r="N309">
        <v>13673</v>
      </c>
      <c r="O309" t="s">
        <v>45</v>
      </c>
      <c r="P309" t="s">
        <v>54</v>
      </c>
      <c r="Q309" t="s">
        <v>55</v>
      </c>
      <c r="R309">
        <v>2006</v>
      </c>
      <c r="S309">
        <v>82.59</v>
      </c>
      <c r="T309">
        <v>0</v>
      </c>
      <c r="U309">
        <v>0</v>
      </c>
      <c r="V309" t="s">
        <v>6199</v>
      </c>
      <c r="W309">
        <v>74884485</v>
      </c>
      <c r="X309" t="s">
        <v>49</v>
      </c>
      <c r="Y309" t="s">
        <v>6200</v>
      </c>
      <c r="Z309" t="b">
        <v>0</v>
      </c>
      <c r="AA309">
        <v>1307.664366146023</v>
      </c>
      <c r="AN309" t="e">
        <f>100*(1-E309/AL309)</f>
        <v>#DIV/0!</v>
      </c>
    </row>
    <row r="310" spans="1:40" x14ac:dyDescent="0.3">
      <c r="A310" t="s">
        <v>71</v>
      </c>
      <c r="B310" t="s">
        <v>6432</v>
      </c>
      <c r="C310" t="s">
        <v>6433</v>
      </c>
      <c r="D310" s="4">
        <v>45987</v>
      </c>
      <c r="E310">
        <v>155000</v>
      </c>
      <c r="F310" t="s">
        <v>336</v>
      </c>
      <c r="G310" t="s">
        <v>168</v>
      </c>
      <c r="H310" t="s">
        <v>67</v>
      </c>
      <c r="I310" t="s">
        <v>169</v>
      </c>
      <c r="J310" t="s">
        <v>67</v>
      </c>
      <c r="K310" t="s">
        <v>6434</v>
      </c>
      <c r="L310" t="s">
        <v>44</v>
      </c>
      <c r="M310" t="s">
        <v>6435</v>
      </c>
      <c r="N310">
        <v>14233</v>
      </c>
      <c r="O310" t="s">
        <v>45</v>
      </c>
      <c r="P310" t="s">
        <v>54</v>
      </c>
      <c r="Q310" t="s">
        <v>100</v>
      </c>
      <c r="R310">
        <v>2008</v>
      </c>
      <c r="S310">
        <v>66.83</v>
      </c>
      <c r="T310">
        <v>0</v>
      </c>
      <c r="U310">
        <v>0</v>
      </c>
      <c r="V310" t="s">
        <v>6436</v>
      </c>
      <c r="W310">
        <v>68429970</v>
      </c>
      <c r="X310" t="s">
        <v>49</v>
      </c>
      <c r="Y310" t="s">
        <v>6437</v>
      </c>
      <c r="Z310" t="b">
        <v>0</v>
      </c>
      <c r="AA310">
        <v>2319.3176717043239</v>
      </c>
      <c r="AN310" t="e">
        <f>100*(1-E310/AL310)</f>
        <v>#DIV/0!</v>
      </c>
    </row>
    <row r="311" spans="1:40" x14ac:dyDescent="0.3">
      <c r="A311" t="s">
        <v>71</v>
      </c>
      <c r="B311" t="s">
        <v>6438</v>
      </c>
      <c r="C311" t="s">
        <v>6433</v>
      </c>
      <c r="D311" s="4">
        <v>45987</v>
      </c>
      <c r="E311">
        <v>3600</v>
      </c>
      <c r="F311" t="s">
        <v>342</v>
      </c>
      <c r="G311" t="s">
        <v>168</v>
      </c>
      <c r="H311" t="s">
        <v>67</v>
      </c>
      <c r="I311" t="s">
        <v>169</v>
      </c>
      <c r="J311" t="s">
        <v>67</v>
      </c>
      <c r="K311" t="s">
        <v>6434</v>
      </c>
      <c r="L311" t="s">
        <v>44</v>
      </c>
      <c r="M311" t="s">
        <v>6435</v>
      </c>
      <c r="N311">
        <v>14233</v>
      </c>
      <c r="O311" t="s">
        <v>45</v>
      </c>
      <c r="P311" t="s">
        <v>46</v>
      </c>
      <c r="Q311" t="s">
        <v>47</v>
      </c>
      <c r="R311">
        <v>2008</v>
      </c>
      <c r="S311">
        <v>7.83</v>
      </c>
      <c r="T311">
        <v>0</v>
      </c>
      <c r="U311">
        <v>0</v>
      </c>
      <c r="V311" t="s">
        <v>6436</v>
      </c>
      <c r="W311">
        <v>68429970</v>
      </c>
      <c r="X311" t="s">
        <v>49</v>
      </c>
      <c r="Y311" t="s">
        <v>6439</v>
      </c>
      <c r="Z311" t="b">
        <v>0</v>
      </c>
      <c r="AA311">
        <v>459.77011494252872</v>
      </c>
      <c r="AN311" t="e">
        <f>100*(1-E311/AL311)</f>
        <v>#DIV/0!</v>
      </c>
    </row>
    <row r="312" spans="1:40" x14ac:dyDescent="0.3">
      <c r="A312" t="s">
        <v>166</v>
      </c>
      <c r="B312" t="s">
        <v>6440</v>
      </c>
      <c r="C312" t="s">
        <v>6440</v>
      </c>
      <c r="D312" s="4">
        <v>45987</v>
      </c>
      <c r="E312">
        <v>41000</v>
      </c>
      <c r="F312" t="s">
        <v>1652</v>
      </c>
      <c r="G312" t="s">
        <v>2513</v>
      </c>
      <c r="H312" t="s">
        <v>196</v>
      </c>
      <c r="I312" t="s">
        <v>2514</v>
      </c>
      <c r="J312" t="s">
        <v>396</v>
      </c>
      <c r="K312" t="s">
        <v>6441</v>
      </c>
      <c r="L312" t="s">
        <v>44</v>
      </c>
      <c r="M312" t="s">
        <v>6442</v>
      </c>
      <c r="N312">
        <v>85300</v>
      </c>
      <c r="O312" t="s">
        <v>50</v>
      </c>
      <c r="P312" t="s">
        <v>51</v>
      </c>
      <c r="Q312" t="s">
        <v>52</v>
      </c>
      <c r="R312">
        <v>2008</v>
      </c>
      <c r="S312">
        <v>63.8</v>
      </c>
      <c r="T312">
        <v>0</v>
      </c>
      <c r="U312">
        <v>0</v>
      </c>
      <c r="V312" t="s">
        <v>6443</v>
      </c>
      <c r="W312">
        <v>46973036</v>
      </c>
      <c r="X312" t="s">
        <v>86</v>
      </c>
      <c r="Y312">
        <v>0</v>
      </c>
      <c r="Z312" t="b">
        <v>0</v>
      </c>
      <c r="AA312">
        <v>642.63322884012541</v>
      </c>
      <c r="AN312" t="e">
        <f>100*(1-E312/AL312)</f>
        <v>#DIV/0!</v>
      </c>
    </row>
    <row r="313" spans="1:40" x14ac:dyDescent="0.3">
      <c r="A313" t="s">
        <v>59</v>
      </c>
      <c r="B313" t="s">
        <v>6444</v>
      </c>
      <c r="C313" t="s">
        <v>6444</v>
      </c>
      <c r="D313" s="4">
        <v>45987</v>
      </c>
      <c r="E313">
        <v>114300</v>
      </c>
      <c r="F313" t="s">
        <v>6445</v>
      </c>
      <c r="G313" t="s">
        <v>3050</v>
      </c>
      <c r="H313" t="s">
        <v>67</v>
      </c>
      <c r="I313" t="s">
        <v>296</v>
      </c>
      <c r="J313" t="s">
        <v>67</v>
      </c>
      <c r="K313" t="s">
        <v>6446</v>
      </c>
      <c r="L313" t="s">
        <v>44</v>
      </c>
      <c r="M313" t="s">
        <v>6447</v>
      </c>
      <c r="N313">
        <v>17342</v>
      </c>
      <c r="O313" t="s">
        <v>45</v>
      </c>
      <c r="P313" t="s">
        <v>54</v>
      </c>
      <c r="Q313" t="s">
        <v>100</v>
      </c>
      <c r="R313">
        <v>2008</v>
      </c>
      <c r="S313">
        <v>67.7</v>
      </c>
      <c r="T313">
        <v>0</v>
      </c>
      <c r="U313">
        <v>0</v>
      </c>
      <c r="V313" t="s">
        <v>6448</v>
      </c>
      <c r="W313">
        <v>79072320</v>
      </c>
      <c r="X313" t="s">
        <v>49</v>
      </c>
      <c r="Y313" t="s">
        <v>6449</v>
      </c>
      <c r="Z313" t="b">
        <v>0</v>
      </c>
      <c r="AA313">
        <v>1688.330871491876</v>
      </c>
      <c r="AN313" t="e">
        <f>100*(1-E313/AL313)</f>
        <v>#DIV/0!</v>
      </c>
    </row>
    <row r="314" spans="1:40" x14ac:dyDescent="0.3">
      <c r="A314" t="s">
        <v>183</v>
      </c>
      <c r="B314" t="s">
        <v>6450</v>
      </c>
      <c r="C314" t="s">
        <v>6450</v>
      </c>
      <c r="D314" s="4">
        <v>45987</v>
      </c>
      <c r="E314">
        <v>662500</v>
      </c>
      <c r="F314" t="s">
        <v>6451</v>
      </c>
      <c r="G314" t="s">
        <v>1192</v>
      </c>
      <c r="H314" t="s">
        <v>152</v>
      </c>
      <c r="I314" t="s">
        <v>1193</v>
      </c>
      <c r="J314" t="s">
        <v>610</v>
      </c>
      <c r="K314" t="s">
        <v>6452</v>
      </c>
      <c r="L314" t="s">
        <v>44</v>
      </c>
      <c r="M314" t="s">
        <v>6453</v>
      </c>
      <c r="N314">
        <v>22200</v>
      </c>
      <c r="O314" t="s">
        <v>50</v>
      </c>
      <c r="P314" t="s">
        <v>2521</v>
      </c>
      <c r="Q314" t="s">
        <v>100</v>
      </c>
      <c r="R314">
        <v>2008</v>
      </c>
      <c r="S314">
        <v>1810.97</v>
      </c>
      <c r="T314">
        <v>0</v>
      </c>
      <c r="U314">
        <v>0</v>
      </c>
      <c r="V314" t="s">
        <v>6454</v>
      </c>
      <c r="W314">
        <v>99160531</v>
      </c>
      <c r="X314" t="s">
        <v>49</v>
      </c>
      <c r="Y314" t="s">
        <v>6455</v>
      </c>
      <c r="Z314" t="b">
        <v>0</v>
      </c>
      <c r="AA314">
        <v>365.8260490234515</v>
      </c>
      <c r="AN314" t="e">
        <f>100*(1-E314/AL314)</f>
        <v>#DIV/0!</v>
      </c>
    </row>
    <row r="315" spans="1:40" x14ac:dyDescent="0.3">
      <c r="A315" t="s">
        <v>59</v>
      </c>
      <c r="B315" t="s">
        <v>6585</v>
      </c>
      <c r="C315" t="s">
        <v>6585</v>
      </c>
      <c r="D315" s="4">
        <v>45987</v>
      </c>
      <c r="E315">
        <v>159000</v>
      </c>
      <c r="F315" t="s">
        <v>6586</v>
      </c>
      <c r="G315" t="s">
        <v>135</v>
      </c>
      <c r="H315" t="s">
        <v>136</v>
      </c>
      <c r="I315" t="s">
        <v>137</v>
      </c>
      <c r="J315" t="s">
        <v>138</v>
      </c>
      <c r="K315" t="s">
        <v>6587</v>
      </c>
      <c r="L315" t="s">
        <v>44</v>
      </c>
      <c r="M315" t="s">
        <v>6588</v>
      </c>
      <c r="N315">
        <v>42100</v>
      </c>
      <c r="O315" t="s">
        <v>45</v>
      </c>
      <c r="P315" t="s">
        <v>81</v>
      </c>
      <c r="Q315" t="s">
        <v>52</v>
      </c>
      <c r="R315">
        <v>2010</v>
      </c>
      <c r="S315">
        <v>143.88999999999999</v>
      </c>
      <c r="T315">
        <v>0</v>
      </c>
      <c r="U315">
        <v>0</v>
      </c>
      <c r="V315" t="s">
        <v>6589</v>
      </c>
      <c r="W315" t="s">
        <v>6590</v>
      </c>
      <c r="X315" t="s">
        <v>49</v>
      </c>
      <c r="Y315" t="s">
        <v>6591</v>
      </c>
      <c r="Z315" t="b">
        <v>0</v>
      </c>
      <c r="AA315">
        <v>1105.01077211759</v>
      </c>
      <c r="AN315" t="e">
        <f>100*(1-E315/AL315)</f>
        <v>#DIV/0!</v>
      </c>
    </row>
    <row r="316" spans="1:40" x14ac:dyDescent="0.3">
      <c r="A316" t="s">
        <v>59</v>
      </c>
      <c r="B316" t="s">
        <v>1061</v>
      </c>
      <c r="C316" t="s">
        <v>1061</v>
      </c>
      <c r="D316" s="4">
        <v>45988</v>
      </c>
      <c r="E316">
        <v>70000</v>
      </c>
      <c r="F316" t="s">
        <v>1062</v>
      </c>
      <c r="G316" t="s">
        <v>387</v>
      </c>
      <c r="H316" t="s">
        <v>62</v>
      </c>
      <c r="I316" t="s">
        <v>388</v>
      </c>
      <c r="J316" t="s">
        <v>389</v>
      </c>
      <c r="K316" t="s">
        <v>1063</v>
      </c>
      <c r="L316" t="s">
        <v>44</v>
      </c>
      <c r="M316" t="s">
        <v>1064</v>
      </c>
      <c r="N316">
        <v>63080</v>
      </c>
      <c r="O316" t="s">
        <v>97</v>
      </c>
      <c r="P316" t="s">
        <v>118</v>
      </c>
      <c r="Q316">
        <v>0</v>
      </c>
      <c r="R316">
        <v>0</v>
      </c>
      <c r="S316">
        <v>5760.85</v>
      </c>
      <c r="T316">
        <v>0</v>
      </c>
      <c r="U316">
        <v>0</v>
      </c>
      <c r="V316" t="s">
        <v>1065</v>
      </c>
      <c r="W316">
        <v>30627620</v>
      </c>
      <c r="X316" t="s">
        <v>86</v>
      </c>
      <c r="Y316" t="s">
        <v>1066</v>
      </c>
      <c r="Z316" t="b">
        <v>0</v>
      </c>
      <c r="AA316">
        <v>12.1509846637215</v>
      </c>
      <c r="AN316" t="e">
        <f>100*(1-E316/AL316)</f>
        <v>#DIV/0!</v>
      </c>
    </row>
    <row r="317" spans="1:40" x14ac:dyDescent="0.3">
      <c r="A317" t="s">
        <v>59</v>
      </c>
      <c r="B317" t="s">
        <v>5672</v>
      </c>
      <c r="C317" t="s">
        <v>5672</v>
      </c>
      <c r="D317" s="4">
        <v>45988</v>
      </c>
      <c r="E317">
        <v>176836</v>
      </c>
      <c r="F317" t="s">
        <v>5673</v>
      </c>
      <c r="G317" t="s">
        <v>323</v>
      </c>
      <c r="H317" t="s">
        <v>124</v>
      </c>
      <c r="I317" t="s">
        <v>324</v>
      </c>
      <c r="J317" t="s">
        <v>325</v>
      </c>
      <c r="K317" t="s">
        <v>5674</v>
      </c>
      <c r="L317" t="s">
        <v>44</v>
      </c>
      <c r="M317" t="s">
        <v>5675</v>
      </c>
      <c r="N317">
        <v>27052</v>
      </c>
      <c r="O317" t="s">
        <v>45</v>
      </c>
      <c r="P317" t="s">
        <v>81</v>
      </c>
      <c r="Q317" t="s">
        <v>85</v>
      </c>
      <c r="R317">
        <v>2001</v>
      </c>
      <c r="S317">
        <v>207.42</v>
      </c>
      <c r="T317">
        <v>0</v>
      </c>
      <c r="U317">
        <v>0</v>
      </c>
      <c r="V317" t="s">
        <v>5676</v>
      </c>
      <c r="W317">
        <v>27147821</v>
      </c>
      <c r="X317" t="s">
        <v>49</v>
      </c>
      <c r="Y317" t="s">
        <v>5677</v>
      </c>
      <c r="Z317" t="b">
        <v>0</v>
      </c>
      <c r="AA317">
        <v>852.55038086973298</v>
      </c>
      <c r="AN317" t="e">
        <f>100*(1-E317/AL317)</f>
        <v>#DIV/0!</v>
      </c>
    </row>
    <row r="318" spans="1:40" x14ac:dyDescent="0.3">
      <c r="A318" t="s">
        <v>39</v>
      </c>
      <c r="B318" t="s">
        <v>1067</v>
      </c>
      <c r="C318" t="s">
        <v>1068</v>
      </c>
      <c r="D318" s="4">
        <v>45989</v>
      </c>
      <c r="E318">
        <v>450</v>
      </c>
      <c r="F318" t="s">
        <v>1069</v>
      </c>
      <c r="G318" t="s">
        <v>158</v>
      </c>
      <c r="H318" t="s">
        <v>67</v>
      </c>
      <c r="I318" t="s">
        <v>159</v>
      </c>
      <c r="J318" t="s">
        <v>67</v>
      </c>
      <c r="K318" t="s">
        <v>1070</v>
      </c>
      <c r="L318" t="s">
        <v>44</v>
      </c>
      <c r="M318" t="s">
        <v>1071</v>
      </c>
      <c r="N318">
        <v>15121</v>
      </c>
      <c r="O318" t="s">
        <v>50</v>
      </c>
      <c r="P318" t="s">
        <v>56</v>
      </c>
      <c r="Q318">
        <v>0</v>
      </c>
      <c r="R318">
        <v>0</v>
      </c>
      <c r="S318">
        <v>0</v>
      </c>
      <c r="T318" t="s">
        <v>1072</v>
      </c>
      <c r="U318" t="s">
        <v>1073</v>
      </c>
      <c r="V318" t="s">
        <v>1074</v>
      </c>
      <c r="W318">
        <v>71965360</v>
      </c>
      <c r="X318" t="s">
        <v>49</v>
      </c>
      <c r="Y318" t="s">
        <v>1075</v>
      </c>
      <c r="Z318" t="b">
        <v>0</v>
      </c>
      <c r="AA318" t="s">
        <v>58</v>
      </c>
      <c r="AN318" t="e">
        <f>100*(1-E318/AL318)</f>
        <v>#DIV/0!</v>
      </c>
    </row>
    <row r="319" spans="1:40" x14ac:dyDescent="0.3">
      <c r="A319" t="s">
        <v>39</v>
      </c>
      <c r="B319" t="s">
        <v>1076</v>
      </c>
      <c r="C319" t="s">
        <v>1077</v>
      </c>
      <c r="D319" s="4">
        <v>45989</v>
      </c>
      <c r="E319">
        <v>10300</v>
      </c>
      <c r="F319" t="s">
        <v>1078</v>
      </c>
      <c r="G319" t="s">
        <v>261</v>
      </c>
      <c r="H319" t="s">
        <v>67</v>
      </c>
      <c r="I319" t="s">
        <v>262</v>
      </c>
      <c r="J319" t="s">
        <v>67</v>
      </c>
      <c r="K319" t="s">
        <v>1079</v>
      </c>
      <c r="L319" t="s">
        <v>44</v>
      </c>
      <c r="M319" t="s">
        <v>1080</v>
      </c>
      <c r="N319">
        <v>12351</v>
      </c>
      <c r="O319" t="s">
        <v>45</v>
      </c>
      <c r="P319" t="s">
        <v>56</v>
      </c>
      <c r="Q319">
        <v>0</v>
      </c>
      <c r="R319">
        <v>0</v>
      </c>
      <c r="S319">
        <v>0</v>
      </c>
      <c r="T319" t="s">
        <v>92</v>
      </c>
      <c r="U319">
        <v>100</v>
      </c>
      <c r="V319" t="s">
        <v>1081</v>
      </c>
      <c r="W319">
        <v>35152972</v>
      </c>
      <c r="X319" t="s">
        <v>49</v>
      </c>
      <c r="Y319" t="s">
        <v>1082</v>
      </c>
      <c r="Z319" t="b">
        <v>0</v>
      </c>
      <c r="AA319" t="s">
        <v>58</v>
      </c>
      <c r="AN319" t="e">
        <f>100*(1-E319/AL319)</f>
        <v>#DIV/0!</v>
      </c>
    </row>
    <row r="320" spans="1:40" x14ac:dyDescent="0.3">
      <c r="A320" t="s">
        <v>39</v>
      </c>
      <c r="B320" t="s">
        <v>1083</v>
      </c>
      <c r="C320" t="s">
        <v>1083</v>
      </c>
      <c r="D320" s="4">
        <v>45989</v>
      </c>
      <c r="E320">
        <v>255000</v>
      </c>
      <c r="F320" t="s">
        <v>1084</v>
      </c>
      <c r="G320" t="s">
        <v>284</v>
      </c>
      <c r="H320" t="s">
        <v>67</v>
      </c>
      <c r="I320" t="s">
        <v>285</v>
      </c>
      <c r="J320" t="s">
        <v>67</v>
      </c>
      <c r="K320" t="s">
        <v>1085</v>
      </c>
      <c r="L320" t="s">
        <v>44</v>
      </c>
      <c r="M320" t="s">
        <v>1086</v>
      </c>
      <c r="N320">
        <v>19400</v>
      </c>
      <c r="O320" t="s">
        <v>45</v>
      </c>
      <c r="P320" t="s">
        <v>81</v>
      </c>
      <c r="Q320" t="s">
        <v>52</v>
      </c>
      <c r="R320">
        <v>0</v>
      </c>
      <c r="S320">
        <v>185.75</v>
      </c>
      <c r="T320">
        <v>0</v>
      </c>
      <c r="U320">
        <v>0</v>
      </c>
      <c r="V320" t="s">
        <v>1087</v>
      </c>
      <c r="W320">
        <v>54530852</v>
      </c>
      <c r="X320" t="s">
        <v>49</v>
      </c>
      <c r="Y320" t="s">
        <v>1088</v>
      </c>
      <c r="Z320" t="b">
        <v>0</v>
      </c>
      <c r="AA320">
        <v>1372.8129205921939</v>
      </c>
      <c r="AN320" t="e">
        <f>100*(1-E320/AL320)</f>
        <v>#DIV/0!</v>
      </c>
    </row>
    <row r="321" spans="1:40" x14ac:dyDescent="0.3">
      <c r="A321" t="s">
        <v>39</v>
      </c>
      <c r="B321" t="s">
        <v>1089</v>
      </c>
      <c r="C321" t="s">
        <v>1077</v>
      </c>
      <c r="D321" s="4">
        <v>45989</v>
      </c>
      <c r="E321">
        <v>7700</v>
      </c>
      <c r="F321" t="s">
        <v>327</v>
      </c>
      <c r="G321" t="s">
        <v>261</v>
      </c>
      <c r="H321" t="s">
        <v>67</v>
      </c>
      <c r="I321" t="s">
        <v>262</v>
      </c>
      <c r="J321" t="s">
        <v>67</v>
      </c>
      <c r="K321" t="s">
        <v>1079</v>
      </c>
      <c r="L321" t="s">
        <v>44</v>
      </c>
      <c r="M321" t="s">
        <v>1080</v>
      </c>
      <c r="N321">
        <v>12351</v>
      </c>
      <c r="O321" t="s">
        <v>45</v>
      </c>
      <c r="P321" t="s">
        <v>56</v>
      </c>
      <c r="Q321">
        <v>0</v>
      </c>
      <c r="R321">
        <v>0</v>
      </c>
      <c r="S321">
        <v>0</v>
      </c>
      <c r="T321" t="s">
        <v>92</v>
      </c>
      <c r="U321">
        <v>100</v>
      </c>
      <c r="V321" t="s">
        <v>1081</v>
      </c>
      <c r="W321">
        <v>35152972</v>
      </c>
      <c r="X321" t="s">
        <v>49</v>
      </c>
      <c r="Y321" t="s">
        <v>1090</v>
      </c>
      <c r="Z321" t="b">
        <v>0</v>
      </c>
      <c r="AA321" t="s">
        <v>58</v>
      </c>
      <c r="AN321" t="e">
        <f>100*(1-E321/AL321)</f>
        <v>#DIV/0!</v>
      </c>
    </row>
    <row r="322" spans="1:40" x14ac:dyDescent="0.3">
      <c r="A322" t="s">
        <v>215</v>
      </c>
      <c r="B322" t="s">
        <v>1091</v>
      </c>
      <c r="C322" t="s">
        <v>1092</v>
      </c>
      <c r="D322" s="4">
        <v>45989</v>
      </c>
      <c r="E322">
        <v>33400</v>
      </c>
      <c r="F322" t="s">
        <v>1093</v>
      </c>
      <c r="G322" t="s">
        <v>384</v>
      </c>
      <c r="H322" t="s">
        <v>67</v>
      </c>
      <c r="I322" t="s">
        <v>384</v>
      </c>
      <c r="J322" t="s">
        <v>67</v>
      </c>
      <c r="K322" t="s">
        <v>1094</v>
      </c>
      <c r="L322" t="s">
        <v>44</v>
      </c>
      <c r="M322" t="s">
        <v>1095</v>
      </c>
      <c r="N322">
        <v>12243</v>
      </c>
      <c r="O322" t="s">
        <v>45</v>
      </c>
      <c r="P322" t="s">
        <v>54</v>
      </c>
      <c r="Q322" t="s">
        <v>55</v>
      </c>
      <c r="R322">
        <v>0</v>
      </c>
      <c r="S322">
        <v>20.84</v>
      </c>
      <c r="T322">
        <v>0</v>
      </c>
      <c r="U322">
        <v>0</v>
      </c>
      <c r="V322" t="s">
        <v>1096</v>
      </c>
      <c r="W322">
        <v>37115007</v>
      </c>
      <c r="X322" t="s">
        <v>49</v>
      </c>
      <c r="Y322" t="s">
        <v>1097</v>
      </c>
      <c r="Z322" t="b">
        <v>0</v>
      </c>
      <c r="AA322">
        <v>1602.6871401151629</v>
      </c>
      <c r="AN322" t="e">
        <f>100*(1-E322/AL322)</f>
        <v>#DIV/0!</v>
      </c>
    </row>
    <row r="323" spans="1:40" x14ac:dyDescent="0.3">
      <c r="A323" t="s">
        <v>215</v>
      </c>
      <c r="B323" t="s">
        <v>1098</v>
      </c>
      <c r="C323" t="s">
        <v>1092</v>
      </c>
      <c r="D323" s="4">
        <v>45989</v>
      </c>
      <c r="E323">
        <v>32400</v>
      </c>
      <c r="F323" t="s">
        <v>1099</v>
      </c>
      <c r="G323" t="s">
        <v>384</v>
      </c>
      <c r="H323" t="s">
        <v>67</v>
      </c>
      <c r="I323" t="s">
        <v>384</v>
      </c>
      <c r="J323" t="s">
        <v>67</v>
      </c>
      <c r="K323" t="s">
        <v>1094</v>
      </c>
      <c r="L323" t="s">
        <v>44</v>
      </c>
      <c r="M323" t="s">
        <v>1095</v>
      </c>
      <c r="N323">
        <v>12243</v>
      </c>
      <c r="O323" t="s">
        <v>45</v>
      </c>
      <c r="P323" t="s">
        <v>54</v>
      </c>
      <c r="Q323" t="s">
        <v>85</v>
      </c>
      <c r="R323">
        <v>0</v>
      </c>
      <c r="S323">
        <v>20.2</v>
      </c>
      <c r="T323">
        <v>0</v>
      </c>
      <c r="U323">
        <v>0</v>
      </c>
      <c r="V323" t="s">
        <v>1096</v>
      </c>
      <c r="W323">
        <v>37115007</v>
      </c>
      <c r="X323" t="s">
        <v>49</v>
      </c>
      <c r="Y323">
        <v>50110111012</v>
      </c>
      <c r="Z323" t="b">
        <v>0</v>
      </c>
      <c r="AA323">
        <v>1603.9603960396039</v>
      </c>
      <c r="AN323" t="e">
        <f>100*(1-E323/AL323)</f>
        <v>#DIV/0!</v>
      </c>
    </row>
    <row r="324" spans="1:40" x14ac:dyDescent="0.3">
      <c r="A324" t="s">
        <v>215</v>
      </c>
      <c r="B324" t="s">
        <v>1100</v>
      </c>
      <c r="C324" t="s">
        <v>1092</v>
      </c>
      <c r="D324" s="4">
        <v>45989</v>
      </c>
      <c r="E324">
        <v>34400</v>
      </c>
      <c r="F324" t="s">
        <v>1093</v>
      </c>
      <c r="G324" t="s">
        <v>384</v>
      </c>
      <c r="H324" t="s">
        <v>67</v>
      </c>
      <c r="I324" t="s">
        <v>384</v>
      </c>
      <c r="J324" t="s">
        <v>67</v>
      </c>
      <c r="K324" t="s">
        <v>1094</v>
      </c>
      <c r="L324" t="s">
        <v>44</v>
      </c>
      <c r="M324" t="s">
        <v>1095</v>
      </c>
      <c r="N324">
        <v>12243</v>
      </c>
      <c r="O324" t="s">
        <v>45</v>
      </c>
      <c r="P324" t="s">
        <v>54</v>
      </c>
      <c r="Q324" t="s">
        <v>85</v>
      </c>
      <c r="R324">
        <v>0</v>
      </c>
      <c r="S324">
        <v>20.84</v>
      </c>
      <c r="T324">
        <v>0</v>
      </c>
      <c r="U324">
        <v>0</v>
      </c>
      <c r="V324" t="s">
        <v>1096</v>
      </c>
      <c r="W324">
        <v>37115007</v>
      </c>
      <c r="X324" t="s">
        <v>49</v>
      </c>
      <c r="Y324" t="s">
        <v>1101</v>
      </c>
      <c r="Z324" t="b">
        <v>0</v>
      </c>
      <c r="AA324">
        <v>1650.671785028791</v>
      </c>
      <c r="AN324" t="e">
        <f>100*(1-E324/AL324)</f>
        <v>#DIV/0!</v>
      </c>
    </row>
    <row r="325" spans="1:40" x14ac:dyDescent="0.3">
      <c r="A325" t="s">
        <v>215</v>
      </c>
      <c r="B325" t="s">
        <v>1102</v>
      </c>
      <c r="C325" t="s">
        <v>1092</v>
      </c>
      <c r="D325" s="4">
        <v>45989</v>
      </c>
      <c r="E325">
        <v>33700</v>
      </c>
      <c r="F325" t="s">
        <v>1093</v>
      </c>
      <c r="G325" t="s">
        <v>384</v>
      </c>
      <c r="H325" t="s">
        <v>67</v>
      </c>
      <c r="I325" t="s">
        <v>384</v>
      </c>
      <c r="J325" t="s">
        <v>67</v>
      </c>
      <c r="K325" t="s">
        <v>1094</v>
      </c>
      <c r="L325" t="s">
        <v>44</v>
      </c>
      <c r="M325" t="s">
        <v>1095</v>
      </c>
      <c r="N325">
        <v>12243</v>
      </c>
      <c r="O325" t="s">
        <v>45</v>
      </c>
      <c r="P325" t="s">
        <v>54</v>
      </c>
      <c r="Q325" t="s">
        <v>55</v>
      </c>
      <c r="R325">
        <v>0</v>
      </c>
      <c r="S325">
        <v>21.02</v>
      </c>
      <c r="T325">
        <v>0</v>
      </c>
      <c r="U325">
        <v>0</v>
      </c>
      <c r="V325" t="s">
        <v>1096</v>
      </c>
      <c r="W325">
        <v>37115007</v>
      </c>
      <c r="X325" t="s">
        <v>49</v>
      </c>
      <c r="Y325" t="s">
        <v>1103</v>
      </c>
      <c r="Z325" t="b">
        <v>0</v>
      </c>
      <c r="AA325">
        <v>1603.235014272122</v>
      </c>
      <c r="AN325" t="e">
        <f>100*(1-E325/AL325)</f>
        <v>#DIV/0!</v>
      </c>
    </row>
    <row r="326" spans="1:40" x14ac:dyDescent="0.3">
      <c r="A326" t="s">
        <v>215</v>
      </c>
      <c r="B326" t="s">
        <v>1104</v>
      </c>
      <c r="C326" t="s">
        <v>1092</v>
      </c>
      <c r="D326" s="4">
        <v>45989</v>
      </c>
      <c r="E326">
        <v>31400</v>
      </c>
      <c r="F326" t="s">
        <v>1099</v>
      </c>
      <c r="G326" t="s">
        <v>384</v>
      </c>
      <c r="H326" t="s">
        <v>67</v>
      </c>
      <c r="I326" t="s">
        <v>384</v>
      </c>
      <c r="J326" t="s">
        <v>67</v>
      </c>
      <c r="K326" t="s">
        <v>1094</v>
      </c>
      <c r="L326" t="s">
        <v>44</v>
      </c>
      <c r="M326" t="s">
        <v>1095</v>
      </c>
      <c r="N326">
        <v>12243</v>
      </c>
      <c r="O326" t="s">
        <v>45</v>
      </c>
      <c r="P326" t="s">
        <v>54</v>
      </c>
      <c r="Q326" t="s">
        <v>55</v>
      </c>
      <c r="R326">
        <v>0</v>
      </c>
      <c r="S326">
        <v>20.2</v>
      </c>
      <c r="T326">
        <v>0</v>
      </c>
      <c r="U326">
        <v>0</v>
      </c>
      <c r="V326" t="s">
        <v>1096</v>
      </c>
      <c r="W326">
        <v>37115007</v>
      </c>
      <c r="X326" t="s">
        <v>49</v>
      </c>
      <c r="Y326" t="s">
        <v>1105</v>
      </c>
      <c r="Z326" t="b">
        <v>0</v>
      </c>
      <c r="AA326">
        <v>1554.455445544555</v>
      </c>
      <c r="AN326" t="e">
        <f>100*(1-E326/AL326)</f>
        <v>#DIV/0!</v>
      </c>
    </row>
    <row r="327" spans="1:40" x14ac:dyDescent="0.3">
      <c r="A327" t="s">
        <v>215</v>
      </c>
      <c r="B327" t="s">
        <v>1106</v>
      </c>
      <c r="C327" t="s">
        <v>1092</v>
      </c>
      <c r="D327" s="4">
        <v>45989</v>
      </c>
      <c r="E327">
        <v>34700</v>
      </c>
      <c r="F327" t="s">
        <v>1093</v>
      </c>
      <c r="G327" t="s">
        <v>384</v>
      </c>
      <c r="H327" t="s">
        <v>67</v>
      </c>
      <c r="I327" t="s">
        <v>384</v>
      </c>
      <c r="J327" t="s">
        <v>67</v>
      </c>
      <c r="K327" t="s">
        <v>1094</v>
      </c>
      <c r="L327" t="s">
        <v>44</v>
      </c>
      <c r="M327" t="s">
        <v>1095</v>
      </c>
      <c r="N327">
        <v>12243</v>
      </c>
      <c r="O327" t="s">
        <v>45</v>
      </c>
      <c r="P327" t="s">
        <v>54</v>
      </c>
      <c r="Q327" t="s">
        <v>85</v>
      </c>
      <c r="R327">
        <v>0</v>
      </c>
      <c r="S327">
        <v>21.02</v>
      </c>
      <c r="T327">
        <v>0</v>
      </c>
      <c r="U327">
        <v>0</v>
      </c>
      <c r="V327" t="s">
        <v>1096</v>
      </c>
      <c r="W327">
        <v>37115007</v>
      </c>
      <c r="X327" t="s">
        <v>49</v>
      </c>
      <c r="Y327" t="s">
        <v>1107</v>
      </c>
      <c r="Z327" t="b">
        <v>0</v>
      </c>
      <c r="AA327">
        <v>1650.8087535680299</v>
      </c>
      <c r="AN327" t="e">
        <f>100*(1-E327/AL327)</f>
        <v>#DIV/0!</v>
      </c>
    </row>
    <row r="328" spans="1:40" x14ac:dyDescent="0.3">
      <c r="A328" t="s">
        <v>166</v>
      </c>
      <c r="B328" t="s">
        <v>3763</v>
      </c>
      <c r="C328" t="s">
        <v>3763</v>
      </c>
      <c r="D328" s="4">
        <v>45989</v>
      </c>
      <c r="E328">
        <v>109000</v>
      </c>
      <c r="F328" t="s">
        <v>496</v>
      </c>
      <c r="G328" t="s">
        <v>115</v>
      </c>
      <c r="H328" t="s">
        <v>67</v>
      </c>
      <c r="I328" t="s">
        <v>116</v>
      </c>
      <c r="J328" t="s">
        <v>67</v>
      </c>
      <c r="K328" t="s">
        <v>3764</v>
      </c>
      <c r="L328" t="s">
        <v>44</v>
      </c>
      <c r="M328" t="s">
        <v>3765</v>
      </c>
      <c r="N328">
        <v>11471</v>
      </c>
      <c r="O328" t="s">
        <v>45</v>
      </c>
      <c r="P328" t="s">
        <v>54</v>
      </c>
      <c r="Q328" t="s">
        <v>55</v>
      </c>
      <c r="R328">
        <v>1970</v>
      </c>
      <c r="S328">
        <v>51</v>
      </c>
      <c r="T328">
        <v>0</v>
      </c>
      <c r="U328">
        <v>0</v>
      </c>
      <c r="V328" t="s">
        <v>3766</v>
      </c>
      <c r="W328">
        <v>32049557</v>
      </c>
      <c r="X328" t="s">
        <v>49</v>
      </c>
      <c r="Y328" t="s">
        <v>3767</v>
      </c>
      <c r="Z328" t="b">
        <v>0</v>
      </c>
      <c r="AA328">
        <v>2137.254901960785</v>
      </c>
      <c r="AN328" t="e">
        <f>100*(1-E328/AL328)</f>
        <v>#DIV/0!</v>
      </c>
    </row>
    <row r="329" spans="1:40" x14ac:dyDescent="0.3">
      <c r="A329" t="s">
        <v>39</v>
      </c>
      <c r="B329" t="s">
        <v>3947</v>
      </c>
      <c r="C329" t="s">
        <v>3947</v>
      </c>
      <c r="D329" s="4">
        <v>45989</v>
      </c>
      <c r="E329">
        <v>77000</v>
      </c>
      <c r="F329" t="s">
        <v>3948</v>
      </c>
      <c r="G329" t="s">
        <v>90</v>
      </c>
      <c r="H329" t="s">
        <v>67</v>
      </c>
      <c r="I329" t="s">
        <v>91</v>
      </c>
      <c r="J329" t="s">
        <v>67</v>
      </c>
      <c r="K329" t="s">
        <v>3949</v>
      </c>
      <c r="L329" t="s">
        <v>44</v>
      </c>
      <c r="M329" t="s">
        <v>3950</v>
      </c>
      <c r="N329">
        <v>17676</v>
      </c>
      <c r="O329" t="s">
        <v>45</v>
      </c>
      <c r="P329" t="s">
        <v>54</v>
      </c>
      <c r="Q329" t="s">
        <v>52</v>
      </c>
      <c r="R329">
        <v>1973</v>
      </c>
      <c r="S329">
        <v>50.5</v>
      </c>
      <c r="T329">
        <v>0</v>
      </c>
      <c r="U329">
        <v>0</v>
      </c>
      <c r="V329" t="s">
        <v>3951</v>
      </c>
      <c r="W329">
        <v>74776437</v>
      </c>
      <c r="X329" t="s">
        <v>49</v>
      </c>
      <c r="Y329" t="s">
        <v>3952</v>
      </c>
      <c r="Z329" t="b">
        <v>0</v>
      </c>
      <c r="AA329">
        <v>1524.7524752475249</v>
      </c>
      <c r="AN329" t="e">
        <f>100*(1-E329/AL329)</f>
        <v>#DIV/0!</v>
      </c>
    </row>
    <row r="330" spans="1:40" x14ac:dyDescent="0.3">
      <c r="A330" t="s">
        <v>71</v>
      </c>
      <c r="B330" t="s">
        <v>4954</v>
      </c>
      <c r="C330" t="s">
        <v>4954</v>
      </c>
      <c r="D330" s="4">
        <v>45989</v>
      </c>
      <c r="E330">
        <v>201600</v>
      </c>
      <c r="F330" t="s">
        <v>4955</v>
      </c>
      <c r="G330" t="s">
        <v>340</v>
      </c>
      <c r="H330" t="s">
        <v>67</v>
      </c>
      <c r="I330" t="s">
        <v>341</v>
      </c>
      <c r="J330" t="s">
        <v>67</v>
      </c>
      <c r="K330" t="s">
        <v>4956</v>
      </c>
      <c r="L330" t="s">
        <v>44</v>
      </c>
      <c r="M330" t="s">
        <v>4957</v>
      </c>
      <c r="N330">
        <v>16674</v>
      </c>
      <c r="O330" t="s">
        <v>45</v>
      </c>
      <c r="P330" t="s">
        <v>54</v>
      </c>
      <c r="Q330" t="s">
        <v>55</v>
      </c>
      <c r="R330">
        <v>1989</v>
      </c>
      <c r="S330">
        <v>260</v>
      </c>
      <c r="T330" t="s">
        <v>48</v>
      </c>
      <c r="U330">
        <v>50</v>
      </c>
      <c r="V330" t="s">
        <v>4958</v>
      </c>
      <c r="W330">
        <v>74417545</v>
      </c>
      <c r="X330" t="s">
        <v>49</v>
      </c>
      <c r="Y330" t="s">
        <v>4959</v>
      </c>
      <c r="Z330" t="b">
        <v>0</v>
      </c>
      <c r="AA330">
        <v>775.38461538461536</v>
      </c>
      <c r="AN330" t="e">
        <f>100*(1-E330/AL330)</f>
        <v>#DIV/0!</v>
      </c>
    </row>
    <row r="331" spans="1:40" x14ac:dyDescent="0.3">
      <c r="A331" t="s">
        <v>183</v>
      </c>
      <c r="B331" t="s">
        <v>5039</v>
      </c>
      <c r="C331" t="s">
        <v>5039</v>
      </c>
      <c r="D331" s="4">
        <v>45989</v>
      </c>
      <c r="E331">
        <v>214000</v>
      </c>
      <c r="F331" t="s">
        <v>5040</v>
      </c>
      <c r="G331" t="s">
        <v>3410</v>
      </c>
      <c r="H331" t="s">
        <v>67</v>
      </c>
      <c r="I331" t="s">
        <v>3411</v>
      </c>
      <c r="J331" t="s">
        <v>67</v>
      </c>
      <c r="K331" t="s">
        <v>5041</v>
      </c>
      <c r="L331" t="s">
        <v>44</v>
      </c>
      <c r="M331" t="s">
        <v>5042</v>
      </c>
      <c r="N331">
        <v>19005</v>
      </c>
      <c r="O331" t="s">
        <v>45</v>
      </c>
      <c r="P331" t="s">
        <v>81</v>
      </c>
      <c r="Q331" t="s">
        <v>55</v>
      </c>
      <c r="R331">
        <v>1990</v>
      </c>
      <c r="S331">
        <v>202.65</v>
      </c>
      <c r="T331">
        <v>0</v>
      </c>
      <c r="U331">
        <v>0</v>
      </c>
      <c r="V331" t="s">
        <v>5043</v>
      </c>
      <c r="W331" t="s">
        <v>5044</v>
      </c>
      <c r="X331" t="s">
        <v>49</v>
      </c>
      <c r="Y331" t="s">
        <v>5045</v>
      </c>
      <c r="Z331" t="b">
        <v>0</v>
      </c>
      <c r="AA331">
        <v>1056.0078953861339</v>
      </c>
      <c r="AN331" t="e">
        <f>100*(1-E331/AL331)</f>
        <v>#DIV/0!</v>
      </c>
    </row>
    <row r="332" spans="1:40" x14ac:dyDescent="0.3">
      <c r="A332" t="s">
        <v>183</v>
      </c>
      <c r="B332" t="s">
        <v>5039</v>
      </c>
      <c r="C332" t="s">
        <v>5039</v>
      </c>
      <c r="D332" s="4">
        <v>45989</v>
      </c>
      <c r="E332">
        <v>214000</v>
      </c>
      <c r="F332" t="s">
        <v>5040</v>
      </c>
      <c r="G332" t="s">
        <v>3410</v>
      </c>
      <c r="H332" t="s">
        <v>67</v>
      </c>
      <c r="I332" t="s">
        <v>3411</v>
      </c>
      <c r="J332" t="s">
        <v>67</v>
      </c>
      <c r="K332" t="s">
        <v>5041</v>
      </c>
      <c r="L332" t="s">
        <v>44</v>
      </c>
      <c r="M332" t="s">
        <v>5042</v>
      </c>
      <c r="N332">
        <v>19005</v>
      </c>
      <c r="O332" t="s">
        <v>45</v>
      </c>
      <c r="P332" t="s">
        <v>81</v>
      </c>
      <c r="Q332" t="s">
        <v>55</v>
      </c>
      <c r="R332">
        <v>1990</v>
      </c>
      <c r="S332">
        <v>202.65</v>
      </c>
      <c r="T332">
        <v>0</v>
      </c>
      <c r="U332">
        <v>0</v>
      </c>
      <c r="V332" t="s">
        <v>5043</v>
      </c>
      <c r="W332" t="s">
        <v>5044</v>
      </c>
      <c r="X332" t="s">
        <v>49</v>
      </c>
      <c r="Y332" t="s">
        <v>5045</v>
      </c>
      <c r="Z332" t="b">
        <v>0</v>
      </c>
      <c r="AA332">
        <v>1056.0078953861339</v>
      </c>
      <c r="AN332" t="e">
        <f>100*(1-E332/AL332)</f>
        <v>#DIV/0!</v>
      </c>
    </row>
    <row r="333" spans="1:40" x14ac:dyDescent="0.3">
      <c r="A333" t="s">
        <v>39</v>
      </c>
      <c r="B333" t="s">
        <v>5170</v>
      </c>
      <c r="C333" t="s">
        <v>1068</v>
      </c>
      <c r="D333" s="4">
        <v>45989</v>
      </c>
      <c r="E333">
        <v>67500</v>
      </c>
      <c r="F333" t="s">
        <v>5171</v>
      </c>
      <c r="G333" t="s">
        <v>158</v>
      </c>
      <c r="H333" t="s">
        <v>67</v>
      </c>
      <c r="I333" t="s">
        <v>159</v>
      </c>
      <c r="J333" t="s">
        <v>67</v>
      </c>
      <c r="K333" t="s">
        <v>1070</v>
      </c>
      <c r="L333" t="s">
        <v>44</v>
      </c>
      <c r="M333" t="s">
        <v>1071</v>
      </c>
      <c r="N333">
        <v>15121</v>
      </c>
      <c r="O333" t="s">
        <v>50</v>
      </c>
      <c r="P333" t="s">
        <v>51</v>
      </c>
      <c r="Q333" t="s">
        <v>52</v>
      </c>
      <c r="R333">
        <v>1991</v>
      </c>
      <c r="S333">
        <v>243.7</v>
      </c>
      <c r="T333" t="s">
        <v>161</v>
      </c>
      <c r="U333">
        <v>100</v>
      </c>
      <c r="V333" t="s">
        <v>1074</v>
      </c>
      <c r="W333">
        <v>71965360</v>
      </c>
      <c r="X333" t="s">
        <v>49</v>
      </c>
      <c r="Y333" t="s">
        <v>5172</v>
      </c>
      <c r="Z333" t="b">
        <v>0</v>
      </c>
      <c r="AA333">
        <v>276.97989331144851</v>
      </c>
      <c r="AN333" t="e">
        <f>100*(1-E333/AL333)</f>
        <v>#DIV/0!</v>
      </c>
    </row>
    <row r="334" spans="1:40" x14ac:dyDescent="0.3">
      <c r="A334" t="s">
        <v>39</v>
      </c>
      <c r="B334" t="s">
        <v>5173</v>
      </c>
      <c r="C334" t="s">
        <v>1068</v>
      </c>
      <c r="D334" s="4">
        <v>45989</v>
      </c>
      <c r="E334">
        <v>144900</v>
      </c>
      <c r="F334" t="s">
        <v>5174</v>
      </c>
      <c r="G334" t="s">
        <v>158</v>
      </c>
      <c r="H334" t="s">
        <v>67</v>
      </c>
      <c r="I334" t="s">
        <v>159</v>
      </c>
      <c r="J334" t="s">
        <v>67</v>
      </c>
      <c r="K334" t="s">
        <v>1070</v>
      </c>
      <c r="L334" t="s">
        <v>44</v>
      </c>
      <c r="M334" t="s">
        <v>1071</v>
      </c>
      <c r="N334">
        <v>15121</v>
      </c>
      <c r="O334" t="s">
        <v>50</v>
      </c>
      <c r="P334" t="s">
        <v>51</v>
      </c>
      <c r="Q334" t="s">
        <v>52</v>
      </c>
      <c r="R334">
        <v>1991</v>
      </c>
      <c r="S334">
        <v>120.5</v>
      </c>
      <c r="T334" t="s">
        <v>161</v>
      </c>
      <c r="U334">
        <v>100</v>
      </c>
      <c r="V334" t="s">
        <v>1074</v>
      </c>
      <c r="W334">
        <v>71965360</v>
      </c>
      <c r="X334" t="s">
        <v>49</v>
      </c>
      <c r="Y334" t="s">
        <v>5175</v>
      </c>
      <c r="Z334" t="b">
        <v>0</v>
      </c>
      <c r="AA334">
        <v>1202.4896265560169</v>
      </c>
      <c r="AN334" t="e">
        <f>100*(1-E334/AL334)</f>
        <v>#DIV/0!</v>
      </c>
    </row>
    <row r="335" spans="1:40" x14ac:dyDescent="0.3">
      <c r="A335" t="s">
        <v>166</v>
      </c>
      <c r="B335" t="s">
        <v>5678</v>
      </c>
      <c r="C335" t="s">
        <v>5678</v>
      </c>
      <c r="D335" s="4">
        <v>45989</v>
      </c>
      <c r="E335">
        <v>154000</v>
      </c>
      <c r="F335" t="s">
        <v>5679</v>
      </c>
      <c r="G335" t="s">
        <v>5680</v>
      </c>
      <c r="H335" t="s">
        <v>62</v>
      </c>
      <c r="I335" t="s">
        <v>73</v>
      </c>
      <c r="J335" t="s">
        <v>63</v>
      </c>
      <c r="K335" t="s">
        <v>5681</v>
      </c>
      <c r="L335" t="s">
        <v>44</v>
      </c>
      <c r="M335" t="s">
        <v>5682</v>
      </c>
      <c r="N335">
        <v>57010</v>
      </c>
      <c r="O335" t="s">
        <v>45</v>
      </c>
      <c r="P335" t="s">
        <v>288</v>
      </c>
      <c r="Q335" t="s">
        <v>55</v>
      </c>
      <c r="R335">
        <v>2001</v>
      </c>
      <c r="S335">
        <v>106.84</v>
      </c>
      <c r="T335">
        <v>0</v>
      </c>
      <c r="U335">
        <v>0</v>
      </c>
      <c r="V335" t="s">
        <v>5683</v>
      </c>
      <c r="W335">
        <v>67538193</v>
      </c>
      <c r="X335" t="s">
        <v>49</v>
      </c>
      <c r="Y335" t="s">
        <v>5684</v>
      </c>
      <c r="Z335" t="b">
        <v>0</v>
      </c>
      <c r="AA335">
        <v>1441.407712467241</v>
      </c>
      <c r="AN335" t="e">
        <f>100*(1-E335/AL335)</f>
        <v>#DIV/0!</v>
      </c>
    </row>
    <row r="336" spans="1:40" x14ac:dyDescent="0.3">
      <c r="A336" t="s">
        <v>39</v>
      </c>
      <c r="B336" t="s">
        <v>5812</v>
      </c>
      <c r="C336" t="s">
        <v>5812</v>
      </c>
      <c r="D336" s="4">
        <v>45989</v>
      </c>
      <c r="E336">
        <v>167000</v>
      </c>
      <c r="F336" t="s">
        <v>5813</v>
      </c>
      <c r="G336" t="s">
        <v>5814</v>
      </c>
      <c r="H336" t="s">
        <v>67</v>
      </c>
      <c r="I336" t="s">
        <v>295</v>
      </c>
      <c r="J336" t="s">
        <v>67</v>
      </c>
      <c r="K336" t="s">
        <v>5815</v>
      </c>
      <c r="L336" t="s">
        <v>44</v>
      </c>
      <c r="M336" t="s">
        <v>5816</v>
      </c>
      <c r="N336">
        <v>19015</v>
      </c>
      <c r="O336" t="s">
        <v>45</v>
      </c>
      <c r="P336" t="s">
        <v>288</v>
      </c>
      <c r="Q336" t="s">
        <v>55</v>
      </c>
      <c r="R336">
        <v>2003</v>
      </c>
      <c r="S336">
        <v>157.55000000000001</v>
      </c>
      <c r="T336">
        <v>0</v>
      </c>
      <c r="U336">
        <v>0</v>
      </c>
      <c r="V336" t="s">
        <v>5817</v>
      </c>
      <c r="W336" t="s">
        <v>5818</v>
      </c>
      <c r="X336" t="s">
        <v>49</v>
      </c>
      <c r="Y336" t="s">
        <v>5819</v>
      </c>
      <c r="Z336" t="b">
        <v>0</v>
      </c>
      <c r="AA336">
        <v>1059.980958425896</v>
      </c>
      <c r="AN336" t="e">
        <f>100*(1-E336/AL336)</f>
        <v>#DIV/0!</v>
      </c>
    </row>
    <row r="337" spans="1:40" x14ac:dyDescent="0.3">
      <c r="A337" t="s">
        <v>59</v>
      </c>
      <c r="B337" t="s">
        <v>6456</v>
      </c>
      <c r="C337" t="s">
        <v>6456</v>
      </c>
      <c r="D337" s="4">
        <v>45989</v>
      </c>
      <c r="E337">
        <v>134815</v>
      </c>
      <c r="F337" t="s">
        <v>5391</v>
      </c>
      <c r="G337" t="s">
        <v>323</v>
      </c>
      <c r="H337" t="s">
        <v>124</v>
      </c>
      <c r="I337" t="s">
        <v>324</v>
      </c>
      <c r="J337" t="s">
        <v>325</v>
      </c>
      <c r="K337" t="s">
        <v>6457</v>
      </c>
      <c r="L337" t="s">
        <v>44</v>
      </c>
      <c r="M337" t="s">
        <v>6458</v>
      </c>
      <c r="N337">
        <v>27052</v>
      </c>
      <c r="O337" t="s">
        <v>45</v>
      </c>
      <c r="P337" t="s">
        <v>54</v>
      </c>
      <c r="Q337" t="s">
        <v>85</v>
      </c>
      <c r="R337">
        <v>2008</v>
      </c>
      <c r="S337">
        <v>119.5</v>
      </c>
      <c r="T337">
        <v>0</v>
      </c>
      <c r="U337">
        <v>0</v>
      </c>
      <c r="V337" t="s">
        <v>6459</v>
      </c>
      <c r="W337">
        <v>33830480</v>
      </c>
      <c r="X337" t="s">
        <v>49</v>
      </c>
      <c r="Y337" t="s">
        <v>6460</v>
      </c>
      <c r="Z337" t="b">
        <v>0</v>
      </c>
      <c r="AA337">
        <v>1128.1589958159</v>
      </c>
      <c r="AN337" t="e">
        <f>100*(1-E337/AL337)</f>
        <v>#DIV/0!</v>
      </c>
    </row>
    <row r="338" spans="1:40" x14ac:dyDescent="0.3">
      <c r="A338" t="s">
        <v>59</v>
      </c>
      <c r="B338" t="s">
        <v>1108</v>
      </c>
      <c r="C338" t="s">
        <v>1108</v>
      </c>
      <c r="D338" s="4">
        <v>45994</v>
      </c>
      <c r="E338">
        <v>25600</v>
      </c>
      <c r="F338" t="s">
        <v>1109</v>
      </c>
      <c r="G338" t="s">
        <v>1110</v>
      </c>
      <c r="H338" t="s">
        <v>230</v>
      </c>
      <c r="I338" t="s">
        <v>1111</v>
      </c>
      <c r="J338" t="s">
        <v>426</v>
      </c>
      <c r="K338" t="s">
        <v>1112</v>
      </c>
      <c r="L338" t="s">
        <v>44</v>
      </c>
      <c r="M338" t="s">
        <v>1113</v>
      </c>
      <c r="N338">
        <v>67061</v>
      </c>
      <c r="O338" t="s">
        <v>97</v>
      </c>
      <c r="P338" t="s">
        <v>98</v>
      </c>
      <c r="Q338">
        <v>0</v>
      </c>
      <c r="R338">
        <v>0</v>
      </c>
      <c r="S338">
        <v>1048</v>
      </c>
      <c r="T338">
        <v>0</v>
      </c>
      <c r="U338">
        <v>0</v>
      </c>
      <c r="V338" t="s">
        <v>1114</v>
      </c>
      <c r="W338">
        <v>117780093</v>
      </c>
      <c r="X338" t="s">
        <v>49</v>
      </c>
      <c r="Y338" t="s">
        <v>1115</v>
      </c>
      <c r="Z338" t="b">
        <v>0</v>
      </c>
      <c r="AA338">
        <v>24.42748091603054</v>
      </c>
      <c r="AN338" t="e">
        <f>100*(1-E338/AL338)</f>
        <v>#DIV/0!</v>
      </c>
    </row>
    <row r="339" spans="1:40" x14ac:dyDescent="0.3">
      <c r="A339" t="s">
        <v>139</v>
      </c>
      <c r="B339" t="s">
        <v>1116</v>
      </c>
      <c r="C339" t="s">
        <v>1116</v>
      </c>
      <c r="D339" s="4">
        <v>45994</v>
      </c>
      <c r="E339">
        <v>141000</v>
      </c>
      <c r="F339" t="s">
        <v>82</v>
      </c>
      <c r="G339" t="s">
        <v>350</v>
      </c>
      <c r="H339" t="s">
        <v>67</v>
      </c>
      <c r="I339" t="s">
        <v>351</v>
      </c>
      <c r="J339" t="s">
        <v>67</v>
      </c>
      <c r="K339" t="s">
        <v>1117</v>
      </c>
      <c r="L339" t="s">
        <v>44</v>
      </c>
      <c r="M339" t="s">
        <v>1118</v>
      </c>
      <c r="N339">
        <v>13562</v>
      </c>
      <c r="O339" t="s">
        <v>45</v>
      </c>
      <c r="P339" t="s">
        <v>54</v>
      </c>
      <c r="Q339" t="s">
        <v>55</v>
      </c>
      <c r="R339">
        <v>0</v>
      </c>
      <c r="S339">
        <v>101.8</v>
      </c>
      <c r="T339">
        <v>0</v>
      </c>
      <c r="U339">
        <v>0</v>
      </c>
      <c r="V339" t="s">
        <v>1119</v>
      </c>
      <c r="W339">
        <v>25184140</v>
      </c>
      <c r="X339" t="s">
        <v>86</v>
      </c>
      <c r="Y339" t="s">
        <v>1120</v>
      </c>
      <c r="Z339" t="b">
        <v>0</v>
      </c>
      <c r="AA339">
        <v>1385.068762278979</v>
      </c>
      <c r="AN339" t="e">
        <f>100*(1-E339/AL339)</f>
        <v>#DIV/0!</v>
      </c>
    </row>
    <row r="340" spans="1:40" x14ac:dyDescent="0.3">
      <c r="A340" t="s">
        <v>166</v>
      </c>
      <c r="B340" t="s">
        <v>1121</v>
      </c>
      <c r="C340" t="s">
        <v>1121</v>
      </c>
      <c r="D340" s="4">
        <v>45994</v>
      </c>
      <c r="E340">
        <v>77000</v>
      </c>
      <c r="F340" t="s">
        <v>99</v>
      </c>
      <c r="G340" t="s">
        <v>446</v>
      </c>
      <c r="H340" t="s">
        <v>67</v>
      </c>
      <c r="I340" t="s">
        <v>447</v>
      </c>
      <c r="J340" t="s">
        <v>67</v>
      </c>
      <c r="K340" t="s">
        <v>1122</v>
      </c>
      <c r="L340" t="s">
        <v>44</v>
      </c>
      <c r="M340" t="s">
        <v>1123</v>
      </c>
      <c r="N340">
        <v>15773</v>
      </c>
      <c r="O340" t="s">
        <v>45</v>
      </c>
      <c r="P340" t="s">
        <v>54</v>
      </c>
      <c r="Q340" t="s">
        <v>52</v>
      </c>
      <c r="R340">
        <v>0</v>
      </c>
      <c r="S340">
        <v>68.3</v>
      </c>
      <c r="T340">
        <v>0</v>
      </c>
      <c r="U340">
        <v>0</v>
      </c>
      <c r="V340" t="s">
        <v>1124</v>
      </c>
      <c r="W340">
        <v>75773549</v>
      </c>
      <c r="X340" t="s">
        <v>86</v>
      </c>
      <c r="Y340" t="s">
        <v>1125</v>
      </c>
      <c r="Z340" t="b">
        <v>0</v>
      </c>
      <c r="AA340">
        <v>1127.3792093704251</v>
      </c>
      <c r="AN340" t="e">
        <f>100*(1-E340/AL340)</f>
        <v>#DIV/0!</v>
      </c>
    </row>
    <row r="341" spans="1:40" x14ac:dyDescent="0.3">
      <c r="A341" t="s">
        <v>139</v>
      </c>
      <c r="B341" t="s">
        <v>1126</v>
      </c>
      <c r="C341" t="s">
        <v>1126</v>
      </c>
      <c r="D341" s="4">
        <v>45994</v>
      </c>
      <c r="E341">
        <v>23019</v>
      </c>
      <c r="F341" t="s">
        <v>1127</v>
      </c>
      <c r="G341" t="s">
        <v>294</v>
      </c>
      <c r="H341" t="s">
        <v>67</v>
      </c>
      <c r="I341" t="s">
        <v>295</v>
      </c>
      <c r="J341" t="s">
        <v>67</v>
      </c>
      <c r="K341" t="s">
        <v>1128</v>
      </c>
      <c r="L341" t="s">
        <v>44</v>
      </c>
      <c r="M341" t="s">
        <v>1129</v>
      </c>
      <c r="N341">
        <v>19015</v>
      </c>
      <c r="O341" t="s">
        <v>97</v>
      </c>
      <c r="P341" t="s">
        <v>98</v>
      </c>
      <c r="Q341">
        <v>0</v>
      </c>
      <c r="R341">
        <v>0</v>
      </c>
      <c r="S341">
        <v>279.12</v>
      </c>
      <c r="T341">
        <v>0</v>
      </c>
      <c r="U341">
        <v>0</v>
      </c>
      <c r="V341" t="s">
        <v>1130</v>
      </c>
      <c r="W341">
        <v>44198216</v>
      </c>
      <c r="X341" t="s">
        <v>86</v>
      </c>
      <c r="Y341" t="s">
        <v>1131</v>
      </c>
      <c r="Z341" t="b">
        <v>0</v>
      </c>
      <c r="AA341">
        <v>82.469905417024933</v>
      </c>
      <c r="AN341" t="e">
        <f>100*(1-E341/AL341)</f>
        <v>#DIV/0!</v>
      </c>
    </row>
    <row r="342" spans="1:40" x14ac:dyDescent="0.3">
      <c r="A342" t="s">
        <v>59</v>
      </c>
      <c r="B342" t="s">
        <v>1132</v>
      </c>
      <c r="C342" t="s">
        <v>1132</v>
      </c>
      <c r="D342" s="4">
        <v>45994</v>
      </c>
      <c r="E342">
        <v>162000</v>
      </c>
      <c r="F342" t="s">
        <v>1133</v>
      </c>
      <c r="G342" t="s">
        <v>1134</v>
      </c>
      <c r="H342" t="s">
        <v>111</v>
      </c>
      <c r="I342" t="s">
        <v>174</v>
      </c>
      <c r="J342" t="s">
        <v>175</v>
      </c>
      <c r="K342" t="s">
        <v>1135</v>
      </c>
      <c r="L342" t="s">
        <v>44</v>
      </c>
      <c r="M342" t="s">
        <v>1136</v>
      </c>
      <c r="N342">
        <v>34600</v>
      </c>
      <c r="O342" t="s">
        <v>45</v>
      </c>
      <c r="P342" t="s">
        <v>288</v>
      </c>
      <c r="Q342" t="s">
        <v>55</v>
      </c>
      <c r="R342">
        <v>0</v>
      </c>
      <c r="S342">
        <v>150</v>
      </c>
      <c r="T342">
        <v>0</v>
      </c>
      <c r="U342">
        <v>0</v>
      </c>
      <c r="V342" t="s">
        <v>1137</v>
      </c>
      <c r="W342">
        <v>126403574</v>
      </c>
      <c r="X342" t="s">
        <v>86</v>
      </c>
      <c r="Y342" t="s">
        <v>1138</v>
      </c>
      <c r="Z342" t="b">
        <v>0</v>
      </c>
      <c r="AA342">
        <v>1080</v>
      </c>
      <c r="AN342" t="e">
        <f>100*(1-E342/AL342)</f>
        <v>#DIV/0!</v>
      </c>
    </row>
    <row r="343" spans="1:40" x14ac:dyDescent="0.3">
      <c r="A343" t="s">
        <v>71</v>
      </c>
      <c r="B343" t="s">
        <v>1139</v>
      </c>
      <c r="C343" t="s">
        <v>1139</v>
      </c>
      <c r="D343" s="4">
        <v>45994</v>
      </c>
      <c r="E343">
        <v>5715</v>
      </c>
      <c r="F343" t="s">
        <v>1140</v>
      </c>
      <c r="G343" t="s">
        <v>1141</v>
      </c>
      <c r="H343" t="s">
        <v>62</v>
      </c>
      <c r="I343" t="s">
        <v>88</v>
      </c>
      <c r="J343" t="s">
        <v>88</v>
      </c>
      <c r="K343" t="s">
        <v>1142</v>
      </c>
      <c r="L343" t="s">
        <v>44</v>
      </c>
      <c r="M343" t="s">
        <v>1141</v>
      </c>
      <c r="N343">
        <v>58100</v>
      </c>
      <c r="O343" t="s">
        <v>97</v>
      </c>
      <c r="P343" t="s">
        <v>118</v>
      </c>
      <c r="Q343">
        <v>0</v>
      </c>
      <c r="R343">
        <v>0</v>
      </c>
      <c r="S343">
        <v>12151</v>
      </c>
      <c r="T343" t="s">
        <v>48</v>
      </c>
      <c r="U343" t="s">
        <v>286</v>
      </c>
      <c r="V343" t="s">
        <v>1143</v>
      </c>
      <c r="W343">
        <v>25305696</v>
      </c>
      <c r="X343" t="s">
        <v>86</v>
      </c>
      <c r="Y343" t="s">
        <v>1144</v>
      </c>
      <c r="Z343" t="b">
        <v>0</v>
      </c>
      <c r="AA343">
        <v>0.47033165994568349</v>
      </c>
      <c r="AN343" t="e">
        <f>100*(1-E343/AL343)</f>
        <v>#DIV/0!</v>
      </c>
    </row>
    <row r="344" spans="1:40" x14ac:dyDescent="0.3">
      <c r="A344" t="s">
        <v>71</v>
      </c>
      <c r="B344" t="s">
        <v>1145</v>
      </c>
      <c r="C344" t="s">
        <v>1145</v>
      </c>
      <c r="D344" s="4">
        <v>45994</v>
      </c>
      <c r="E344">
        <v>92000</v>
      </c>
      <c r="F344" t="s">
        <v>99</v>
      </c>
      <c r="G344" t="s">
        <v>254</v>
      </c>
      <c r="H344" t="s">
        <v>124</v>
      </c>
      <c r="I344" t="s">
        <v>255</v>
      </c>
      <c r="J344" t="s">
        <v>256</v>
      </c>
      <c r="K344" t="s">
        <v>1146</v>
      </c>
      <c r="L344" t="s">
        <v>44</v>
      </c>
      <c r="M344" t="s">
        <v>1147</v>
      </c>
      <c r="N344">
        <v>30131</v>
      </c>
      <c r="O344" t="s">
        <v>45</v>
      </c>
      <c r="P344" t="s">
        <v>54</v>
      </c>
      <c r="Q344" t="s">
        <v>64</v>
      </c>
      <c r="R344">
        <v>0</v>
      </c>
      <c r="S344">
        <v>68</v>
      </c>
      <c r="T344">
        <v>0</v>
      </c>
      <c r="U344">
        <v>0</v>
      </c>
      <c r="V344" t="s">
        <v>1148</v>
      </c>
      <c r="W344">
        <v>47409005</v>
      </c>
      <c r="X344" t="s">
        <v>86</v>
      </c>
      <c r="Y344" t="s">
        <v>1149</v>
      </c>
      <c r="Z344" t="b">
        <v>0</v>
      </c>
      <c r="AA344">
        <v>1352.9411764705881</v>
      </c>
      <c r="AN344" t="e">
        <f>100*(1-E344/AL344)</f>
        <v>#DIV/0!</v>
      </c>
    </row>
    <row r="345" spans="1:40" x14ac:dyDescent="0.3">
      <c r="A345" t="s">
        <v>278</v>
      </c>
      <c r="B345" t="s">
        <v>1150</v>
      </c>
      <c r="C345" t="s">
        <v>1150</v>
      </c>
      <c r="D345" s="4">
        <v>45994</v>
      </c>
      <c r="E345">
        <v>7000</v>
      </c>
      <c r="F345" t="s">
        <v>1151</v>
      </c>
      <c r="G345" t="s">
        <v>115</v>
      </c>
      <c r="H345" t="s">
        <v>67</v>
      </c>
      <c r="I345" t="s">
        <v>116</v>
      </c>
      <c r="J345" t="s">
        <v>67</v>
      </c>
      <c r="K345" t="s">
        <v>1152</v>
      </c>
      <c r="L345" t="s">
        <v>44</v>
      </c>
      <c r="M345" t="s">
        <v>1153</v>
      </c>
      <c r="N345">
        <v>11521</v>
      </c>
      <c r="O345" t="s">
        <v>50</v>
      </c>
      <c r="P345" t="s">
        <v>46</v>
      </c>
      <c r="Q345">
        <v>0</v>
      </c>
      <c r="R345">
        <v>0</v>
      </c>
      <c r="S345">
        <v>25</v>
      </c>
      <c r="T345" t="s">
        <v>48</v>
      </c>
      <c r="U345">
        <v>50</v>
      </c>
      <c r="V345" t="s">
        <v>1154</v>
      </c>
      <c r="W345">
        <v>15156722</v>
      </c>
      <c r="X345" t="s">
        <v>86</v>
      </c>
      <c r="Y345" t="s">
        <v>1155</v>
      </c>
      <c r="Z345" t="b">
        <v>0</v>
      </c>
      <c r="AA345">
        <v>280</v>
      </c>
      <c r="AN345" t="e">
        <f>100*(1-E345/AL345)</f>
        <v>#DIV/0!</v>
      </c>
    </row>
    <row r="346" spans="1:40" x14ac:dyDescent="0.3">
      <c r="A346" t="s">
        <v>278</v>
      </c>
      <c r="B346" t="s">
        <v>1150</v>
      </c>
      <c r="C346" t="s">
        <v>1150</v>
      </c>
      <c r="D346" s="4">
        <v>45994</v>
      </c>
      <c r="E346">
        <v>7000</v>
      </c>
      <c r="F346" t="s">
        <v>1151</v>
      </c>
      <c r="G346" t="s">
        <v>115</v>
      </c>
      <c r="H346" t="s">
        <v>67</v>
      </c>
      <c r="I346" t="s">
        <v>116</v>
      </c>
      <c r="J346" t="s">
        <v>67</v>
      </c>
      <c r="K346" t="s">
        <v>1152</v>
      </c>
      <c r="L346" t="s">
        <v>44</v>
      </c>
      <c r="M346" t="s">
        <v>1153</v>
      </c>
      <c r="N346">
        <v>11521</v>
      </c>
      <c r="O346" t="s">
        <v>50</v>
      </c>
      <c r="P346" t="s">
        <v>46</v>
      </c>
      <c r="Q346">
        <v>0</v>
      </c>
      <c r="R346">
        <v>0</v>
      </c>
      <c r="S346">
        <v>25</v>
      </c>
      <c r="T346" t="s">
        <v>48</v>
      </c>
      <c r="U346">
        <v>50</v>
      </c>
      <c r="V346" t="s">
        <v>1154</v>
      </c>
      <c r="W346">
        <v>15156722</v>
      </c>
      <c r="X346" t="s">
        <v>86</v>
      </c>
      <c r="Y346" t="s">
        <v>1155</v>
      </c>
      <c r="Z346" t="b">
        <v>0</v>
      </c>
      <c r="AA346">
        <v>280</v>
      </c>
      <c r="AN346" t="e">
        <f>100*(1-E346/AL346)</f>
        <v>#DIV/0!</v>
      </c>
    </row>
    <row r="347" spans="1:40" x14ac:dyDescent="0.3">
      <c r="A347" t="s">
        <v>39</v>
      </c>
      <c r="B347" t="s">
        <v>1156</v>
      </c>
      <c r="C347" t="s">
        <v>1156</v>
      </c>
      <c r="D347" s="4">
        <v>45994</v>
      </c>
      <c r="E347">
        <v>151000</v>
      </c>
      <c r="F347" t="s">
        <v>70</v>
      </c>
      <c r="G347" t="s">
        <v>115</v>
      </c>
      <c r="H347" t="s">
        <v>67</v>
      </c>
      <c r="I347" t="s">
        <v>116</v>
      </c>
      <c r="J347" t="s">
        <v>67</v>
      </c>
      <c r="K347" t="s">
        <v>1157</v>
      </c>
      <c r="L347" t="s">
        <v>44</v>
      </c>
      <c r="M347" t="s">
        <v>1158</v>
      </c>
      <c r="N347">
        <v>11362</v>
      </c>
      <c r="O347" t="s">
        <v>45</v>
      </c>
      <c r="P347" t="s">
        <v>54</v>
      </c>
      <c r="Q347" t="s">
        <v>64</v>
      </c>
      <c r="R347">
        <v>0</v>
      </c>
      <c r="S347">
        <v>100</v>
      </c>
      <c r="T347">
        <v>0</v>
      </c>
      <c r="U347">
        <v>0</v>
      </c>
      <c r="V347" t="s">
        <v>1159</v>
      </c>
      <c r="W347">
        <v>36139124</v>
      </c>
      <c r="X347" t="s">
        <v>86</v>
      </c>
      <c r="Y347" t="s">
        <v>1160</v>
      </c>
      <c r="Z347" t="b">
        <v>0</v>
      </c>
      <c r="AA347">
        <v>1510</v>
      </c>
      <c r="AN347" t="e">
        <f>100*(1-E347/AL347)</f>
        <v>#DIV/0!</v>
      </c>
    </row>
    <row r="348" spans="1:40" x14ac:dyDescent="0.3">
      <c r="A348" t="s">
        <v>166</v>
      </c>
      <c r="B348" t="s">
        <v>1161</v>
      </c>
      <c r="C348" t="s">
        <v>1161</v>
      </c>
      <c r="D348" s="4">
        <v>45994</v>
      </c>
      <c r="E348">
        <v>58000</v>
      </c>
      <c r="F348" t="s">
        <v>718</v>
      </c>
      <c r="G348" t="s">
        <v>147</v>
      </c>
      <c r="H348" t="s">
        <v>136</v>
      </c>
      <c r="I348" t="s">
        <v>148</v>
      </c>
      <c r="J348" t="s">
        <v>149</v>
      </c>
      <c r="K348" t="s">
        <v>1162</v>
      </c>
      <c r="L348" t="s">
        <v>44</v>
      </c>
      <c r="M348" t="s">
        <v>1163</v>
      </c>
      <c r="N348">
        <v>41336</v>
      </c>
      <c r="O348" t="s">
        <v>45</v>
      </c>
      <c r="P348" t="s">
        <v>54</v>
      </c>
      <c r="Q348" t="s">
        <v>55</v>
      </c>
      <c r="R348">
        <v>0</v>
      </c>
      <c r="S348">
        <v>72.44</v>
      </c>
      <c r="T348">
        <v>0</v>
      </c>
      <c r="U348">
        <v>0</v>
      </c>
      <c r="V348" t="s">
        <v>1164</v>
      </c>
      <c r="W348">
        <v>39114196</v>
      </c>
      <c r="X348" t="s">
        <v>86</v>
      </c>
      <c r="Y348" t="s">
        <v>1165</v>
      </c>
      <c r="Z348" t="b">
        <v>0</v>
      </c>
      <c r="AA348">
        <v>800.66261733848705</v>
      </c>
      <c r="AN348" t="e">
        <f>100*(1-E348/AL348)</f>
        <v>#DIV/0!</v>
      </c>
    </row>
    <row r="349" spans="1:40" x14ac:dyDescent="0.3">
      <c r="A349" t="s">
        <v>166</v>
      </c>
      <c r="B349" t="s">
        <v>1166</v>
      </c>
      <c r="C349" t="s">
        <v>1166</v>
      </c>
      <c r="D349" s="4">
        <v>45994</v>
      </c>
      <c r="E349">
        <v>64800</v>
      </c>
      <c r="F349" t="s">
        <v>1167</v>
      </c>
      <c r="G349" t="s">
        <v>390</v>
      </c>
      <c r="H349" t="s">
        <v>62</v>
      </c>
      <c r="I349" t="s">
        <v>391</v>
      </c>
      <c r="J349" t="s">
        <v>63</v>
      </c>
      <c r="K349" t="s">
        <v>1168</v>
      </c>
      <c r="L349" t="s">
        <v>44</v>
      </c>
      <c r="M349" t="s">
        <v>1169</v>
      </c>
      <c r="N349">
        <v>56429</v>
      </c>
      <c r="O349" t="s">
        <v>45</v>
      </c>
      <c r="P349" t="s">
        <v>54</v>
      </c>
      <c r="Q349" t="s">
        <v>52</v>
      </c>
      <c r="R349">
        <v>0</v>
      </c>
      <c r="S349">
        <v>80</v>
      </c>
      <c r="T349" t="s">
        <v>161</v>
      </c>
      <c r="U349">
        <v>100</v>
      </c>
      <c r="V349" t="s">
        <v>1170</v>
      </c>
      <c r="W349">
        <v>136068290</v>
      </c>
      <c r="X349" t="s">
        <v>86</v>
      </c>
      <c r="Y349" t="s">
        <v>1171</v>
      </c>
      <c r="Z349" t="b">
        <v>0</v>
      </c>
      <c r="AA349">
        <v>810</v>
      </c>
      <c r="AN349" t="e">
        <f>100*(1-E349/AL349)</f>
        <v>#DIV/0!</v>
      </c>
    </row>
    <row r="350" spans="1:40" x14ac:dyDescent="0.3">
      <c r="A350" t="s">
        <v>59</v>
      </c>
      <c r="B350" t="s">
        <v>1172</v>
      </c>
      <c r="C350" t="s">
        <v>1172</v>
      </c>
      <c r="D350" s="4">
        <v>45994</v>
      </c>
      <c r="E350">
        <v>3000</v>
      </c>
      <c r="F350" t="s">
        <v>1173</v>
      </c>
      <c r="G350" t="s">
        <v>1174</v>
      </c>
      <c r="H350" t="s">
        <v>94</v>
      </c>
      <c r="I350" t="s">
        <v>448</v>
      </c>
      <c r="J350" t="s">
        <v>449</v>
      </c>
      <c r="K350" t="s">
        <v>1175</v>
      </c>
      <c r="L350" t="s">
        <v>80</v>
      </c>
      <c r="M350" t="s">
        <v>1176</v>
      </c>
      <c r="N350">
        <v>74051</v>
      </c>
      <c r="O350" t="s">
        <v>45</v>
      </c>
      <c r="P350" t="s">
        <v>232</v>
      </c>
      <c r="Q350">
        <v>0</v>
      </c>
      <c r="R350">
        <v>0</v>
      </c>
      <c r="S350">
        <v>13</v>
      </c>
      <c r="T350">
        <v>0</v>
      </c>
      <c r="U350">
        <v>0</v>
      </c>
      <c r="V350" t="s">
        <v>1177</v>
      </c>
      <c r="W350">
        <v>62821089</v>
      </c>
      <c r="X350" t="s">
        <v>86</v>
      </c>
      <c r="Y350">
        <v>0</v>
      </c>
      <c r="Z350" t="b">
        <v>0</v>
      </c>
      <c r="AA350">
        <v>230.7692307692308</v>
      </c>
      <c r="AN350" t="e">
        <f>100*(1-E350/AL350)</f>
        <v>#DIV/0!</v>
      </c>
    </row>
    <row r="351" spans="1:40" x14ac:dyDescent="0.3">
      <c r="A351" t="s">
        <v>59</v>
      </c>
      <c r="B351" t="s">
        <v>1172</v>
      </c>
      <c r="C351" t="s">
        <v>1172</v>
      </c>
      <c r="D351" s="4">
        <v>45994</v>
      </c>
      <c r="E351">
        <v>3000</v>
      </c>
      <c r="F351" t="s">
        <v>1173</v>
      </c>
      <c r="G351" t="s">
        <v>1174</v>
      </c>
      <c r="H351" t="s">
        <v>94</v>
      </c>
      <c r="I351" t="s">
        <v>448</v>
      </c>
      <c r="J351" t="s">
        <v>449</v>
      </c>
      <c r="K351" t="s">
        <v>1175</v>
      </c>
      <c r="L351" t="s">
        <v>80</v>
      </c>
      <c r="M351" t="s">
        <v>1176</v>
      </c>
      <c r="N351">
        <v>74051</v>
      </c>
      <c r="O351" t="s">
        <v>45</v>
      </c>
      <c r="P351" t="s">
        <v>232</v>
      </c>
      <c r="Q351">
        <v>0</v>
      </c>
      <c r="R351">
        <v>0</v>
      </c>
      <c r="S351">
        <v>13</v>
      </c>
      <c r="T351">
        <v>0</v>
      </c>
      <c r="U351">
        <v>0</v>
      </c>
      <c r="V351" t="s">
        <v>1177</v>
      </c>
      <c r="W351">
        <v>62821089</v>
      </c>
      <c r="X351" t="s">
        <v>86</v>
      </c>
      <c r="Y351">
        <v>0</v>
      </c>
      <c r="Z351" t="b">
        <v>0</v>
      </c>
      <c r="AA351">
        <v>230.7692307692308</v>
      </c>
      <c r="AN351" t="e">
        <f>100*(1-E351/AL351)</f>
        <v>#DIV/0!</v>
      </c>
    </row>
    <row r="352" spans="1:40" x14ac:dyDescent="0.3">
      <c r="A352" t="s">
        <v>59</v>
      </c>
      <c r="B352" t="s">
        <v>1172</v>
      </c>
      <c r="C352" t="s">
        <v>1172</v>
      </c>
      <c r="D352" s="4">
        <v>45994</v>
      </c>
      <c r="E352">
        <v>3000</v>
      </c>
      <c r="F352" t="s">
        <v>1173</v>
      </c>
      <c r="G352" t="s">
        <v>1174</v>
      </c>
      <c r="H352" t="s">
        <v>94</v>
      </c>
      <c r="I352" t="s">
        <v>448</v>
      </c>
      <c r="J352" t="s">
        <v>449</v>
      </c>
      <c r="K352" t="s">
        <v>1175</v>
      </c>
      <c r="L352" t="s">
        <v>80</v>
      </c>
      <c r="M352" t="s">
        <v>1176</v>
      </c>
      <c r="N352">
        <v>74051</v>
      </c>
      <c r="O352" t="s">
        <v>45</v>
      </c>
      <c r="P352" t="s">
        <v>232</v>
      </c>
      <c r="Q352">
        <v>0</v>
      </c>
      <c r="R352">
        <v>0</v>
      </c>
      <c r="S352">
        <v>13</v>
      </c>
      <c r="T352">
        <v>0</v>
      </c>
      <c r="U352">
        <v>0</v>
      </c>
      <c r="V352" t="s">
        <v>1177</v>
      </c>
      <c r="W352">
        <v>62821089</v>
      </c>
      <c r="X352" t="s">
        <v>86</v>
      </c>
      <c r="Y352">
        <v>0</v>
      </c>
      <c r="Z352" t="b">
        <v>0</v>
      </c>
      <c r="AA352">
        <v>230.7692307692308</v>
      </c>
      <c r="AN352" t="e">
        <f>100*(1-E352/AL352)</f>
        <v>#DIV/0!</v>
      </c>
    </row>
    <row r="353" spans="1:40" x14ac:dyDescent="0.3">
      <c r="A353" t="s">
        <v>166</v>
      </c>
      <c r="B353" t="s">
        <v>1178</v>
      </c>
      <c r="C353" t="s">
        <v>1178</v>
      </c>
      <c r="D353" s="4">
        <v>45994</v>
      </c>
      <c r="E353">
        <v>205000</v>
      </c>
      <c r="F353" t="s">
        <v>1179</v>
      </c>
      <c r="G353" t="s">
        <v>1180</v>
      </c>
      <c r="H353" t="s">
        <v>62</v>
      </c>
      <c r="I353" t="s">
        <v>363</v>
      </c>
      <c r="J353" t="s">
        <v>63</v>
      </c>
      <c r="K353" t="s">
        <v>1181</v>
      </c>
      <c r="L353" t="s">
        <v>44</v>
      </c>
      <c r="M353" t="s">
        <v>1182</v>
      </c>
      <c r="N353">
        <v>54500</v>
      </c>
      <c r="O353" t="s">
        <v>45</v>
      </c>
      <c r="P353" t="s">
        <v>81</v>
      </c>
      <c r="Q353" t="s">
        <v>55</v>
      </c>
      <c r="R353">
        <v>0</v>
      </c>
      <c r="S353">
        <v>235.18</v>
      </c>
      <c r="T353">
        <v>0</v>
      </c>
      <c r="U353">
        <v>0</v>
      </c>
      <c r="V353" t="s">
        <v>1183</v>
      </c>
      <c r="W353">
        <v>103101631</v>
      </c>
      <c r="X353" t="s">
        <v>86</v>
      </c>
      <c r="Y353" t="s">
        <v>1184</v>
      </c>
      <c r="Z353" t="b">
        <v>0</v>
      </c>
      <c r="AA353">
        <v>871.67276128922526</v>
      </c>
      <c r="AN353" t="e">
        <f>100*(1-E353/AL353)</f>
        <v>#DIV/0!</v>
      </c>
    </row>
    <row r="354" spans="1:40" x14ac:dyDescent="0.3">
      <c r="A354" t="s">
        <v>166</v>
      </c>
      <c r="B354" t="s">
        <v>1185</v>
      </c>
      <c r="C354" t="s">
        <v>1185</v>
      </c>
      <c r="D354" s="4">
        <v>45994</v>
      </c>
      <c r="E354">
        <v>58000</v>
      </c>
      <c r="F354" t="s">
        <v>292</v>
      </c>
      <c r="G354" t="s">
        <v>173</v>
      </c>
      <c r="H354" t="s">
        <v>111</v>
      </c>
      <c r="I354" t="s">
        <v>174</v>
      </c>
      <c r="J354" t="s">
        <v>175</v>
      </c>
      <c r="K354" t="s">
        <v>1186</v>
      </c>
      <c r="L354" t="s">
        <v>44</v>
      </c>
      <c r="M354" t="s">
        <v>1187</v>
      </c>
      <c r="N354">
        <v>34100</v>
      </c>
      <c r="O354" t="s">
        <v>50</v>
      </c>
      <c r="P354" t="s">
        <v>51</v>
      </c>
      <c r="Q354">
        <v>0</v>
      </c>
      <c r="R354">
        <v>0</v>
      </c>
      <c r="S354">
        <v>58.25</v>
      </c>
      <c r="T354">
        <v>0</v>
      </c>
      <c r="U354">
        <v>0</v>
      </c>
      <c r="V354" t="s">
        <v>1188</v>
      </c>
      <c r="W354">
        <v>114726810</v>
      </c>
      <c r="X354" t="s">
        <v>86</v>
      </c>
      <c r="Y354" t="s">
        <v>1189</v>
      </c>
      <c r="Z354" t="b">
        <v>0</v>
      </c>
      <c r="AA354">
        <v>995.70815450643772</v>
      </c>
      <c r="AN354" t="e">
        <f>100*(1-E354/AL354)</f>
        <v>#DIV/0!</v>
      </c>
    </row>
    <row r="355" spans="1:40" x14ac:dyDescent="0.3">
      <c r="A355" t="s">
        <v>166</v>
      </c>
      <c r="B355" t="s">
        <v>1185</v>
      </c>
      <c r="C355" t="s">
        <v>1185</v>
      </c>
      <c r="D355" s="4">
        <v>45994</v>
      </c>
      <c r="E355">
        <v>58000</v>
      </c>
      <c r="F355" t="s">
        <v>292</v>
      </c>
      <c r="G355" t="s">
        <v>173</v>
      </c>
      <c r="H355" t="s">
        <v>111</v>
      </c>
      <c r="I355" t="s">
        <v>174</v>
      </c>
      <c r="J355" t="s">
        <v>175</v>
      </c>
      <c r="K355" t="s">
        <v>1186</v>
      </c>
      <c r="L355" t="s">
        <v>44</v>
      </c>
      <c r="M355" t="s">
        <v>1187</v>
      </c>
      <c r="N355">
        <v>34100</v>
      </c>
      <c r="O355" t="s">
        <v>50</v>
      </c>
      <c r="P355" t="s">
        <v>51</v>
      </c>
      <c r="Q355">
        <v>0</v>
      </c>
      <c r="R355">
        <v>0</v>
      </c>
      <c r="S355">
        <v>58.25</v>
      </c>
      <c r="T355">
        <v>0</v>
      </c>
      <c r="U355">
        <v>0</v>
      </c>
      <c r="V355" t="s">
        <v>1188</v>
      </c>
      <c r="W355">
        <v>114726810</v>
      </c>
      <c r="X355" t="s">
        <v>86</v>
      </c>
      <c r="Y355" t="s">
        <v>1189</v>
      </c>
      <c r="Z355" t="b">
        <v>0</v>
      </c>
      <c r="AA355">
        <v>995.70815450643772</v>
      </c>
      <c r="AN355" t="e">
        <f>100*(1-E355/AL355)</f>
        <v>#DIV/0!</v>
      </c>
    </row>
    <row r="356" spans="1:40" x14ac:dyDescent="0.3">
      <c r="A356" t="s">
        <v>278</v>
      </c>
      <c r="B356" t="s">
        <v>1150</v>
      </c>
      <c r="C356" t="s">
        <v>1150</v>
      </c>
      <c r="D356" s="4">
        <v>45994</v>
      </c>
      <c r="E356">
        <v>7000</v>
      </c>
      <c r="F356" t="s">
        <v>1151</v>
      </c>
      <c r="G356" t="s">
        <v>115</v>
      </c>
      <c r="H356" t="s">
        <v>67</v>
      </c>
      <c r="I356" t="s">
        <v>116</v>
      </c>
      <c r="J356" t="s">
        <v>67</v>
      </c>
      <c r="K356" t="s">
        <v>1152</v>
      </c>
      <c r="L356" t="s">
        <v>44</v>
      </c>
      <c r="M356" t="s">
        <v>1153</v>
      </c>
      <c r="N356">
        <v>11521</v>
      </c>
      <c r="O356" t="s">
        <v>50</v>
      </c>
      <c r="P356" t="s">
        <v>46</v>
      </c>
      <c r="Q356">
        <v>0</v>
      </c>
      <c r="R356">
        <v>0</v>
      </c>
      <c r="S356">
        <v>25</v>
      </c>
      <c r="T356" t="s">
        <v>48</v>
      </c>
      <c r="U356">
        <v>50</v>
      </c>
      <c r="V356" t="s">
        <v>1154</v>
      </c>
      <c r="W356">
        <v>15156722</v>
      </c>
      <c r="X356" t="s">
        <v>86</v>
      </c>
      <c r="Y356" t="s">
        <v>1155</v>
      </c>
      <c r="Z356" t="b">
        <v>0</v>
      </c>
      <c r="AA356">
        <v>280</v>
      </c>
      <c r="AN356" t="e">
        <f>100*(1-E356/AL356)</f>
        <v>#DIV/0!</v>
      </c>
    </row>
    <row r="357" spans="1:40" x14ac:dyDescent="0.3">
      <c r="A357" t="s">
        <v>278</v>
      </c>
      <c r="B357" t="s">
        <v>1150</v>
      </c>
      <c r="C357" t="s">
        <v>1150</v>
      </c>
      <c r="D357" s="4">
        <v>45994</v>
      </c>
      <c r="E357">
        <v>7000</v>
      </c>
      <c r="F357" t="s">
        <v>1151</v>
      </c>
      <c r="G357" t="s">
        <v>115</v>
      </c>
      <c r="H357" t="s">
        <v>67</v>
      </c>
      <c r="I357" t="s">
        <v>116</v>
      </c>
      <c r="J357" t="s">
        <v>67</v>
      </c>
      <c r="K357" t="s">
        <v>1152</v>
      </c>
      <c r="L357" t="s">
        <v>44</v>
      </c>
      <c r="M357" t="s">
        <v>1153</v>
      </c>
      <c r="N357">
        <v>11521</v>
      </c>
      <c r="O357" t="s">
        <v>50</v>
      </c>
      <c r="P357" t="s">
        <v>46</v>
      </c>
      <c r="Q357">
        <v>0</v>
      </c>
      <c r="R357">
        <v>0</v>
      </c>
      <c r="S357">
        <v>25</v>
      </c>
      <c r="T357" t="s">
        <v>48</v>
      </c>
      <c r="U357">
        <v>50</v>
      </c>
      <c r="V357" t="s">
        <v>1154</v>
      </c>
      <c r="W357">
        <v>15156722</v>
      </c>
      <c r="X357" t="s">
        <v>86</v>
      </c>
      <c r="Y357" t="s">
        <v>1155</v>
      </c>
      <c r="Z357" t="b">
        <v>0</v>
      </c>
      <c r="AA357">
        <v>280</v>
      </c>
      <c r="AN357" t="e">
        <f>100*(1-E357/AL357)</f>
        <v>#DIV/0!</v>
      </c>
    </row>
    <row r="358" spans="1:40" x14ac:dyDescent="0.3">
      <c r="A358" t="s">
        <v>278</v>
      </c>
      <c r="B358" t="s">
        <v>1150</v>
      </c>
      <c r="C358" t="s">
        <v>1150</v>
      </c>
      <c r="D358" s="4">
        <v>45994</v>
      </c>
      <c r="E358">
        <v>7000</v>
      </c>
      <c r="F358" t="s">
        <v>1151</v>
      </c>
      <c r="G358" t="s">
        <v>115</v>
      </c>
      <c r="H358" t="s">
        <v>67</v>
      </c>
      <c r="I358" t="s">
        <v>116</v>
      </c>
      <c r="J358" t="s">
        <v>67</v>
      </c>
      <c r="K358" t="s">
        <v>1152</v>
      </c>
      <c r="L358" t="s">
        <v>44</v>
      </c>
      <c r="M358" t="s">
        <v>1153</v>
      </c>
      <c r="N358">
        <v>11521</v>
      </c>
      <c r="O358" t="s">
        <v>50</v>
      </c>
      <c r="P358" t="s">
        <v>46</v>
      </c>
      <c r="Q358">
        <v>0</v>
      </c>
      <c r="R358">
        <v>0</v>
      </c>
      <c r="S358">
        <v>25</v>
      </c>
      <c r="T358" t="s">
        <v>48</v>
      </c>
      <c r="U358">
        <v>50</v>
      </c>
      <c r="V358" t="s">
        <v>1154</v>
      </c>
      <c r="W358">
        <v>15156722</v>
      </c>
      <c r="X358" t="s">
        <v>86</v>
      </c>
      <c r="Y358" t="s">
        <v>1155</v>
      </c>
      <c r="Z358" t="b">
        <v>0</v>
      </c>
      <c r="AA358">
        <v>280</v>
      </c>
      <c r="AN358" t="e">
        <f>100*(1-E358/AL358)</f>
        <v>#DIV/0!</v>
      </c>
    </row>
    <row r="359" spans="1:40" x14ac:dyDescent="0.3">
      <c r="A359" t="s">
        <v>278</v>
      </c>
      <c r="B359" t="s">
        <v>1150</v>
      </c>
      <c r="C359" t="s">
        <v>1150</v>
      </c>
      <c r="D359" s="4">
        <v>45994</v>
      </c>
      <c r="E359">
        <v>7000</v>
      </c>
      <c r="F359" t="s">
        <v>1151</v>
      </c>
      <c r="G359" t="s">
        <v>115</v>
      </c>
      <c r="H359" t="s">
        <v>67</v>
      </c>
      <c r="I359" t="s">
        <v>116</v>
      </c>
      <c r="J359" t="s">
        <v>67</v>
      </c>
      <c r="K359" t="s">
        <v>1152</v>
      </c>
      <c r="L359" t="s">
        <v>44</v>
      </c>
      <c r="M359" t="s">
        <v>1153</v>
      </c>
      <c r="N359">
        <v>11521</v>
      </c>
      <c r="O359" t="s">
        <v>50</v>
      </c>
      <c r="P359" t="s">
        <v>46</v>
      </c>
      <c r="Q359">
        <v>0</v>
      </c>
      <c r="R359">
        <v>0</v>
      </c>
      <c r="S359">
        <v>25</v>
      </c>
      <c r="T359" t="s">
        <v>48</v>
      </c>
      <c r="U359">
        <v>50</v>
      </c>
      <c r="V359" t="s">
        <v>1154</v>
      </c>
      <c r="W359">
        <v>15156722</v>
      </c>
      <c r="X359" t="s">
        <v>86</v>
      </c>
      <c r="Y359" t="s">
        <v>1155</v>
      </c>
      <c r="Z359" t="b">
        <v>0</v>
      </c>
      <c r="AA359">
        <v>280</v>
      </c>
      <c r="AN359" t="e">
        <f>100*(1-E359/AL359)</f>
        <v>#DIV/0!</v>
      </c>
    </row>
    <row r="360" spans="1:40" x14ac:dyDescent="0.3">
      <c r="A360" t="s">
        <v>278</v>
      </c>
      <c r="B360" t="s">
        <v>1150</v>
      </c>
      <c r="C360" t="s">
        <v>1150</v>
      </c>
      <c r="D360" s="4">
        <v>45994</v>
      </c>
      <c r="E360">
        <v>7000</v>
      </c>
      <c r="F360" t="s">
        <v>1151</v>
      </c>
      <c r="G360" t="s">
        <v>115</v>
      </c>
      <c r="H360" t="s">
        <v>67</v>
      </c>
      <c r="I360" t="s">
        <v>116</v>
      </c>
      <c r="J360" t="s">
        <v>67</v>
      </c>
      <c r="K360" t="s">
        <v>1152</v>
      </c>
      <c r="L360" t="s">
        <v>44</v>
      </c>
      <c r="M360" t="s">
        <v>1153</v>
      </c>
      <c r="N360">
        <v>11521</v>
      </c>
      <c r="O360" t="s">
        <v>50</v>
      </c>
      <c r="P360" t="s">
        <v>46</v>
      </c>
      <c r="Q360">
        <v>0</v>
      </c>
      <c r="R360">
        <v>0</v>
      </c>
      <c r="S360">
        <v>25</v>
      </c>
      <c r="T360" t="s">
        <v>48</v>
      </c>
      <c r="U360">
        <v>50</v>
      </c>
      <c r="V360" t="s">
        <v>1154</v>
      </c>
      <c r="W360">
        <v>15156722</v>
      </c>
      <c r="X360" t="s">
        <v>86</v>
      </c>
      <c r="Y360" t="s">
        <v>1155</v>
      </c>
      <c r="Z360" t="b">
        <v>0</v>
      </c>
      <c r="AA360">
        <v>280</v>
      </c>
      <c r="AN360" t="e">
        <f>100*(1-E360/AL360)</f>
        <v>#DIV/0!</v>
      </c>
    </row>
    <row r="361" spans="1:40" x14ac:dyDescent="0.3">
      <c r="A361" t="s">
        <v>278</v>
      </c>
      <c r="B361" t="s">
        <v>1150</v>
      </c>
      <c r="C361" t="s">
        <v>1150</v>
      </c>
      <c r="D361" s="4">
        <v>45994</v>
      </c>
      <c r="E361">
        <v>7000</v>
      </c>
      <c r="F361" t="s">
        <v>1151</v>
      </c>
      <c r="G361" t="s">
        <v>115</v>
      </c>
      <c r="H361" t="s">
        <v>67</v>
      </c>
      <c r="I361" t="s">
        <v>116</v>
      </c>
      <c r="J361" t="s">
        <v>67</v>
      </c>
      <c r="K361" t="s">
        <v>1152</v>
      </c>
      <c r="L361" t="s">
        <v>44</v>
      </c>
      <c r="M361" t="s">
        <v>1153</v>
      </c>
      <c r="N361">
        <v>11521</v>
      </c>
      <c r="O361" t="s">
        <v>50</v>
      </c>
      <c r="P361" t="s">
        <v>46</v>
      </c>
      <c r="Q361">
        <v>0</v>
      </c>
      <c r="R361">
        <v>0</v>
      </c>
      <c r="S361">
        <v>25</v>
      </c>
      <c r="T361" t="s">
        <v>48</v>
      </c>
      <c r="U361">
        <v>50</v>
      </c>
      <c r="V361" t="s">
        <v>1154</v>
      </c>
      <c r="W361">
        <v>15156722</v>
      </c>
      <c r="X361" t="s">
        <v>86</v>
      </c>
      <c r="Y361" t="s">
        <v>1155</v>
      </c>
      <c r="Z361" t="b">
        <v>0</v>
      </c>
      <c r="AA361">
        <v>280</v>
      </c>
      <c r="AN361" t="e">
        <f>100*(1-E361/AL361)</f>
        <v>#DIV/0!</v>
      </c>
    </row>
    <row r="362" spans="1:40" x14ac:dyDescent="0.3">
      <c r="A362" t="s">
        <v>39</v>
      </c>
      <c r="B362" t="s">
        <v>1190</v>
      </c>
      <c r="C362" t="s">
        <v>1190</v>
      </c>
      <c r="D362" s="4">
        <v>45994</v>
      </c>
      <c r="E362">
        <v>18000</v>
      </c>
      <c r="F362" t="s">
        <v>1191</v>
      </c>
      <c r="G362" t="s">
        <v>1192</v>
      </c>
      <c r="H362" t="s">
        <v>152</v>
      </c>
      <c r="I362" t="s">
        <v>1193</v>
      </c>
      <c r="J362" t="s">
        <v>610</v>
      </c>
      <c r="K362" t="s">
        <v>1194</v>
      </c>
      <c r="L362" t="s">
        <v>44</v>
      </c>
      <c r="M362" t="s">
        <v>128</v>
      </c>
      <c r="N362">
        <v>22200</v>
      </c>
      <c r="O362" t="s">
        <v>97</v>
      </c>
      <c r="P362" t="s">
        <v>98</v>
      </c>
      <c r="Q362">
        <v>0</v>
      </c>
      <c r="R362">
        <v>0</v>
      </c>
      <c r="S362">
        <v>401.25</v>
      </c>
      <c r="T362">
        <v>0</v>
      </c>
      <c r="U362">
        <v>0</v>
      </c>
      <c r="V362" t="s">
        <v>1195</v>
      </c>
      <c r="W362" t="s">
        <v>1196</v>
      </c>
      <c r="X362" t="s">
        <v>86</v>
      </c>
      <c r="Y362" t="s">
        <v>1197</v>
      </c>
      <c r="Z362" t="b">
        <v>0</v>
      </c>
      <c r="AA362">
        <v>44.859813084112147</v>
      </c>
      <c r="AN362" t="e">
        <f>100*(1-E362/AL362)</f>
        <v>#DIV/0!</v>
      </c>
    </row>
    <row r="363" spans="1:40" x14ac:dyDescent="0.3">
      <c r="A363" t="s">
        <v>59</v>
      </c>
      <c r="B363" t="s">
        <v>1198</v>
      </c>
      <c r="C363" t="s">
        <v>1198</v>
      </c>
      <c r="D363" s="4">
        <v>45994</v>
      </c>
      <c r="E363">
        <v>213000</v>
      </c>
      <c r="F363" t="s">
        <v>1199</v>
      </c>
      <c r="G363" t="s">
        <v>453</v>
      </c>
      <c r="H363" t="s">
        <v>152</v>
      </c>
      <c r="I363" t="s">
        <v>423</v>
      </c>
      <c r="J363" t="s">
        <v>221</v>
      </c>
      <c r="K363" t="s">
        <v>1200</v>
      </c>
      <c r="L363" t="s">
        <v>44</v>
      </c>
      <c r="M363" t="s">
        <v>1201</v>
      </c>
      <c r="N363">
        <v>20400</v>
      </c>
      <c r="O363" t="s">
        <v>45</v>
      </c>
      <c r="P363" t="s">
        <v>54</v>
      </c>
      <c r="Q363" t="s">
        <v>55</v>
      </c>
      <c r="R363">
        <v>0</v>
      </c>
      <c r="S363">
        <v>160.30000000000001</v>
      </c>
      <c r="T363">
        <v>0</v>
      </c>
      <c r="U363">
        <v>0</v>
      </c>
      <c r="V363" t="s">
        <v>1202</v>
      </c>
      <c r="W363" t="s">
        <v>1203</v>
      </c>
      <c r="X363" t="s">
        <v>86</v>
      </c>
      <c r="Y363" t="s">
        <v>1204</v>
      </c>
      <c r="Z363" t="b">
        <v>0</v>
      </c>
      <c r="AA363">
        <v>1328.758577666875</v>
      </c>
      <c r="AN363" t="e">
        <f>100*(1-E363/AL363)</f>
        <v>#DIV/0!</v>
      </c>
    </row>
    <row r="364" spans="1:40" x14ac:dyDescent="0.3">
      <c r="A364" t="s">
        <v>278</v>
      </c>
      <c r="B364" t="s">
        <v>1150</v>
      </c>
      <c r="C364" t="s">
        <v>1150</v>
      </c>
      <c r="D364" s="4">
        <v>45994</v>
      </c>
      <c r="E364">
        <v>7000</v>
      </c>
      <c r="F364" t="s">
        <v>1151</v>
      </c>
      <c r="G364" t="s">
        <v>115</v>
      </c>
      <c r="H364" t="s">
        <v>67</v>
      </c>
      <c r="I364" t="s">
        <v>116</v>
      </c>
      <c r="J364" t="s">
        <v>67</v>
      </c>
      <c r="K364" t="s">
        <v>1152</v>
      </c>
      <c r="L364" t="s">
        <v>44</v>
      </c>
      <c r="M364" t="s">
        <v>1153</v>
      </c>
      <c r="N364">
        <v>11521</v>
      </c>
      <c r="O364" t="s">
        <v>50</v>
      </c>
      <c r="P364" t="s">
        <v>46</v>
      </c>
      <c r="Q364">
        <v>0</v>
      </c>
      <c r="R364">
        <v>0</v>
      </c>
      <c r="S364">
        <v>25</v>
      </c>
      <c r="T364" t="s">
        <v>48</v>
      </c>
      <c r="U364">
        <v>50</v>
      </c>
      <c r="V364" t="s">
        <v>1154</v>
      </c>
      <c r="W364">
        <v>15156722</v>
      </c>
      <c r="X364" t="s">
        <v>86</v>
      </c>
      <c r="Y364" t="s">
        <v>1155</v>
      </c>
      <c r="Z364" t="b">
        <v>0</v>
      </c>
      <c r="AA364">
        <v>280</v>
      </c>
      <c r="AN364" t="e">
        <f>100*(1-E364/AL364)</f>
        <v>#DIV/0!</v>
      </c>
    </row>
    <row r="365" spans="1:40" x14ac:dyDescent="0.3">
      <c r="A365" t="s">
        <v>59</v>
      </c>
      <c r="B365" t="s">
        <v>1198</v>
      </c>
      <c r="C365" t="s">
        <v>1198</v>
      </c>
      <c r="D365" s="4">
        <v>45994</v>
      </c>
      <c r="E365">
        <v>213000</v>
      </c>
      <c r="F365" t="s">
        <v>1199</v>
      </c>
      <c r="G365" t="s">
        <v>453</v>
      </c>
      <c r="H365" t="s">
        <v>152</v>
      </c>
      <c r="I365" t="s">
        <v>423</v>
      </c>
      <c r="J365" t="s">
        <v>221</v>
      </c>
      <c r="K365" t="s">
        <v>1200</v>
      </c>
      <c r="L365" t="s">
        <v>44</v>
      </c>
      <c r="M365" t="s">
        <v>1201</v>
      </c>
      <c r="N365">
        <v>20400</v>
      </c>
      <c r="O365" t="s">
        <v>45</v>
      </c>
      <c r="P365" t="s">
        <v>54</v>
      </c>
      <c r="Q365" t="s">
        <v>55</v>
      </c>
      <c r="R365">
        <v>0</v>
      </c>
      <c r="S365">
        <v>160.30000000000001</v>
      </c>
      <c r="T365">
        <v>0</v>
      </c>
      <c r="U365">
        <v>0</v>
      </c>
      <c r="V365" t="s">
        <v>1202</v>
      </c>
      <c r="W365" t="s">
        <v>1203</v>
      </c>
      <c r="X365" t="s">
        <v>86</v>
      </c>
      <c r="Y365" t="s">
        <v>1204</v>
      </c>
      <c r="Z365" t="b">
        <v>0</v>
      </c>
      <c r="AA365">
        <v>1328.758577666875</v>
      </c>
      <c r="AN365" t="e">
        <f>100*(1-E365/AL365)</f>
        <v>#DIV/0!</v>
      </c>
    </row>
    <row r="366" spans="1:40" x14ac:dyDescent="0.3">
      <c r="A366" t="s">
        <v>39</v>
      </c>
      <c r="B366" t="s">
        <v>1190</v>
      </c>
      <c r="C366" t="s">
        <v>1190</v>
      </c>
      <c r="D366" s="4">
        <v>45994</v>
      </c>
      <c r="E366">
        <v>18000</v>
      </c>
      <c r="F366" t="s">
        <v>1191</v>
      </c>
      <c r="G366" t="s">
        <v>1192</v>
      </c>
      <c r="H366" t="s">
        <v>152</v>
      </c>
      <c r="I366" t="s">
        <v>1193</v>
      </c>
      <c r="J366" t="s">
        <v>610</v>
      </c>
      <c r="K366" t="s">
        <v>1194</v>
      </c>
      <c r="L366" t="s">
        <v>44</v>
      </c>
      <c r="M366" t="s">
        <v>128</v>
      </c>
      <c r="N366">
        <v>22200</v>
      </c>
      <c r="O366" t="s">
        <v>97</v>
      </c>
      <c r="P366" t="s">
        <v>98</v>
      </c>
      <c r="Q366">
        <v>0</v>
      </c>
      <c r="R366">
        <v>0</v>
      </c>
      <c r="S366">
        <v>401.25</v>
      </c>
      <c r="T366">
        <v>0</v>
      </c>
      <c r="U366">
        <v>0</v>
      </c>
      <c r="V366" t="s">
        <v>1195</v>
      </c>
      <c r="W366" t="s">
        <v>1196</v>
      </c>
      <c r="X366" t="s">
        <v>86</v>
      </c>
      <c r="Y366" t="s">
        <v>1197</v>
      </c>
      <c r="Z366" t="b">
        <v>0</v>
      </c>
      <c r="AA366">
        <v>44.859813084112147</v>
      </c>
      <c r="AN366" t="e">
        <f>100*(1-E366/AL366)</f>
        <v>#DIV/0!</v>
      </c>
    </row>
    <row r="367" spans="1:40" x14ac:dyDescent="0.3">
      <c r="A367" t="s">
        <v>39</v>
      </c>
      <c r="B367" t="s">
        <v>1190</v>
      </c>
      <c r="C367" t="s">
        <v>1190</v>
      </c>
      <c r="D367" s="4">
        <v>45994</v>
      </c>
      <c r="E367">
        <v>18000</v>
      </c>
      <c r="F367" t="s">
        <v>1191</v>
      </c>
      <c r="G367" t="s">
        <v>1192</v>
      </c>
      <c r="H367" t="s">
        <v>152</v>
      </c>
      <c r="I367" t="s">
        <v>1193</v>
      </c>
      <c r="J367" t="s">
        <v>610</v>
      </c>
      <c r="K367" t="s">
        <v>1194</v>
      </c>
      <c r="L367" t="s">
        <v>44</v>
      </c>
      <c r="M367" t="s">
        <v>128</v>
      </c>
      <c r="N367">
        <v>22200</v>
      </c>
      <c r="O367" t="s">
        <v>97</v>
      </c>
      <c r="P367" t="s">
        <v>98</v>
      </c>
      <c r="Q367">
        <v>0</v>
      </c>
      <c r="R367">
        <v>0</v>
      </c>
      <c r="S367">
        <v>401.25</v>
      </c>
      <c r="T367">
        <v>0</v>
      </c>
      <c r="U367">
        <v>0</v>
      </c>
      <c r="V367" t="s">
        <v>1195</v>
      </c>
      <c r="W367" t="s">
        <v>1196</v>
      </c>
      <c r="X367" t="s">
        <v>86</v>
      </c>
      <c r="Y367" t="s">
        <v>1197</v>
      </c>
      <c r="Z367" t="b">
        <v>0</v>
      </c>
      <c r="AA367">
        <v>44.859813084112147</v>
      </c>
      <c r="AN367" t="e">
        <f>100*(1-E367/AL367)</f>
        <v>#DIV/0!</v>
      </c>
    </row>
    <row r="368" spans="1:40" x14ac:dyDescent="0.3">
      <c r="A368" t="s">
        <v>71</v>
      </c>
      <c r="B368" t="s">
        <v>1205</v>
      </c>
      <c r="C368" t="s">
        <v>1205</v>
      </c>
      <c r="D368" s="4">
        <v>45994</v>
      </c>
      <c r="E368">
        <v>81000</v>
      </c>
      <c r="F368" t="s">
        <v>1206</v>
      </c>
      <c r="G368" t="s">
        <v>254</v>
      </c>
      <c r="H368" t="s">
        <v>124</v>
      </c>
      <c r="I368" t="s">
        <v>255</v>
      </c>
      <c r="J368" t="s">
        <v>256</v>
      </c>
      <c r="K368" t="s">
        <v>1207</v>
      </c>
      <c r="L368" t="s">
        <v>44</v>
      </c>
      <c r="M368" t="s">
        <v>1208</v>
      </c>
      <c r="N368">
        <v>30131</v>
      </c>
      <c r="O368" t="s">
        <v>45</v>
      </c>
      <c r="P368" t="s">
        <v>182</v>
      </c>
      <c r="Q368" t="s">
        <v>55</v>
      </c>
      <c r="R368">
        <v>0</v>
      </c>
      <c r="S368">
        <v>89.18</v>
      </c>
      <c r="T368">
        <v>0</v>
      </c>
      <c r="U368">
        <v>0</v>
      </c>
      <c r="V368" t="s">
        <v>1209</v>
      </c>
      <c r="W368">
        <v>32977491</v>
      </c>
      <c r="X368" t="s">
        <v>86</v>
      </c>
      <c r="Y368" t="s">
        <v>1210</v>
      </c>
      <c r="Z368" t="b">
        <v>0</v>
      </c>
      <c r="AA368">
        <v>908.27539807131632</v>
      </c>
      <c r="AN368" t="e">
        <f>100*(1-E368/AL368)</f>
        <v>#DIV/0!</v>
      </c>
    </row>
    <row r="369" spans="1:40" x14ac:dyDescent="0.3">
      <c r="A369" t="s">
        <v>39</v>
      </c>
      <c r="B369" t="s">
        <v>1190</v>
      </c>
      <c r="C369" t="s">
        <v>1190</v>
      </c>
      <c r="D369" s="4">
        <v>45994</v>
      </c>
      <c r="E369">
        <v>18000</v>
      </c>
      <c r="F369" t="s">
        <v>1191</v>
      </c>
      <c r="G369" t="s">
        <v>1192</v>
      </c>
      <c r="H369" t="s">
        <v>152</v>
      </c>
      <c r="I369" t="s">
        <v>1193</v>
      </c>
      <c r="J369" t="s">
        <v>610</v>
      </c>
      <c r="K369" t="s">
        <v>1194</v>
      </c>
      <c r="L369" t="s">
        <v>44</v>
      </c>
      <c r="M369" t="s">
        <v>128</v>
      </c>
      <c r="N369">
        <v>22200</v>
      </c>
      <c r="O369" t="s">
        <v>97</v>
      </c>
      <c r="P369" t="s">
        <v>98</v>
      </c>
      <c r="Q369">
        <v>0</v>
      </c>
      <c r="R369">
        <v>0</v>
      </c>
      <c r="S369">
        <v>401.25</v>
      </c>
      <c r="T369">
        <v>0</v>
      </c>
      <c r="U369">
        <v>0</v>
      </c>
      <c r="V369" t="s">
        <v>1195</v>
      </c>
      <c r="W369" t="s">
        <v>1196</v>
      </c>
      <c r="X369" t="s">
        <v>86</v>
      </c>
      <c r="Y369" t="s">
        <v>1197</v>
      </c>
      <c r="Z369" t="b">
        <v>0</v>
      </c>
      <c r="AA369">
        <v>44.859813084112147</v>
      </c>
      <c r="AN369" t="e">
        <f>100*(1-E369/AL369)</f>
        <v>#DIV/0!</v>
      </c>
    </row>
    <row r="370" spans="1:40" x14ac:dyDescent="0.3">
      <c r="A370" t="s">
        <v>39</v>
      </c>
      <c r="B370" t="s">
        <v>1190</v>
      </c>
      <c r="C370" t="s">
        <v>1190</v>
      </c>
      <c r="D370" s="4">
        <v>45994</v>
      </c>
      <c r="E370">
        <v>18000</v>
      </c>
      <c r="F370" t="s">
        <v>1191</v>
      </c>
      <c r="G370" t="s">
        <v>1192</v>
      </c>
      <c r="H370" t="s">
        <v>152</v>
      </c>
      <c r="I370" t="s">
        <v>1193</v>
      </c>
      <c r="J370" t="s">
        <v>610</v>
      </c>
      <c r="K370" t="s">
        <v>1194</v>
      </c>
      <c r="L370" t="s">
        <v>44</v>
      </c>
      <c r="M370" t="s">
        <v>128</v>
      </c>
      <c r="N370">
        <v>22200</v>
      </c>
      <c r="O370" t="s">
        <v>97</v>
      </c>
      <c r="P370" t="s">
        <v>98</v>
      </c>
      <c r="Q370">
        <v>0</v>
      </c>
      <c r="R370">
        <v>0</v>
      </c>
      <c r="S370">
        <v>401.25</v>
      </c>
      <c r="T370">
        <v>0</v>
      </c>
      <c r="U370">
        <v>0</v>
      </c>
      <c r="V370" t="s">
        <v>1195</v>
      </c>
      <c r="W370" t="s">
        <v>1196</v>
      </c>
      <c r="X370" t="s">
        <v>86</v>
      </c>
      <c r="Y370" t="s">
        <v>1197</v>
      </c>
      <c r="Z370" t="b">
        <v>0</v>
      </c>
      <c r="AA370">
        <v>44.859813084112147</v>
      </c>
      <c r="AN370" t="e">
        <f>100*(1-E370/AL370)</f>
        <v>#DIV/0!</v>
      </c>
    </row>
    <row r="371" spans="1:40" x14ac:dyDescent="0.3">
      <c r="A371" t="s">
        <v>39</v>
      </c>
      <c r="B371" t="s">
        <v>1190</v>
      </c>
      <c r="C371" t="s">
        <v>1190</v>
      </c>
      <c r="D371" s="4">
        <v>45994</v>
      </c>
      <c r="E371">
        <v>18000</v>
      </c>
      <c r="F371" t="s">
        <v>1191</v>
      </c>
      <c r="G371" t="s">
        <v>1192</v>
      </c>
      <c r="H371" t="s">
        <v>152</v>
      </c>
      <c r="I371" t="s">
        <v>1193</v>
      </c>
      <c r="J371" t="s">
        <v>610</v>
      </c>
      <c r="K371" t="s">
        <v>1194</v>
      </c>
      <c r="L371" t="s">
        <v>44</v>
      </c>
      <c r="M371" t="s">
        <v>128</v>
      </c>
      <c r="N371">
        <v>22200</v>
      </c>
      <c r="O371" t="s">
        <v>97</v>
      </c>
      <c r="P371" t="s">
        <v>98</v>
      </c>
      <c r="Q371">
        <v>0</v>
      </c>
      <c r="R371">
        <v>0</v>
      </c>
      <c r="S371">
        <v>401.25</v>
      </c>
      <c r="T371">
        <v>0</v>
      </c>
      <c r="U371">
        <v>0</v>
      </c>
      <c r="V371" t="s">
        <v>1195</v>
      </c>
      <c r="W371" t="s">
        <v>1196</v>
      </c>
      <c r="X371" t="s">
        <v>86</v>
      </c>
      <c r="Y371" t="s">
        <v>1197</v>
      </c>
      <c r="Z371" t="b">
        <v>0</v>
      </c>
      <c r="AA371">
        <v>44.859813084112147</v>
      </c>
      <c r="AN371" t="e">
        <f>100*(1-E371/AL371)</f>
        <v>#DIV/0!</v>
      </c>
    </row>
    <row r="372" spans="1:40" x14ac:dyDescent="0.3">
      <c r="A372" t="s">
        <v>59</v>
      </c>
      <c r="B372" t="s">
        <v>1211</v>
      </c>
      <c r="C372" t="s">
        <v>1211</v>
      </c>
      <c r="D372" s="4">
        <v>45994</v>
      </c>
      <c r="E372">
        <v>79000</v>
      </c>
      <c r="F372" t="s">
        <v>1212</v>
      </c>
      <c r="G372" t="s">
        <v>121</v>
      </c>
      <c r="H372" t="s">
        <v>67</v>
      </c>
      <c r="I372" t="s">
        <v>122</v>
      </c>
      <c r="J372" t="s">
        <v>67</v>
      </c>
      <c r="K372" t="s">
        <v>1213</v>
      </c>
      <c r="L372" t="s">
        <v>44</v>
      </c>
      <c r="M372" t="s">
        <v>1214</v>
      </c>
      <c r="N372">
        <v>19100</v>
      </c>
      <c r="O372" t="s">
        <v>45</v>
      </c>
      <c r="P372" t="s">
        <v>54</v>
      </c>
      <c r="Q372" t="s">
        <v>55</v>
      </c>
      <c r="R372">
        <v>0</v>
      </c>
      <c r="S372">
        <v>192.37</v>
      </c>
      <c r="T372">
        <v>0</v>
      </c>
      <c r="U372">
        <v>0</v>
      </c>
      <c r="V372" t="s">
        <v>1215</v>
      </c>
      <c r="W372">
        <v>40234634</v>
      </c>
      <c r="X372" t="s">
        <v>86</v>
      </c>
      <c r="Y372" t="s">
        <v>1216</v>
      </c>
      <c r="Z372" t="b">
        <v>0</v>
      </c>
      <c r="AA372">
        <v>410.66694391017307</v>
      </c>
      <c r="AN372" t="e">
        <f>100*(1-E372/AL372)</f>
        <v>#DIV/0!</v>
      </c>
    </row>
    <row r="373" spans="1:40" x14ac:dyDescent="0.3">
      <c r="A373" t="s">
        <v>278</v>
      </c>
      <c r="B373" t="s">
        <v>1150</v>
      </c>
      <c r="C373" t="s">
        <v>1150</v>
      </c>
      <c r="D373" s="4">
        <v>45994</v>
      </c>
      <c r="E373">
        <v>7000</v>
      </c>
      <c r="F373" t="s">
        <v>1151</v>
      </c>
      <c r="G373" t="s">
        <v>115</v>
      </c>
      <c r="H373" t="s">
        <v>67</v>
      </c>
      <c r="I373" t="s">
        <v>116</v>
      </c>
      <c r="J373" t="s">
        <v>67</v>
      </c>
      <c r="K373" t="s">
        <v>1152</v>
      </c>
      <c r="L373" t="s">
        <v>44</v>
      </c>
      <c r="M373" t="s">
        <v>1153</v>
      </c>
      <c r="N373">
        <v>11521</v>
      </c>
      <c r="O373" t="s">
        <v>50</v>
      </c>
      <c r="P373" t="s">
        <v>46</v>
      </c>
      <c r="Q373">
        <v>0</v>
      </c>
      <c r="R373">
        <v>0</v>
      </c>
      <c r="S373">
        <v>25</v>
      </c>
      <c r="T373" t="s">
        <v>48</v>
      </c>
      <c r="U373">
        <v>50</v>
      </c>
      <c r="V373" t="s">
        <v>1154</v>
      </c>
      <c r="W373">
        <v>15156722</v>
      </c>
      <c r="X373" t="s">
        <v>86</v>
      </c>
      <c r="Y373" t="s">
        <v>1155</v>
      </c>
      <c r="Z373" t="b">
        <v>0</v>
      </c>
      <c r="AA373">
        <v>280</v>
      </c>
      <c r="AN373" t="e">
        <f>100*(1-E373/AL373)</f>
        <v>#DIV/0!</v>
      </c>
    </row>
    <row r="374" spans="1:40" x14ac:dyDescent="0.3">
      <c r="A374" t="s">
        <v>59</v>
      </c>
      <c r="B374" t="s">
        <v>1198</v>
      </c>
      <c r="C374" t="s">
        <v>1198</v>
      </c>
      <c r="D374" s="4">
        <v>45994</v>
      </c>
      <c r="E374">
        <v>213000</v>
      </c>
      <c r="F374" t="s">
        <v>1199</v>
      </c>
      <c r="G374" t="s">
        <v>453</v>
      </c>
      <c r="H374" t="s">
        <v>152</v>
      </c>
      <c r="I374" t="s">
        <v>423</v>
      </c>
      <c r="J374" t="s">
        <v>221</v>
      </c>
      <c r="K374" t="s">
        <v>1200</v>
      </c>
      <c r="L374" t="s">
        <v>44</v>
      </c>
      <c r="M374" t="s">
        <v>1201</v>
      </c>
      <c r="N374">
        <v>20400</v>
      </c>
      <c r="O374" t="s">
        <v>45</v>
      </c>
      <c r="P374" t="s">
        <v>54</v>
      </c>
      <c r="Q374" t="s">
        <v>55</v>
      </c>
      <c r="R374">
        <v>0</v>
      </c>
      <c r="S374">
        <v>160.30000000000001</v>
      </c>
      <c r="T374">
        <v>0</v>
      </c>
      <c r="U374">
        <v>0</v>
      </c>
      <c r="V374" t="s">
        <v>1202</v>
      </c>
      <c r="W374" t="s">
        <v>1203</v>
      </c>
      <c r="X374" t="s">
        <v>86</v>
      </c>
      <c r="Y374" t="s">
        <v>1204</v>
      </c>
      <c r="Z374" t="b">
        <v>0</v>
      </c>
      <c r="AA374">
        <v>1328.758577666875</v>
      </c>
      <c r="AN374" t="e">
        <f>100*(1-E374/AL374)</f>
        <v>#DIV/0!</v>
      </c>
    </row>
    <row r="375" spans="1:40" x14ac:dyDescent="0.3">
      <c r="A375" t="s">
        <v>166</v>
      </c>
      <c r="B375" t="s">
        <v>1217</v>
      </c>
      <c r="C375" t="s">
        <v>1217</v>
      </c>
      <c r="D375" s="4">
        <v>45994</v>
      </c>
      <c r="E375">
        <v>47000</v>
      </c>
      <c r="F375" t="s">
        <v>114</v>
      </c>
      <c r="G375" t="s">
        <v>110</v>
      </c>
      <c r="H375" t="s">
        <v>111</v>
      </c>
      <c r="I375" t="s">
        <v>112</v>
      </c>
      <c r="J375" t="s">
        <v>113</v>
      </c>
      <c r="K375" t="s">
        <v>1218</v>
      </c>
      <c r="L375" t="s">
        <v>44</v>
      </c>
      <c r="M375" t="s">
        <v>1219</v>
      </c>
      <c r="N375">
        <v>35100</v>
      </c>
      <c r="O375" t="s">
        <v>45</v>
      </c>
      <c r="P375" t="s">
        <v>54</v>
      </c>
      <c r="Q375" t="s">
        <v>85</v>
      </c>
      <c r="R375">
        <v>0</v>
      </c>
      <c r="S375">
        <v>75</v>
      </c>
      <c r="T375">
        <v>0</v>
      </c>
      <c r="U375">
        <v>0</v>
      </c>
      <c r="V375" t="s">
        <v>1220</v>
      </c>
      <c r="W375">
        <v>122884350</v>
      </c>
      <c r="X375" t="s">
        <v>86</v>
      </c>
      <c r="Y375" t="s">
        <v>1221</v>
      </c>
      <c r="Z375" t="b">
        <v>0</v>
      </c>
      <c r="AA375">
        <v>626.66666666666663</v>
      </c>
      <c r="AN375" t="e">
        <f>100*(1-E375/AL375)</f>
        <v>#DIV/0!</v>
      </c>
    </row>
    <row r="376" spans="1:40" x14ac:dyDescent="0.3">
      <c r="A376" t="s">
        <v>39</v>
      </c>
      <c r="B376" t="s">
        <v>1222</v>
      </c>
      <c r="C376" t="s">
        <v>1223</v>
      </c>
      <c r="D376" s="4">
        <v>45994</v>
      </c>
      <c r="E376">
        <v>76600</v>
      </c>
      <c r="F376" t="s">
        <v>1224</v>
      </c>
      <c r="G376" t="s">
        <v>300</v>
      </c>
      <c r="H376" t="s">
        <v>67</v>
      </c>
      <c r="I376" t="s">
        <v>301</v>
      </c>
      <c r="J376" t="s">
        <v>67</v>
      </c>
      <c r="K376" t="s">
        <v>1225</v>
      </c>
      <c r="L376" t="s">
        <v>44</v>
      </c>
      <c r="M376" t="s">
        <v>1226</v>
      </c>
      <c r="N376">
        <v>18454</v>
      </c>
      <c r="O376" t="s">
        <v>45</v>
      </c>
      <c r="P376" t="s">
        <v>54</v>
      </c>
      <c r="Q376" t="s">
        <v>85</v>
      </c>
      <c r="R376">
        <v>0</v>
      </c>
      <c r="S376">
        <v>111.21</v>
      </c>
      <c r="T376" t="s">
        <v>48</v>
      </c>
      <c r="U376">
        <v>50</v>
      </c>
      <c r="V376" t="s">
        <v>1227</v>
      </c>
      <c r="W376">
        <v>37294957</v>
      </c>
      <c r="X376" t="s">
        <v>49</v>
      </c>
      <c r="Y376" t="s">
        <v>1228</v>
      </c>
      <c r="Z376" t="b">
        <v>0</v>
      </c>
      <c r="AA376">
        <v>688.78697958816656</v>
      </c>
      <c r="AN376" t="e">
        <f>100*(1-E376/AL376)</f>
        <v>#DIV/0!</v>
      </c>
    </row>
    <row r="377" spans="1:40" x14ac:dyDescent="0.3">
      <c r="A377" t="s">
        <v>39</v>
      </c>
      <c r="B377" t="s">
        <v>1229</v>
      </c>
      <c r="C377" t="s">
        <v>1223</v>
      </c>
      <c r="D377" s="4">
        <v>45994</v>
      </c>
      <c r="E377">
        <v>38300</v>
      </c>
      <c r="F377" t="s">
        <v>1230</v>
      </c>
      <c r="G377" t="s">
        <v>300</v>
      </c>
      <c r="H377" t="s">
        <v>67</v>
      </c>
      <c r="I377" t="s">
        <v>301</v>
      </c>
      <c r="J377" t="s">
        <v>67</v>
      </c>
      <c r="K377" t="s">
        <v>1225</v>
      </c>
      <c r="L377" t="s">
        <v>44</v>
      </c>
      <c r="M377" t="s">
        <v>1226</v>
      </c>
      <c r="N377">
        <v>18454</v>
      </c>
      <c r="O377" t="s">
        <v>45</v>
      </c>
      <c r="P377" t="s">
        <v>54</v>
      </c>
      <c r="Q377" t="s">
        <v>85</v>
      </c>
      <c r="R377">
        <v>0</v>
      </c>
      <c r="S377">
        <v>111.21</v>
      </c>
      <c r="T377" t="s">
        <v>161</v>
      </c>
      <c r="U377">
        <v>50</v>
      </c>
      <c r="V377" t="s">
        <v>1227</v>
      </c>
      <c r="W377">
        <v>37294957</v>
      </c>
      <c r="X377" t="s">
        <v>49</v>
      </c>
      <c r="Y377" t="s">
        <v>1228</v>
      </c>
      <c r="Z377" t="b">
        <v>0</v>
      </c>
      <c r="AA377">
        <v>344.39348979408328</v>
      </c>
      <c r="AN377" t="e">
        <f>100*(1-E377/AL377)</f>
        <v>#DIV/0!</v>
      </c>
    </row>
    <row r="378" spans="1:40" x14ac:dyDescent="0.3">
      <c r="A378" t="s">
        <v>59</v>
      </c>
      <c r="B378" t="s">
        <v>1231</v>
      </c>
      <c r="C378" t="s">
        <v>1231</v>
      </c>
      <c r="D378" s="4">
        <v>45994</v>
      </c>
      <c r="E378">
        <v>30000</v>
      </c>
      <c r="F378" t="s">
        <v>1232</v>
      </c>
      <c r="G378" t="s">
        <v>1233</v>
      </c>
      <c r="H378" t="s">
        <v>124</v>
      </c>
      <c r="I378" t="s">
        <v>334</v>
      </c>
      <c r="J378" t="s">
        <v>126</v>
      </c>
      <c r="K378" t="s">
        <v>1234</v>
      </c>
      <c r="L378" t="s">
        <v>44</v>
      </c>
      <c r="M378" t="s">
        <v>1235</v>
      </c>
      <c r="N378">
        <v>25100</v>
      </c>
      <c r="O378" t="s">
        <v>97</v>
      </c>
      <c r="P378" t="s">
        <v>118</v>
      </c>
      <c r="Q378">
        <v>0</v>
      </c>
      <c r="R378">
        <v>0</v>
      </c>
      <c r="S378">
        <v>9227.3799999999992</v>
      </c>
      <c r="T378">
        <v>0</v>
      </c>
      <c r="U378">
        <v>0</v>
      </c>
      <c r="V378" t="s">
        <v>1236</v>
      </c>
      <c r="W378">
        <v>132640977</v>
      </c>
      <c r="X378" t="s">
        <v>86</v>
      </c>
      <c r="Y378" t="s">
        <v>1237</v>
      </c>
      <c r="Z378" t="b">
        <v>0</v>
      </c>
      <c r="AA378">
        <v>3.2511937299645188</v>
      </c>
      <c r="AN378" t="e">
        <f>100*(1-E378/AL378)</f>
        <v>#DIV/0!</v>
      </c>
    </row>
    <row r="379" spans="1:40" x14ac:dyDescent="0.3">
      <c r="A379" t="s">
        <v>166</v>
      </c>
      <c r="B379" t="s">
        <v>1238</v>
      </c>
      <c r="C379" t="s">
        <v>1238</v>
      </c>
      <c r="D379" s="4">
        <v>45994</v>
      </c>
      <c r="E379">
        <v>60000</v>
      </c>
      <c r="F379" t="s">
        <v>367</v>
      </c>
      <c r="G379" t="s">
        <v>1239</v>
      </c>
      <c r="H379" t="s">
        <v>67</v>
      </c>
      <c r="I379" t="s">
        <v>295</v>
      </c>
      <c r="J379" t="s">
        <v>67</v>
      </c>
      <c r="K379" t="s">
        <v>1240</v>
      </c>
      <c r="L379" t="s">
        <v>44</v>
      </c>
      <c r="M379" t="s">
        <v>1241</v>
      </c>
      <c r="N379">
        <v>19011</v>
      </c>
      <c r="O379" t="s">
        <v>45</v>
      </c>
      <c r="P379" t="s">
        <v>54</v>
      </c>
      <c r="Q379" t="s">
        <v>55</v>
      </c>
      <c r="R379">
        <v>0</v>
      </c>
      <c r="S379">
        <v>48.86</v>
      </c>
      <c r="T379">
        <v>0</v>
      </c>
      <c r="U379">
        <v>0</v>
      </c>
      <c r="V379" t="s">
        <v>1242</v>
      </c>
      <c r="W379">
        <v>77403480</v>
      </c>
      <c r="X379" t="s">
        <v>49</v>
      </c>
      <c r="Y379" t="s">
        <v>1243</v>
      </c>
      <c r="Z379" t="b">
        <v>0</v>
      </c>
      <c r="AA379">
        <v>1227.9983626688499</v>
      </c>
      <c r="AN379" t="e">
        <f>100*(1-E379/AL379)</f>
        <v>#DIV/0!</v>
      </c>
    </row>
    <row r="380" spans="1:40" x14ac:dyDescent="0.3">
      <c r="A380" t="s">
        <v>39</v>
      </c>
      <c r="B380" t="s">
        <v>1244</v>
      </c>
      <c r="C380" t="s">
        <v>1244</v>
      </c>
      <c r="D380" s="4">
        <v>45994</v>
      </c>
      <c r="E380">
        <v>177000</v>
      </c>
      <c r="F380" t="s">
        <v>1245</v>
      </c>
      <c r="G380" t="s">
        <v>779</v>
      </c>
      <c r="H380" t="s">
        <v>152</v>
      </c>
      <c r="I380" t="s">
        <v>780</v>
      </c>
      <c r="J380" t="s">
        <v>172</v>
      </c>
      <c r="K380" t="s">
        <v>1246</v>
      </c>
      <c r="L380" t="s">
        <v>44</v>
      </c>
      <c r="M380" t="s">
        <v>1247</v>
      </c>
      <c r="N380">
        <v>21200</v>
      </c>
      <c r="O380" t="s">
        <v>45</v>
      </c>
      <c r="P380" t="s">
        <v>54</v>
      </c>
      <c r="Q380" t="s">
        <v>55</v>
      </c>
      <c r="R380">
        <v>0</v>
      </c>
      <c r="S380">
        <v>148.12</v>
      </c>
      <c r="T380">
        <v>0</v>
      </c>
      <c r="U380">
        <v>0</v>
      </c>
      <c r="V380" t="s">
        <v>1248</v>
      </c>
      <c r="W380">
        <v>44580651</v>
      </c>
      <c r="X380" t="s">
        <v>86</v>
      </c>
      <c r="Y380" t="s">
        <v>1249</v>
      </c>
      <c r="Z380" t="b">
        <v>0</v>
      </c>
      <c r="AA380">
        <v>1194.9770456386709</v>
      </c>
      <c r="AN380" t="e">
        <f>100*(1-E380/AL380)</f>
        <v>#DIV/0!</v>
      </c>
    </row>
    <row r="381" spans="1:40" x14ac:dyDescent="0.3">
      <c r="A381" t="s">
        <v>166</v>
      </c>
      <c r="B381" t="s">
        <v>1250</v>
      </c>
      <c r="C381" t="s">
        <v>1250</v>
      </c>
      <c r="D381" s="4">
        <v>45994</v>
      </c>
      <c r="E381">
        <v>67000</v>
      </c>
      <c r="F381" t="s">
        <v>1251</v>
      </c>
      <c r="G381" t="s">
        <v>300</v>
      </c>
      <c r="H381" t="s">
        <v>67</v>
      </c>
      <c r="I381" t="s">
        <v>301</v>
      </c>
      <c r="J381" t="s">
        <v>67</v>
      </c>
      <c r="K381" t="s">
        <v>1252</v>
      </c>
      <c r="L381" t="s">
        <v>44</v>
      </c>
      <c r="M381" t="s">
        <v>1253</v>
      </c>
      <c r="N381">
        <v>18454</v>
      </c>
      <c r="O381" t="s">
        <v>45</v>
      </c>
      <c r="P381" t="s">
        <v>54</v>
      </c>
      <c r="Q381" t="s">
        <v>85</v>
      </c>
      <c r="R381">
        <v>0</v>
      </c>
      <c r="S381">
        <v>42.58</v>
      </c>
      <c r="T381">
        <v>0</v>
      </c>
      <c r="U381">
        <v>0</v>
      </c>
      <c r="V381" t="s">
        <v>1254</v>
      </c>
      <c r="W381">
        <v>138935023</v>
      </c>
      <c r="X381" t="s">
        <v>86</v>
      </c>
      <c r="Y381" t="s">
        <v>1255</v>
      </c>
      <c r="Z381" t="b">
        <v>0</v>
      </c>
      <c r="AA381">
        <v>1573.508689525599</v>
      </c>
      <c r="AN381" t="e">
        <f>100*(1-E381/AL381)</f>
        <v>#DIV/0!</v>
      </c>
    </row>
    <row r="382" spans="1:40" x14ac:dyDescent="0.3">
      <c r="A382" t="s">
        <v>139</v>
      </c>
      <c r="B382" t="s">
        <v>1256</v>
      </c>
      <c r="C382" t="s">
        <v>1256</v>
      </c>
      <c r="D382" s="4">
        <v>45994</v>
      </c>
      <c r="E382">
        <v>83000</v>
      </c>
      <c r="F382" t="s">
        <v>1257</v>
      </c>
      <c r="G382" t="s">
        <v>173</v>
      </c>
      <c r="H382" t="s">
        <v>111</v>
      </c>
      <c r="I382" t="s">
        <v>174</v>
      </c>
      <c r="J382" t="s">
        <v>175</v>
      </c>
      <c r="K382" t="s">
        <v>1258</v>
      </c>
      <c r="L382" t="s">
        <v>44</v>
      </c>
      <c r="M382" t="s">
        <v>1259</v>
      </c>
      <c r="N382">
        <v>34100</v>
      </c>
      <c r="O382" t="s">
        <v>45</v>
      </c>
      <c r="P382" t="s">
        <v>54</v>
      </c>
      <c r="Q382" t="s">
        <v>100</v>
      </c>
      <c r="R382">
        <v>0</v>
      </c>
      <c r="S382">
        <v>71.3</v>
      </c>
      <c r="T382">
        <v>0</v>
      </c>
      <c r="U382">
        <v>0</v>
      </c>
      <c r="V382" t="s">
        <v>1260</v>
      </c>
      <c r="W382" t="s">
        <v>1261</v>
      </c>
      <c r="X382" t="s">
        <v>86</v>
      </c>
      <c r="Y382" t="s">
        <v>1262</v>
      </c>
      <c r="Z382" t="b">
        <v>0</v>
      </c>
      <c r="AA382">
        <v>1164.095371669004</v>
      </c>
      <c r="AN382" t="e">
        <f>100*(1-E382/AL382)</f>
        <v>#DIV/0!</v>
      </c>
    </row>
    <row r="383" spans="1:40" x14ac:dyDescent="0.3">
      <c r="A383" t="s">
        <v>139</v>
      </c>
      <c r="B383" t="s">
        <v>1256</v>
      </c>
      <c r="C383" t="s">
        <v>1256</v>
      </c>
      <c r="D383" s="4">
        <v>45994</v>
      </c>
      <c r="E383">
        <v>83000</v>
      </c>
      <c r="F383" t="s">
        <v>1257</v>
      </c>
      <c r="G383" t="s">
        <v>173</v>
      </c>
      <c r="H383" t="s">
        <v>111</v>
      </c>
      <c r="I383" t="s">
        <v>174</v>
      </c>
      <c r="J383" t="s">
        <v>175</v>
      </c>
      <c r="K383" t="s">
        <v>1258</v>
      </c>
      <c r="L383" t="s">
        <v>44</v>
      </c>
      <c r="M383" t="s">
        <v>1259</v>
      </c>
      <c r="N383">
        <v>34100</v>
      </c>
      <c r="O383" t="s">
        <v>45</v>
      </c>
      <c r="P383" t="s">
        <v>54</v>
      </c>
      <c r="Q383" t="s">
        <v>100</v>
      </c>
      <c r="R383">
        <v>0</v>
      </c>
      <c r="S383">
        <v>71.3</v>
      </c>
      <c r="T383">
        <v>0</v>
      </c>
      <c r="U383">
        <v>0</v>
      </c>
      <c r="V383" t="s">
        <v>1260</v>
      </c>
      <c r="W383" t="s">
        <v>1261</v>
      </c>
      <c r="X383" t="s">
        <v>86</v>
      </c>
      <c r="Y383" t="s">
        <v>1262</v>
      </c>
      <c r="Z383" t="b">
        <v>0</v>
      </c>
      <c r="AA383">
        <v>1164.095371669004</v>
      </c>
      <c r="AN383" t="e">
        <f>100*(1-E383/AL383)</f>
        <v>#DIV/0!</v>
      </c>
    </row>
    <row r="384" spans="1:40" x14ac:dyDescent="0.3">
      <c r="A384" t="s">
        <v>39</v>
      </c>
      <c r="B384" t="s">
        <v>1263</v>
      </c>
      <c r="C384" t="s">
        <v>1263</v>
      </c>
      <c r="D384" s="4">
        <v>45994</v>
      </c>
      <c r="E384">
        <v>52000</v>
      </c>
      <c r="F384" t="s">
        <v>1264</v>
      </c>
      <c r="G384" t="s">
        <v>404</v>
      </c>
      <c r="H384" t="s">
        <v>124</v>
      </c>
      <c r="I384" t="s">
        <v>405</v>
      </c>
      <c r="J384" t="s">
        <v>126</v>
      </c>
      <c r="K384" t="s">
        <v>1265</v>
      </c>
      <c r="L384" t="s">
        <v>44</v>
      </c>
      <c r="M384" t="s">
        <v>1266</v>
      </c>
      <c r="N384">
        <v>26332</v>
      </c>
      <c r="O384" t="s">
        <v>45</v>
      </c>
      <c r="P384" t="s">
        <v>54</v>
      </c>
      <c r="Q384" t="s">
        <v>52</v>
      </c>
      <c r="R384">
        <v>0</v>
      </c>
      <c r="S384">
        <v>94.69</v>
      </c>
      <c r="T384">
        <v>0</v>
      </c>
      <c r="U384">
        <v>0</v>
      </c>
      <c r="V384" t="s">
        <v>1267</v>
      </c>
      <c r="W384" t="s">
        <v>1268</v>
      </c>
      <c r="X384" t="s">
        <v>86</v>
      </c>
      <c r="Y384" t="s">
        <v>1269</v>
      </c>
      <c r="Z384" t="b">
        <v>0</v>
      </c>
      <c r="AA384">
        <v>549.16041820678004</v>
      </c>
      <c r="AN384" t="e">
        <f>100*(1-E384/AL384)</f>
        <v>#DIV/0!</v>
      </c>
    </row>
    <row r="385" spans="1:40" x14ac:dyDescent="0.3">
      <c r="A385" t="s">
        <v>183</v>
      </c>
      <c r="B385" t="s">
        <v>1270</v>
      </c>
      <c r="C385" t="s">
        <v>1270</v>
      </c>
      <c r="D385" s="4">
        <v>45994</v>
      </c>
      <c r="E385">
        <v>162000</v>
      </c>
      <c r="F385" t="s">
        <v>1245</v>
      </c>
      <c r="G385" t="s">
        <v>300</v>
      </c>
      <c r="H385" t="s">
        <v>67</v>
      </c>
      <c r="I385" t="s">
        <v>301</v>
      </c>
      <c r="J385" t="s">
        <v>67</v>
      </c>
      <c r="K385" t="s">
        <v>1271</v>
      </c>
      <c r="L385" t="s">
        <v>44</v>
      </c>
      <c r="M385" t="s">
        <v>1272</v>
      </c>
      <c r="N385">
        <v>18453</v>
      </c>
      <c r="O385" t="s">
        <v>45</v>
      </c>
      <c r="P385" t="s">
        <v>54</v>
      </c>
      <c r="Q385" t="s">
        <v>55</v>
      </c>
      <c r="R385">
        <v>0</v>
      </c>
      <c r="S385">
        <v>148.32</v>
      </c>
      <c r="T385">
        <v>0</v>
      </c>
      <c r="U385">
        <v>0</v>
      </c>
      <c r="V385" t="s">
        <v>1273</v>
      </c>
      <c r="W385">
        <v>20619310</v>
      </c>
      <c r="X385" t="s">
        <v>86</v>
      </c>
      <c r="Y385" t="s">
        <v>1274</v>
      </c>
      <c r="Z385" t="b">
        <v>0</v>
      </c>
      <c r="AA385">
        <v>1092.2330097087381</v>
      </c>
      <c r="AN385" t="e">
        <f>100*(1-E385/AL385)</f>
        <v>#DIV/0!</v>
      </c>
    </row>
    <row r="386" spans="1:40" x14ac:dyDescent="0.3">
      <c r="A386" t="s">
        <v>39</v>
      </c>
      <c r="B386" t="s">
        <v>1275</v>
      </c>
      <c r="C386" t="s">
        <v>1275</v>
      </c>
      <c r="D386" s="4">
        <v>45994</v>
      </c>
      <c r="E386">
        <v>7528</v>
      </c>
      <c r="F386" t="s">
        <v>130</v>
      </c>
      <c r="G386" t="s">
        <v>1276</v>
      </c>
      <c r="H386" t="s">
        <v>62</v>
      </c>
      <c r="I386" t="s">
        <v>73</v>
      </c>
      <c r="J386" t="s">
        <v>63</v>
      </c>
      <c r="K386" t="s">
        <v>1277</v>
      </c>
      <c r="L386" t="s">
        <v>44</v>
      </c>
      <c r="M386" t="s">
        <v>1278</v>
      </c>
      <c r="N386">
        <v>55535</v>
      </c>
      <c r="O386" t="s">
        <v>76</v>
      </c>
      <c r="P386" t="s">
        <v>133</v>
      </c>
      <c r="Q386">
        <v>0</v>
      </c>
      <c r="R386">
        <v>0</v>
      </c>
      <c r="S386">
        <v>12.5</v>
      </c>
      <c r="T386">
        <v>0</v>
      </c>
      <c r="U386">
        <v>0</v>
      </c>
      <c r="V386" t="s">
        <v>1279</v>
      </c>
      <c r="W386">
        <v>999487256</v>
      </c>
      <c r="X386" t="s">
        <v>86</v>
      </c>
      <c r="Y386" t="s">
        <v>1280</v>
      </c>
      <c r="Z386" t="b">
        <v>0</v>
      </c>
      <c r="AA386">
        <v>602.24</v>
      </c>
      <c r="AN386" t="e">
        <f>100*(1-E386/AL386)</f>
        <v>#DIV/0!</v>
      </c>
    </row>
    <row r="387" spans="1:40" x14ac:dyDescent="0.3">
      <c r="A387" t="s">
        <v>39</v>
      </c>
      <c r="B387" t="s">
        <v>1275</v>
      </c>
      <c r="C387" t="s">
        <v>1275</v>
      </c>
      <c r="D387" s="4">
        <v>45994</v>
      </c>
      <c r="E387">
        <v>7528</v>
      </c>
      <c r="F387" t="s">
        <v>130</v>
      </c>
      <c r="G387" t="s">
        <v>1276</v>
      </c>
      <c r="H387" t="s">
        <v>62</v>
      </c>
      <c r="I387" t="s">
        <v>73</v>
      </c>
      <c r="J387" t="s">
        <v>63</v>
      </c>
      <c r="K387" t="s">
        <v>1277</v>
      </c>
      <c r="L387" t="s">
        <v>44</v>
      </c>
      <c r="M387" t="s">
        <v>1278</v>
      </c>
      <c r="N387">
        <v>55535</v>
      </c>
      <c r="O387" t="s">
        <v>76</v>
      </c>
      <c r="P387" t="s">
        <v>133</v>
      </c>
      <c r="Q387">
        <v>0</v>
      </c>
      <c r="R387">
        <v>0</v>
      </c>
      <c r="S387">
        <v>12.5</v>
      </c>
      <c r="T387">
        <v>0</v>
      </c>
      <c r="U387">
        <v>0</v>
      </c>
      <c r="V387" t="s">
        <v>1279</v>
      </c>
      <c r="W387">
        <v>999487256</v>
      </c>
      <c r="X387" t="s">
        <v>86</v>
      </c>
      <c r="Y387" t="s">
        <v>1280</v>
      </c>
      <c r="Z387" t="b">
        <v>0</v>
      </c>
      <c r="AA387">
        <v>602.24</v>
      </c>
      <c r="AN387" t="e">
        <f>100*(1-E387/AL387)</f>
        <v>#DIV/0!</v>
      </c>
    </row>
    <row r="388" spans="1:40" x14ac:dyDescent="0.3">
      <c r="A388" t="s">
        <v>71</v>
      </c>
      <c r="B388" t="s">
        <v>1281</v>
      </c>
      <c r="C388" t="s">
        <v>1281</v>
      </c>
      <c r="D388" s="4">
        <v>45994</v>
      </c>
      <c r="E388">
        <v>27027</v>
      </c>
      <c r="F388" t="s">
        <v>1282</v>
      </c>
      <c r="G388" t="s">
        <v>1283</v>
      </c>
      <c r="H388" t="s">
        <v>62</v>
      </c>
      <c r="I388" t="s">
        <v>586</v>
      </c>
      <c r="J388" t="s">
        <v>63</v>
      </c>
      <c r="K388" t="s">
        <v>1284</v>
      </c>
      <c r="L388" t="s">
        <v>44</v>
      </c>
      <c r="M388" t="s">
        <v>1283</v>
      </c>
      <c r="N388">
        <v>57300</v>
      </c>
      <c r="O388" t="s">
        <v>97</v>
      </c>
      <c r="P388" t="s">
        <v>98</v>
      </c>
      <c r="Q388">
        <v>0</v>
      </c>
      <c r="R388">
        <v>0</v>
      </c>
      <c r="S388">
        <v>455</v>
      </c>
      <c r="T388">
        <v>0</v>
      </c>
      <c r="U388">
        <v>0</v>
      </c>
      <c r="V388" t="s">
        <v>1285</v>
      </c>
      <c r="W388">
        <v>117855581</v>
      </c>
      <c r="X388" t="s">
        <v>86</v>
      </c>
      <c r="Y388" t="s">
        <v>1286</v>
      </c>
      <c r="Z388" t="b">
        <v>0</v>
      </c>
      <c r="AA388">
        <v>59.4</v>
      </c>
      <c r="AN388" t="e">
        <f>100*(1-E388/AL388)</f>
        <v>#DIV/0!</v>
      </c>
    </row>
    <row r="389" spans="1:40" x14ac:dyDescent="0.3">
      <c r="A389" t="s">
        <v>39</v>
      </c>
      <c r="B389" t="s">
        <v>1275</v>
      </c>
      <c r="C389" t="s">
        <v>1275</v>
      </c>
      <c r="D389" s="4">
        <v>45994</v>
      </c>
      <c r="E389">
        <v>7528</v>
      </c>
      <c r="F389" t="s">
        <v>130</v>
      </c>
      <c r="G389" t="s">
        <v>1276</v>
      </c>
      <c r="H389" t="s">
        <v>62</v>
      </c>
      <c r="I389" t="s">
        <v>73</v>
      </c>
      <c r="J389" t="s">
        <v>63</v>
      </c>
      <c r="K389" t="s">
        <v>1277</v>
      </c>
      <c r="L389" t="s">
        <v>44</v>
      </c>
      <c r="M389" t="s">
        <v>1278</v>
      </c>
      <c r="N389">
        <v>55535</v>
      </c>
      <c r="O389" t="s">
        <v>76</v>
      </c>
      <c r="P389" t="s">
        <v>133</v>
      </c>
      <c r="Q389">
        <v>0</v>
      </c>
      <c r="R389">
        <v>0</v>
      </c>
      <c r="S389">
        <v>12.5</v>
      </c>
      <c r="T389">
        <v>0</v>
      </c>
      <c r="U389">
        <v>0</v>
      </c>
      <c r="V389" t="s">
        <v>1279</v>
      </c>
      <c r="W389">
        <v>999487256</v>
      </c>
      <c r="X389" t="s">
        <v>86</v>
      </c>
      <c r="Y389" t="s">
        <v>1280</v>
      </c>
      <c r="Z389" t="b">
        <v>0</v>
      </c>
      <c r="AA389">
        <v>602.24</v>
      </c>
      <c r="AN389" t="e">
        <f>100*(1-E389/AL389)</f>
        <v>#DIV/0!</v>
      </c>
    </row>
    <row r="390" spans="1:40" x14ac:dyDescent="0.3">
      <c r="A390" t="s">
        <v>39</v>
      </c>
      <c r="B390" t="s">
        <v>1275</v>
      </c>
      <c r="C390" t="s">
        <v>1275</v>
      </c>
      <c r="D390" s="4">
        <v>45994</v>
      </c>
      <c r="E390">
        <v>7528</v>
      </c>
      <c r="F390" t="s">
        <v>130</v>
      </c>
      <c r="G390" t="s">
        <v>1276</v>
      </c>
      <c r="H390" t="s">
        <v>62</v>
      </c>
      <c r="I390" t="s">
        <v>73</v>
      </c>
      <c r="J390" t="s">
        <v>63</v>
      </c>
      <c r="K390" t="s">
        <v>1277</v>
      </c>
      <c r="L390" t="s">
        <v>44</v>
      </c>
      <c r="M390" t="s">
        <v>1278</v>
      </c>
      <c r="N390">
        <v>55535</v>
      </c>
      <c r="O390" t="s">
        <v>76</v>
      </c>
      <c r="P390" t="s">
        <v>133</v>
      </c>
      <c r="Q390">
        <v>0</v>
      </c>
      <c r="R390">
        <v>0</v>
      </c>
      <c r="S390">
        <v>12.5</v>
      </c>
      <c r="T390">
        <v>0</v>
      </c>
      <c r="U390">
        <v>0</v>
      </c>
      <c r="V390" t="s">
        <v>1279</v>
      </c>
      <c r="W390">
        <v>999487256</v>
      </c>
      <c r="X390" t="s">
        <v>86</v>
      </c>
      <c r="Y390" t="s">
        <v>1280</v>
      </c>
      <c r="Z390" t="b">
        <v>0</v>
      </c>
      <c r="AA390">
        <v>602.24</v>
      </c>
      <c r="AN390" t="e">
        <f>100*(1-E390/AL390)</f>
        <v>#DIV/0!</v>
      </c>
    </row>
    <row r="391" spans="1:40" x14ac:dyDescent="0.3">
      <c r="A391" t="s">
        <v>39</v>
      </c>
      <c r="B391" t="s">
        <v>1275</v>
      </c>
      <c r="C391" t="s">
        <v>1275</v>
      </c>
      <c r="D391" s="4">
        <v>45994</v>
      </c>
      <c r="E391">
        <v>7528</v>
      </c>
      <c r="F391" t="s">
        <v>130</v>
      </c>
      <c r="G391" t="s">
        <v>1276</v>
      </c>
      <c r="H391" t="s">
        <v>62</v>
      </c>
      <c r="I391" t="s">
        <v>73</v>
      </c>
      <c r="J391" t="s">
        <v>63</v>
      </c>
      <c r="K391" t="s">
        <v>1277</v>
      </c>
      <c r="L391" t="s">
        <v>44</v>
      </c>
      <c r="M391" t="s">
        <v>1278</v>
      </c>
      <c r="N391">
        <v>55535</v>
      </c>
      <c r="O391" t="s">
        <v>76</v>
      </c>
      <c r="P391" t="s">
        <v>133</v>
      </c>
      <c r="Q391">
        <v>0</v>
      </c>
      <c r="R391">
        <v>0</v>
      </c>
      <c r="S391">
        <v>12.5</v>
      </c>
      <c r="T391">
        <v>0</v>
      </c>
      <c r="U391">
        <v>0</v>
      </c>
      <c r="V391" t="s">
        <v>1279</v>
      </c>
      <c r="W391">
        <v>999487256</v>
      </c>
      <c r="X391" t="s">
        <v>86</v>
      </c>
      <c r="Y391" t="s">
        <v>1280</v>
      </c>
      <c r="Z391" t="b">
        <v>0</v>
      </c>
      <c r="AA391">
        <v>602.24</v>
      </c>
      <c r="AN391" t="e">
        <f>100*(1-E391/AL391)</f>
        <v>#DIV/0!</v>
      </c>
    </row>
    <row r="392" spans="1:40" x14ac:dyDescent="0.3">
      <c r="A392" t="s">
        <v>39</v>
      </c>
      <c r="B392" t="s">
        <v>1275</v>
      </c>
      <c r="C392" t="s">
        <v>1275</v>
      </c>
      <c r="D392" s="4">
        <v>45994</v>
      </c>
      <c r="E392">
        <v>7528</v>
      </c>
      <c r="F392" t="s">
        <v>130</v>
      </c>
      <c r="G392" t="s">
        <v>1276</v>
      </c>
      <c r="H392" t="s">
        <v>62</v>
      </c>
      <c r="I392" t="s">
        <v>73</v>
      </c>
      <c r="J392" t="s">
        <v>63</v>
      </c>
      <c r="K392" t="s">
        <v>1277</v>
      </c>
      <c r="L392" t="s">
        <v>44</v>
      </c>
      <c r="M392" t="s">
        <v>1278</v>
      </c>
      <c r="N392">
        <v>55535</v>
      </c>
      <c r="O392" t="s">
        <v>76</v>
      </c>
      <c r="P392" t="s">
        <v>133</v>
      </c>
      <c r="Q392">
        <v>0</v>
      </c>
      <c r="R392">
        <v>0</v>
      </c>
      <c r="S392">
        <v>12.5</v>
      </c>
      <c r="T392">
        <v>0</v>
      </c>
      <c r="U392">
        <v>0</v>
      </c>
      <c r="V392" t="s">
        <v>1279</v>
      </c>
      <c r="W392">
        <v>999487256</v>
      </c>
      <c r="X392" t="s">
        <v>86</v>
      </c>
      <c r="Y392" t="s">
        <v>1280</v>
      </c>
      <c r="Z392" t="b">
        <v>0</v>
      </c>
      <c r="AA392">
        <v>602.24</v>
      </c>
      <c r="AN392" t="e">
        <f>100*(1-E392/AL392)</f>
        <v>#DIV/0!</v>
      </c>
    </row>
    <row r="393" spans="1:40" x14ac:dyDescent="0.3">
      <c r="A393" t="s">
        <v>39</v>
      </c>
      <c r="B393" t="s">
        <v>1275</v>
      </c>
      <c r="C393" t="s">
        <v>1275</v>
      </c>
      <c r="D393" s="4">
        <v>45994</v>
      </c>
      <c r="E393">
        <v>7528</v>
      </c>
      <c r="F393" t="s">
        <v>130</v>
      </c>
      <c r="G393" t="s">
        <v>1276</v>
      </c>
      <c r="H393" t="s">
        <v>62</v>
      </c>
      <c r="I393" t="s">
        <v>73</v>
      </c>
      <c r="J393" t="s">
        <v>63</v>
      </c>
      <c r="K393" t="s">
        <v>1277</v>
      </c>
      <c r="L393" t="s">
        <v>44</v>
      </c>
      <c r="M393" t="s">
        <v>1278</v>
      </c>
      <c r="N393">
        <v>55535</v>
      </c>
      <c r="O393" t="s">
        <v>76</v>
      </c>
      <c r="P393" t="s">
        <v>133</v>
      </c>
      <c r="Q393">
        <v>0</v>
      </c>
      <c r="R393">
        <v>0</v>
      </c>
      <c r="S393">
        <v>12.5</v>
      </c>
      <c r="T393">
        <v>0</v>
      </c>
      <c r="U393">
        <v>0</v>
      </c>
      <c r="V393" t="s">
        <v>1279</v>
      </c>
      <c r="W393">
        <v>999487256</v>
      </c>
      <c r="X393" t="s">
        <v>86</v>
      </c>
      <c r="Y393" t="s">
        <v>1280</v>
      </c>
      <c r="Z393" t="b">
        <v>0</v>
      </c>
      <c r="AA393">
        <v>602.24</v>
      </c>
      <c r="AN393" t="e">
        <f>100*(1-E393/AL393)</f>
        <v>#DIV/0!</v>
      </c>
    </row>
    <row r="394" spans="1:40" x14ac:dyDescent="0.3">
      <c r="A394" t="s">
        <v>39</v>
      </c>
      <c r="B394" t="s">
        <v>1275</v>
      </c>
      <c r="C394" t="s">
        <v>1275</v>
      </c>
      <c r="D394" s="4">
        <v>45994</v>
      </c>
      <c r="E394">
        <v>7528</v>
      </c>
      <c r="F394" t="s">
        <v>130</v>
      </c>
      <c r="G394" t="s">
        <v>1276</v>
      </c>
      <c r="H394" t="s">
        <v>62</v>
      </c>
      <c r="I394" t="s">
        <v>73</v>
      </c>
      <c r="J394" t="s">
        <v>63</v>
      </c>
      <c r="K394" t="s">
        <v>1277</v>
      </c>
      <c r="L394" t="s">
        <v>44</v>
      </c>
      <c r="M394" t="s">
        <v>1278</v>
      </c>
      <c r="N394">
        <v>55535</v>
      </c>
      <c r="O394" t="s">
        <v>76</v>
      </c>
      <c r="P394" t="s">
        <v>133</v>
      </c>
      <c r="Q394">
        <v>0</v>
      </c>
      <c r="R394">
        <v>0</v>
      </c>
      <c r="S394">
        <v>12.5</v>
      </c>
      <c r="T394">
        <v>0</v>
      </c>
      <c r="U394">
        <v>0</v>
      </c>
      <c r="V394" t="s">
        <v>1279</v>
      </c>
      <c r="W394">
        <v>999487256</v>
      </c>
      <c r="X394" t="s">
        <v>86</v>
      </c>
      <c r="Y394" t="s">
        <v>1280</v>
      </c>
      <c r="Z394" t="b">
        <v>0</v>
      </c>
      <c r="AA394">
        <v>602.24</v>
      </c>
      <c r="AN394" t="e">
        <f>100*(1-E394/AL394)</f>
        <v>#DIV/0!</v>
      </c>
    </row>
    <row r="395" spans="1:40" x14ac:dyDescent="0.3">
      <c r="A395" t="s">
        <v>166</v>
      </c>
      <c r="B395" t="s">
        <v>1287</v>
      </c>
      <c r="C395" t="s">
        <v>1287</v>
      </c>
      <c r="D395" s="4">
        <v>45994</v>
      </c>
      <c r="E395">
        <v>10738</v>
      </c>
      <c r="F395" t="s">
        <v>290</v>
      </c>
      <c r="G395" t="s">
        <v>1288</v>
      </c>
      <c r="H395" t="s">
        <v>67</v>
      </c>
      <c r="I395" t="s">
        <v>301</v>
      </c>
      <c r="J395" t="s">
        <v>67</v>
      </c>
      <c r="K395" t="s">
        <v>1289</v>
      </c>
      <c r="L395" t="s">
        <v>44</v>
      </c>
      <c r="M395" t="s">
        <v>1290</v>
      </c>
      <c r="N395">
        <v>18233</v>
      </c>
      <c r="O395" t="s">
        <v>45</v>
      </c>
      <c r="P395" t="s">
        <v>54</v>
      </c>
      <c r="Q395" t="s">
        <v>55</v>
      </c>
      <c r="R395">
        <v>0</v>
      </c>
      <c r="S395">
        <v>59.52</v>
      </c>
      <c r="T395">
        <v>0</v>
      </c>
      <c r="U395">
        <v>0</v>
      </c>
      <c r="V395" t="s">
        <v>1291</v>
      </c>
      <c r="W395">
        <v>54560242</v>
      </c>
      <c r="X395" t="s">
        <v>86</v>
      </c>
      <c r="Y395" t="s">
        <v>1292</v>
      </c>
      <c r="Z395" t="b">
        <v>0</v>
      </c>
      <c r="AA395">
        <v>180.40994623655911</v>
      </c>
      <c r="AN395" t="e">
        <f>100*(1-E395/AL395)</f>
        <v>#DIV/0!</v>
      </c>
    </row>
    <row r="396" spans="1:40" x14ac:dyDescent="0.3">
      <c r="A396" t="s">
        <v>39</v>
      </c>
      <c r="B396" t="s">
        <v>1275</v>
      </c>
      <c r="C396" t="s">
        <v>1275</v>
      </c>
      <c r="D396" s="4">
        <v>45994</v>
      </c>
      <c r="E396">
        <v>7528</v>
      </c>
      <c r="F396" t="s">
        <v>130</v>
      </c>
      <c r="G396" t="s">
        <v>1276</v>
      </c>
      <c r="H396" t="s">
        <v>62</v>
      </c>
      <c r="I396" t="s">
        <v>73</v>
      </c>
      <c r="J396" t="s">
        <v>63</v>
      </c>
      <c r="K396" t="s">
        <v>1277</v>
      </c>
      <c r="L396" t="s">
        <v>44</v>
      </c>
      <c r="M396" t="s">
        <v>1278</v>
      </c>
      <c r="N396">
        <v>55535</v>
      </c>
      <c r="O396" t="s">
        <v>76</v>
      </c>
      <c r="P396" t="s">
        <v>133</v>
      </c>
      <c r="Q396">
        <v>0</v>
      </c>
      <c r="R396">
        <v>0</v>
      </c>
      <c r="S396">
        <v>12.5</v>
      </c>
      <c r="T396">
        <v>0</v>
      </c>
      <c r="U396">
        <v>0</v>
      </c>
      <c r="V396" t="s">
        <v>1279</v>
      </c>
      <c r="W396">
        <v>999487256</v>
      </c>
      <c r="X396" t="s">
        <v>86</v>
      </c>
      <c r="Y396" t="s">
        <v>1280</v>
      </c>
      <c r="Z396" t="b">
        <v>0</v>
      </c>
      <c r="AA396">
        <v>602.24</v>
      </c>
      <c r="AN396" t="e">
        <f>100*(1-E396/AL396)</f>
        <v>#DIV/0!</v>
      </c>
    </row>
    <row r="397" spans="1:40" x14ac:dyDescent="0.3">
      <c r="A397" t="s">
        <v>166</v>
      </c>
      <c r="B397" t="s">
        <v>1293</v>
      </c>
      <c r="C397" t="s">
        <v>1293</v>
      </c>
      <c r="D397" s="4">
        <v>45994</v>
      </c>
      <c r="E397">
        <v>69000</v>
      </c>
      <c r="F397" t="s">
        <v>1294</v>
      </c>
      <c r="G397" t="s">
        <v>210</v>
      </c>
      <c r="H397" t="s">
        <v>67</v>
      </c>
      <c r="I397" t="s">
        <v>211</v>
      </c>
      <c r="J397" t="s">
        <v>67</v>
      </c>
      <c r="K397" t="s">
        <v>1295</v>
      </c>
      <c r="L397" t="s">
        <v>44</v>
      </c>
      <c r="M397" t="s">
        <v>1296</v>
      </c>
      <c r="N397">
        <v>18863</v>
      </c>
      <c r="O397" t="s">
        <v>45</v>
      </c>
      <c r="P397" t="s">
        <v>54</v>
      </c>
      <c r="Q397" t="s">
        <v>291</v>
      </c>
      <c r="R397">
        <v>0</v>
      </c>
      <c r="S397">
        <v>48.68</v>
      </c>
      <c r="T397">
        <v>0</v>
      </c>
      <c r="U397">
        <v>0</v>
      </c>
      <c r="V397" t="s">
        <v>1297</v>
      </c>
      <c r="W397">
        <v>39650012</v>
      </c>
      <c r="X397" t="s">
        <v>86</v>
      </c>
      <c r="Y397" t="s">
        <v>1298</v>
      </c>
      <c r="Z397" t="b">
        <v>0</v>
      </c>
      <c r="AA397">
        <v>1417.4198849630241</v>
      </c>
      <c r="AN397" t="e">
        <f>100*(1-E397/AL397)</f>
        <v>#DIV/0!</v>
      </c>
    </row>
    <row r="398" spans="1:40" x14ac:dyDescent="0.3">
      <c r="A398" t="s">
        <v>39</v>
      </c>
      <c r="B398" t="s">
        <v>1275</v>
      </c>
      <c r="C398" t="s">
        <v>1275</v>
      </c>
      <c r="D398" s="4">
        <v>45994</v>
      </c>
      <c r="E398">
        <v>7528</v>
      </c>
      <c r="F398" t="s">
        <v>130</v>
      </c>
      <c r="G398" t="s">
        <v>1276</v>
      </c>
      <c r="H398" t="s">
        <v>62</v>
      </c>
      <c r="I398" t="s">
        <v>73</v>
      </c>
      <c r="J398" t="s">
        <v>63</v>
      </c>
      <c r="K398" t="s">
        <v>1277</v>
      </c>
      <c r="L398" t="s">
        <v>44</v>
      </c>
      <c r="M398" t="s">
        <v>1278</v>
      </c>
      <c r="N398">
        <v>55535</v>
      </c>
      <c r="O398" t="s">
        <v>76</v>
      </c>
      <c r="P398" t="s">
        <v>133</v>
      </c>
      <c r="Q398">
        <v>0</v>
      </c>
      <c r="R398">
        <v>0</v>
      </c>
      <c r="S398">
        <v>12.5</v>
      </c>
      <c r="T398">
        <v>0</v>
      </c>
      <c r="U398">
        <v>0</v>
      </c>
      <c r="V398" t="s">
        <v>1279</v>
      </c>
      <c r="W398">
        <v>999487256</v>
      </c>
      <c r="X398" t="s">
        <v>86</v>
      </c>
      <c r="Y398" t="s">
        <v>1280</v>
      </c>
      <c r="Z398" t="b">
        <v>0</v>
      </c>
      <c r="AA398">
        <v>602.24</v>
      </c>
      <c r="AN398" t="e">
        <f>100*(1-E398/AL398)</f>
        <v>#DIV/0!</v>
      </c>
    </row>
    <row r="399" spans="1:40" x14ac:dyDescent="0.3">
      <c r="A399" t="s">
        <v>71</v>
      </c>
      <c r="B399" t="s">
        <v>1299</v>
      </c>
      <c r="C399" t="s">
        <v>1299</v>
      </c>
      <c r="D399" s="4">
        <v>45994</v>
      </c>
      <c r="E399">
        <v>166000</v>
      </c>
      <c r="F399" t="s">
        <v>1300</v>
      </c>
      <c r="G399" t="s">
        <v>1301</v>
      </c>
      <c r="H399" t="s">
        <v>67</v>
      </c>
      <c r="I399" t="s">
        <v>1302</v>
      </c>
      <c r="J399" t="s">
        <v>67</v>
      </c>
      <c r="K399" t="s">
        <v>1303</v>
      </c>
      <c r="L399" t="s">
        <v>44</v>
      </c>
      <c r="M399" t="s">
        <v>1304</v>
      </c>
      <c r="N399">
        <v>11147</v>
      </c>
      <c r="O399" t="s">
        <v>45</v>
      </c>
      <c r="P399" t="s">
        <v>54</v>
      </c>
      <c r="Q399" t="s">
        <v>100</v>
      </c>
      <c r="R399">
        <v>0</v>
      </c>
      <c r="S399">
        <v>137.03</v>
      </c>
      <c r="T399">
        <v>0</v>
      </c>
      <c r="U399">
        <v>0</v>
      </c>
      <c r="V399" t="s">
        <v>1305</v>
      </c>
      <c r="W399">
        <v>23723745</v>
      </c>
      <c r="X399" t="s">
        <v>86</v>
      </c>
      <c r="Y399" t="s">
        <v>1306</v>
      </c>
      <c r="Z399" t="b">
        <v>0</v>
      </c>
      <c r="AA399">
        <v>1211.413559074655</v>
      </c>
      <c r="AN399" t="e">
        <f>100*(1-E399/AL399)</f>
        <v>#DIV/0!</v>
      </c>
    </row>
    <row r="400" spans="1:40" x14ac:dyDescent="0.3">
      <c r="A400" t="s">
        <v>39</v>
      </c>
      <c r="B400" t="s">
        <v>1275</v>
      </c>
      <c r="C400" t="s">
        <v>1275</v>
      </c>
      <c r="D400" s="4">
        <v>45994</v>
      </c>
      <c r="E400">
        <v>7528</v>
      </c>
      <c r="F400" t="s">
        <v>130</v>
      </c>
      <c r="G400" t="s">
        <v>1276</v>
      </c>
      <c r="H400" t="s">
        <v>62</v>
      </c>
      <c r="I400" t="s">
        <v>73</v>
      </c>
      <c r="J400" t="s">
        <v>63</v>
      </c>
      <c r="K400" t="s">
        <v>1277</v>
      </c>
      <c r="L400" t="s">
        <v>44</v>
      </c>
      <c r="M400" t="s">
        <v>1278</v>
      </c>
      <c r="N400">
        <v>55535</v>
      </c>
      <c r="O400" t="s">
        <v>76</v>
      </c>
      <c r="P400" t="s">
        <v>133</v>
      </c>
      <c r="Q400">
        <v>0</v>
      </c>
      <c r="R400">
        <v>0</v>
      </c>
      <c r="S400">
        <v>12.5</v>
      </c>
      <c r="T400">
        <v>0</v>
      </c>
      <c r="U400">
        <v>0</v>
      </c>
      <c r="V400" t="s">
        <v>1279</v>
      </c>
      <c r="W400">
        <v>999487256</v>
      </c>
      <c r="X400" t="s">
        <v>86</v>
      </c>
      <c r="Y400" t="s">
        <v>1280</v>
      </c>
      <c r="Z400" t="b">
        <v>0</v>
      </c>
      <c r="AA400">
        <v>602.24</v>
      </c>
      <c r="AN400" t="e">
        <f>100*(1-E400/AL400)</f>
        <v>#DIV/0!</v>
      </c>
    </row>
    <row r="401" spans="1:40" x14ac:dyDescent="0.3">
      <c r="A401" t="s">
        <v>39</v>
      </c>
      <c r="B401" t="s">
        <v>1275</v>
      </c>
      <c r="C401" t="s">
        <v>1275</v>
      </c>
      <c r="D401" s="4">
        <v>45994</v>
      </c>
      <c r="E401">
        <v>7528</v>
      </c>
      <c r="F401" t="s">
        <v>130</v>
      </c>
      <c r="G401" t="s">
        <v>1276</v>
      </c>
      <c r="H401" t="s">
        <v>62</v>
      </c>
      <c r="I401" t="s">
        <v>73</v>
      </c>
      <c r="J401" t="s">
        <v>63</v>
      </c>
      <c r="K401" t="s">
        <v>1277</v>
      </c>
      <c r="L401" t="s">
        <v>44</v>
      </c>
      <c r="M401" t="s">
        <v>1278</v>
      </c>
      <c r="N401">
        <v>55535</v>
      </c>
      <c r="O401" t="s">
        <v>76</v>
      </c>
      <c r="P401" t="s">
        <v>133</v>
      </c>
      <c r="Q401">
        <v>0</v>
      </c>
      <c r="R401">
        <v>0</v>
      </c>
      <c r="S401">
        <v>12.5</v>
      </c>
      <c r="T401">
        <v>0</v>
      </c>
      <c r="U401">
        <v>0</v>
      </c>
      <c r="V401" t="s">
        <v>1279</v>
      </c>
      <c r="W401">
        <v>999487256</v>
      </c>
      <c r="X401" t="s">
        <v>86</v>
      </c>
      <c r="Y401" t="s">
        <v>1280</v>
      </c>
      <c r="Z401" t="b">
        <v>0</v>
      </c>
      <c r="AA401">
        <v>602.24</v>
      </c>
      <c r="AN401" t="e">
        <f>100*(1-E401/AL401)</f>
        <v>#DIV/0!</v>
      </c>
    </row>
    <row r="402" spans="1:40" x14ac:dyDescent="0.3">
      <c r="A402" t="s">
        <v>139</v>
      </c>
      <c r="B402" t="s">
        <v>1307</v>
      </c>
      <c r="C402" t="s">
        <v>1307</v>
      </c>
      <c r="D402" s="4">
        <v>45994</v>
      </c>
      <c r="E402">
        <v>109000</v>
      </c>
      <c r="F402" t="s">
        <v>303</v>
      </c>
      <c r="G402" t="s">
        <v>374</v>
      </c>
      <c r="H402" t="s">
        <v>67</v>
      </c>
      <c r="I402" t="s">
        <v>375</v>
      </c>
      <c r="J402" t="s">
        <v>67</v>
      </c>
      <c r="K402" t="s">
        <v>1308</v>
      </c>
      <c r="L402" t="s">
        <v>44</v>
      </c>
      <c r="M402" t="s">
        <v>1309</v>
      </c>
      <c r="N402">
        <v>16345</v>
      </c>
      <c r="O402" t="s">
        <v>45</v>
      </c>
      <c r="P402" t="s">
        <v>54</v>
      </c>
      <c r="Q402" t="s">
        <v>52</v>
      </c>
      <c r="R402">
        <v>0</v>
      </c>
      <c r="S402">
        <v>74</v>
      </c>
      <c r="T402">
        <v>0</v>
      </c>
      <c r="U402">
        <v>0</v>
      </c>
      <c r="V402" t="s">
        <v>1310</v>
      </c>
      <c r="W402">
        <v>38990499</v>
      </c>
      <c r="X402" t="s">
        <v>49</v>
      </c>
      <c r="Y402" t="s">
        <v>1311</v>
      </c>
      <c r="Z402" t="b">
        <v>0</v>
      </c>
      <c r="AA402">
        <v>1472.9729729729729</v>
      </c>
      <c r="AN402" t="e">
        <f>100*(1-E402/AL402)</f>
        <v>#DIV/0!</v>
      </c>
    </row>
    <row r="403" spans="1:40" x14ac:dyDescent="0.3">
      <c r="A403" t="s">
        <v>166</v>
      </c>
      <c r="B403" t="s">
        <v>1312</v>
      </c>
      <c r="C403" t="s">
        <v>1312</v>
      </c>
      <c r="D403" s="4">
        <v>45994</v>
      </c>
      <c r="E403">
        <v>160000</v>
      </c>
      <c r="F403" t="s">
        <v>1313</v>
      </c>
      <c r="G403" t="s">
        <v>479</v>
      </c>
      <c r="H403" t="s">
        <v>124</v>
      </c>
      <c r="I403" t="s">
        <v>480</v>
      </c>
      <c r="J403" t="s">
        <v>325</v>
      </c>
      <c r="K403" t="s">
        <v>1314</v>
      </c>
      <c r="L403" t="s">
        <v>44</v>
      </c>
      <c r="M403" t="s">
        <v>1315</v>
      </c>
      <c r="N403">
        <v>27100</v>
      </c>
      <c r="O403" t="s">
        <v>45</v>
      </c>
      <c r="P403" t="s">
        <v>288</v>
      </c>
      <c r="Q403" t="s">
        <v>55</v>
      </c>
      <c r="R403">
        <v>0</v>
      </c>
      <c r="S403">
        <v>165.6</v>
      </c>
      <c r="T403">
        <v>0</v>
      </c>
      <c r="U403">
        <v>0</v>
      </c>
      <c r="V403" t="s">
        <v>1316</v>
      </c>
      <c r="W403">
        <v>45218555</v>
      </c>
      <c r="X403" t="s">
        <v>49</v>
      </c>
      <c r="Y403" t="s">
        <v>1317</v>
      </c>
      <c r="Z403" t="b">
        <v>0</v>
      </c>
      <c r="AA403">
        <v>966.18357487922708</v>
      </c>
      <c r="AN403" t="e">
        <f>100*(1-E403/AL403)</f>
        <v>#DIV/0!</v>
      </c>
    </row>
    <row r="404" spans="1:40" x14ac:dyDescent="0.3">
      <c r="A404" t="s">
        <v>166</v>
      </c>
      <c r="B404" t="s">
        <v>1318</v>
      </c>
      <c r="C404" t="s">
        <v>1318</v>
      </c>
      <c r="D404" s="4">
        <v>45994</v>
      </c>
      <c r="E404">
        <v>120118</v>
      </c>
      <c r="F404" t="s">
        <v>214</v>
      </c>
      <c r="G404" t="s">
        <v>74</v>
      </c>
      <c r="H404" t="s">
        <v>62</v>
      </c>
      <c r="I404" t="s">
        <v>75</v>
      </c>
      <c r="J404" t="s">
        <v>63</v>
      </c>
      <c r="K404" t="s">
        <v>1319</v>
      </c>
      <c r="L404" t="s">
        <v>44</v>
      </c>
      <c r="M404" t="s">
        <v>1320</v>
      </c>
      <c r="N404">
        <v>56224</v>
      </c>
      <c r="O404" t="s">
        <v>45</v>
      </c>
      <c r="P404" t="s">
        <v>54</v>
      </c>
      <c r="Q404" t="s">
        <v>1321</v>
      </c>
      <c r="R404">
        <v>0</v>
      </c>
      <c r="S404">
        <v>83.04</v>
      </c>
      <c r="T404">
        <v>0</v>
      </c>
      <c r="U404">
        <v>0</v>
      </c>
      <c r="V404" t="s">
        <v>1322</v>
      </c>
      <c r="W404">
        <v>113027968</v>
      </c>
      <c r="X404" t="s">
        <v>49</v>
      </c>
      <c r="Y404" t="s">
        <v>1323</v>
      </c>
      <c r="Z404" t="b">
        <v>0</v>
      </c>
      <c r="AA404">
        <v>1446.5077071290939</v>
      </c>
      <c r="AN404" t="e">
        <f>100*(1-E404/AL404)</f>
        <v>#DIV/0!</v>
      </c>
    </row>
    <row r="405" spans="1:40" x14ac:dyDescent="0.3">
      <c r="A405" t="s">
        <v>166</v>
      </c>
      <c r="B405" t="s">
        <v>1324</v>
      </c>
      <c r="C405" t="s">
        <v>1324</v>
      </c>
      <c r="D405" s="4">
        <v>45994</v>
      </c>
      <c r="E405">
        <v>67000</v>
      </c>
      <c r="F405" t="s">
        <v>427</v>
      </c>
      <c r="G405" t="s">
        <v>1325</v>
      </c>
      <c r="H405" t="s">
        <v>67</v>
      </c>
      <c r="I405" t="s">
        <v>1326</v>
      </c>
      <c r="J405" t="s">
        <v>67</v>
      </c>
      <c r="K405" t="s">
        <v>1327</v>
      </c>
      <c r="L405" t="s">
        <v>44</v>
      </c>
      <c r="M405" t="s">
        <v>1328</v>
      </c>
      <c r="N405">
        <v>14341</v>
      </c>
      <c r="O405" t="s">
        <v>45</v>
      </c>
      <c r="P405" t="s">
        <v>54</v>
      </c>
      <c r="Q405" t="s">
        <v>52</v>
      </c>
      <c r="R405">
        <v>0</v>
      </c>
      <c r="S405">
        <v>63</v>
      </c>
      <c r="T405">
        <v>0</v>
      </c>
      <c r="U405">
        <v>0</v>
      </c>
      <c r="V405" t="s">
        <v>1329</v>
      </c>
      <c r="W405">
        <v>47909687</v>
      </c>
      <c r="X405" t="s">
        <v>49</v>
      </c>
      <c r="Y405" t="s">
        <v>1330</v>
      </c>
      <c r="Z405" t="b">
        <v>0</v>
      </c>
      <c r="AA405">
        <v>1063.4920634920629</v>
      </c>
      <c r="AN405" t="e">
        <f>100*(1-E405/AL405)</f>
        <v>#DIV/0!</v>
      </c>
    </row>
    <row r="406" spans="1:40" x14ac:dyDescent="0.3">
      <c r="A406" t="s">
        <v>166</v>
      </c>
      <c r="B406" t="s">
        <v>1331</v>
      </c>
      <c r="C406" t="s">
        <v>1331</v>
      </c>
      <c r="D406" s="4">
        <v>45994</v>
      </c>
      <c r="E406">
        <v>500</v>
      </c>
      <c r="F406" t="s">
        <v>1332</v>
      </c>
      <c r="G406" t="s">
        <v>268</v>
      </c>
      <c r="H406" t="s">
        <v>136</v>
      </c>
      <c r="I406" t="s">
        <v>269</v>
      </c>
      <c r="J406" t="s">
        <v>149</v>
      </c>
      <c r="K406" t="s">
        <v>1333</v>
      </c>
      <c r="L406" t="s">
        <v>44</v>
      </c>
      <c r="M406" t="s">
        <v>269</v>
      </c>
      <c r="N406">
        <v>41500</v>
      </c>
      <c r="O406" t="s">
        <v>97</v>
      </c>
      <c r="P406" t="s">
        <v>98</v>
      </c>
      <c r="Q406">
        <v>0</v>
      </c>
      <c r="R406">
        <v>0</v>
      </c>
      <c r="S406">
        <v>1190</v>
      </c>
      <c r="T406" t="s">
        <v>48</v>
      </c>
      <c r="U406" t="s">
        <v>1334</v>
      </c>
      <c r="V406" t="s">
        <v>1335</v>
      </c>
      <c r="W406">
        <v>64505410</v>
      </c>
      <c r="X406" t="s">
        <v>49</v>
      </c>
      <c r="Y406" t="s">
        <v>1336</v>
      </c>
      <c r="Z406" t="b">
        <v>0</v>
      </c>
      <c r="AA406">
        <v>0.42016806722689082</v>
      </c>
      <c r="AN406" t="e">
        <f>100*(1-E406/AL406)</f>
        <v>#DIV/0!</v>
      </c>
    </row>
    <row r="407" spans="1:40" x14ac:dyDescent="0.3">
      <c r="A407" t="s">
        <v>71</v>
      </c>
      <c r="B407" t="s">
        <v>1337</v>
      </c>
      <c r="C407" t="s">
        <v>1337</v>
      </c>
      <c r="D407" s="4">
        <v>45994</v>
      </c>
      <c r="E407">
        <v>35000</v>
      </c>
      <c r="F407" t="s">
        <v>1338</v>
      </c>
      <c r="G407" t="s">
        <v>93</v>
      </c>
      <c r="H407" t="s">
        <v>94</v>
      </c>
      <c r="I407" t="s">
        <v>95</v>
      </c>
      <c r="J407" t="s">
        <v>96</v>
      </c>
      <c r="K407" t="s">
        <v>1339</v>
      </c>
      <c r="L407" t="s">
        <v>44</v>
      </c>
      <c r="M407" t="s">
        <v>93</v>
      </c>
      <c r="N407">
        <v>70200</v>
      </c>
      <c r="O407" t="s">
        <v>45</v>
      </c>
      <c r="P407" t="s">
        <v>81</v>
      </c>
      <c r="Q407" t="s">
        <v>52</v>
      </c>
      <c r="R407">
        <v>0</v>
      </c>
      <c r="S407">
        <v>72.92</v>
      </c>
      <c r="T407">
        <v>0</v>
      </c>
      <c r="U407">
        <v>0</v>
      </c>
      <c r="V407" t="s">
        <v>1340</v>
      </c>
      <c r="W407">
        <v>104911219</v>
      </c>
      <c r="X407" t="s">
        <v>49</v>
      </c>
      <c r="Y407">
        <v>171602208094</v>
      </c>
      <c r="Z407" t="b">
        <v>0</v>
      </c>
      <c r="AA407">
        <v>479.97805814591328</v>
      </c>
      <c r="AN407" t="e">
        <f>100*(1-E407/AL407)</f>
        <v>#DIV/0!</v>
      </c>
    </row>
    <row r="408" spans="1:40" x14ac:dyDescent="0.3">
      <c r="A408" t="s">
        <v>59</v>
      </c>
      <c r="B408" t="s">
        <v>1341</v>
      </c>
      <c r="C408" t="s">
        <v>1341</v>
      </c>
      <c r="D408" s="4">
        <v>45994</v>
      </c>
      <c r="E408">
        <v>35300</v>
      </c>
      <c r="F408" t="s">
        <v>1342</v>
      </c>
      <c r="G408" t="s">
        <v>442</v>
      </c>
      <c r="H408" t="s">
        <v>111</v>
      </c>
      <c r="I408" t="s">
        <v>443</v>
      </c>
      <c r="J408" t="s">
        <v>165</v>
      </c>
      <c r="K408" t="s">
        <v>1343</v>
      </c>
      <c r="L408" t="s">
        <v>44</v>
      </c>
      <c r="M408" t="s">
        <v>1344</v>
      </c>
      <c r="N408">
        <v>32200</v>
      </c>
      <c r="O408" t="s">
        <v>45</v>
      </c>
      <c r="P408" t="s">
        <v>54</v>
      </c>
      <c r="Q408" t="s">
        <v>55</v>
      </c>
      <c r="R408">
        <v>0</v>
      </c>
      <c r="S408">
        <v>99.75</v>
      </c>
      <c r="T408">
        <v>0</v>
      </c>
      <c r="U408">
        <v>0</v>
      </c>
      <c r="V408" t="s">
        <v>1345</v>
      </c>
      <c r="W408">
        <v>54418089</v>
      </c>
      <c r="X408" t="s">
        <v>49</v>
      </c>
      <c r="Y408" t="s">
        <v>1346</v>
      </c>
      <c r="Z408" t="b">
        <v>0</v>
      </c>
      <c r="AA408">
        <v>353.88471177944859</v>
      </c>
      <c r="AN408" t="e">
        <f>100*(1-E408/AL408)</f>
        <v>#DIV/0!</v>
      </c>
    </row>
    <row r="409" spans="1:40" x14ac:dyDescent="0.3">
      <c r="A409" t="s">
        <v>39</v>
      </c>
      <c r="B409" t="s">
        <v>1347</v>
      </c>
      <c r="C409" t="s">
        <v>1347</v>
      </c>
      <c r="D409" s="4">
        <v>45994</v>
      </c>
      <c r="E409">
        <v>34578</v>
      </c>
      <c r="F409" t="s">
        <v>436</v>
      </c>
      <c r="G409" t="s">
        <v>474</v>
      </c>
      <c r="H409" t="s">
        <v>230</v>
      </c>
      <c r="I409" t="s">
        <v>475</v>
      </c>
      <c r="J409" t="s">
        <v>464</v>
      </c>
      <c r="K409" t="s">
        <v>1348</v>
      </c>
      <c r="L409" t="s">
        <v>44</v>
      </c>
      <c r="M409" t="s">
        <v>1349</v>
      </c>
      <c r="N409">
        <v>68200</v>
      </c>
      <c r="O409" t="s">
        <v>45</v>
      </c>
      <c r="P409" t="s">
        <v>54</v>
      </c>
      <c r="Q409" t="s">
        <v>55</v>
      </c>
      <c r="R409">
        <v>0</v>
      </c>
      <c r="S409">
        <v>69.95</v>
      </c>
      <c r="T409">
        <v>0</v>
      </c>
      <c r="U409">
        <v>0</v>
      </c>
      <c r="V409" t="s">
        <v>1350</v>
      </c>
      <c r="W409">
        <v>66960879</v>
      </c>
      <c r="X409" t="s">
        <v>49</v>
      </c>
      <c r="Y409" t="s">
        <v>1351</v>
      </c>
      <c r="Z409" t="b">
        <v>0</v>
      </c>
      <c r="AA409">
        <v>494.32451751250892</v>
      </c>
      <c r="AN409" t="e">
        <f>100*(1-E409/AL409)</f>
        <v>#DIV/0!</v>
      </c>
    </row>
    <row r="410" spans="1:40" x14ac:dyDescent="0.3">
      <c r="A410" t="s">
        <v>71</v>
      </c>
      <c r="B410" t="s">
        <v>1352</v>
      </c>
      <c r="C410" t="s">
        <v>1353</v>
      </c>
      <c r="D410" s="4">
        <v>45994</v>
      </c>
      <c r="E410">
        <v>350000</v>
      </c>
      <c r="F410" t="s">
        <v>1354</v>
      </c>
      <c r="G410" t="s">
        <v>115</v>
      </c>
      <c r="H410" t="s">
        <v>67</v>
      </c>
      <c r="I410" t="s">
        <v>116</v>
      </c>
      <c r="J410" t="s">
        <v>67</v>
      </c>
      <c r="K410" t="s">
        <v>1355</v>
      </c>
      <c r="L410" t="s">
        <v>44</v>
      </c>
      <c r="M410" t="s">
        <v>1356</v>
      </c>
      <c r="N410">
        <v>11142</v>
      </c>
      <c r="O410" t="s">
        <v>50</v>
      </c>
      <c r="P410" t="s">
        <v>51</v>
      </c>
      <c r="Q410" t="s">
        <v>52</v>
      </c>
      <c r="R410">
        <v>0</v>
      </c>
      <c r="S410">
        <v>385</v>
      </c>
      <c r="T410">
        <v>0</v>
      </c>
      <c r="U410">
        <v>0</v>
      </c>
      <c r="V410" t="s">
        <v>1357</v>
      </c>
      <c r="W410" t="s">
        <v>1358</v>
      </c>
      <c r="X410" t="s">
        <v>49</v>
      </c>
      <c r="Y410" t="s">
        <v>1359</v>
      </c>
      <c r="Z410" t="b">
        <v>0</v>
      </c>
      <c r="AA410">
        <v>909.09090909090912</v>
      </c>
      <c r="AN410" t="e">
        <f>100*(1-E410/AL410)</f>
        <v>#DIV/0!</v>
      </c>
    </row>
    <row r="411" spans="1:40" x14ac:dyDescent="0.3">
      <c r="A411" t="s">
        <v>71</v>
      </c>
      <c r="B411" t="s">
        <v>1360</v>
      </c>
      <c r="C411" t="s">
        <v>1353</v>
      </c>
      <c r="D411" s="4">
        <v>45994</v>
      </c>
      <c r="E411">
        <v>90000</v>
      </c>
      <c r="F411" t="s">
        <v>1361</v>
      </c>
      <c r="G411" t="s">
        <v>115</v>
      </c>
      <c r="H411" t="s">
        <v>67</v>
      </c>
      <c r="I411" t="s">
        <v>116</v>
      </c>
      <c r="J411" t="s">
        <v>67</v>
      </c>
      <c r="K411" t="s">
        <v>1355</v>
      </c>
      <c r="L411" t="s">
        <v>44</v>
      </c>
      <c r="M411" t="s">
        <v>1356</v>
      </c>
      <c r="N411">
        <v>11142</v>
      </c>
      <c r="O411" t="s">
        <v>50</v>
      </c>
      <c r="P411" t="s">
        <v>51</v>
      </c>
      <c r="Q411" t="s">
        <v>52</v>
      </c>
      <c r="R411">
        <v>0</v>
      </c>
      <c r="S411">
        <v>106</v>
      </c>
      <c r="T411">
        <v>0</v>
      </c>
      <c r="U411">
        <v>0</v>
      </c>
      <c r="V411" t="s">
        <v>1357</v>
      </c>
      <c r="W411" t="s">
        <v>1358</v>
      </c>
      <c r="X411" t="s">
        <v>49</v>
      </c>
      <c r="Y411" t="s">
        <v>1362</v>
      </c>
      <c r="Z411" t="b">
        <v>0</v>
      </c>
      <c r="AA411">
        <v>849.05660377358492</v>
      </c>
      <c r="AN411" t="e">
        <f>100*(1-E411/AL411)</f>
        <v>#DIV/0!</v>
      </c>
    </row>
    <row r="412" spans="1:40" x14ac:dyDescent="0.3">
      <c r="A412" t="s">
        <v>71</v>
      </c>
      <c r="B412" t="s">
        <v>1363</v>
      </c>
      <c r="C412" t="s">
        <v>1363</v>
      </c>
      <c r="D412" s="4">
        <v>45994</v>
      </c>
      <c r="E412">
        <v>86000</v>
      </c>
      <c r="F412" t="s">
        <v>1364</v>
      </c>
      <c r="G412" t="s">
        <v>1365</v>
      </c>
      <c r="H412" t="s">
        <v>94</v>
      </c>
      <c r="I412" t="s">
        <v>105</v>
      </c>
      <c r="J412" t="s">
        <v>105</v>
      </c>
      <c r="K412" t="s">
        <v>1366</v>
      </c>
      <c r="L412" t="s">
        <v>44</v>
      </c>
      <c r="M412" t="s">
        <v>1367</v>
      </c>
      <c r="N412">
        <v>73131</v>
      </c>
      <c r="O412" t="s">
        <v>97</v>
      </c>
      <c r="P412" t="s">
        <v>98</v>
      </c>
      <c r="Q412">
        <v>0</v>
      </c>
      <c r="R412">
        <v>0</v>
      </c>
      <c r="S412">
        <v>1144</v>
      </c>
      <c r="T412">
        <v>0</v>
      </c>
      <c r="U412">
        <v>0</v>
      </c>
      <c r="V412" t="s">
        <v>1368</v>
      </c>
      <c r="W412">
        <v>36731052</v>
      </c>
      <c r="X412" t="s">
        <v>49</v>
      </c>
      <c r="Y412" t="s">
        <v>1369</v>
      </c>
      <c r="Z412" t="b">
        <v>0</v>
      </c>
      <c r="AA412">
        <v>75.174825174825173</v>
      </c>
      <c r="AN412" t="e">
        <f>100*(1-E412/AL412)</f>
        <v>#DIV/0!</v>
      </c>
    </row>
    <row r="413" spans="1:40" x14ac:dyDescent="0.3">
      <c r="A413" t="s">
        <v>166</v>
      </c>
      <c r="B413" t="s">
        <v>1370</v>
      </c>
      <c r="C413" t="s">
        <v>1371</v>
      </c>
      <c r="D413" s="4">
        <v>45994</v>
      </c>
      <c r="E413">
        <v>26000</v>
      </c>
      <c r="F413" t="s">
        <v>487</v>
      </c>
      <c r="G413" t="s">
        <v>1372</v>
      </c>
      <c r="H413" t="s">
        <v>136</v>
      </c>
      <c r="I413" t="s">
        <v>1373</v>
      </c>
      <c r="J413" t="s">
        <v>138</v>
      </c>
      <c r="K413" t="s">
        <v>1374</v>
      </c>
      <c r="L413" t="s">
        <v>44</v>
      </c>
      <c r="M413" t="s">
        <v>1375</v>
      </c>
      <c r="N413">
        <v>42200</v>
      </c>
      <c r="O413" t="s">
        <v>76</v>
      </c>
      <c r="P413" t="s">
        <v>133</v>
      </c>
      <c r="Q413">
        <v>0</v>
      </c>
      <c r="R413">
        <v>0</v>
      </c>
      <c r="S413">
        <v>31.36</v>
      </c>
      <c r="T413">
        <v>0</v>
      </c>
      <c r="U413">
        <v>0</v>
      </c>
      <c r="V413" t="s">
        <v>1376</v>
      </c>
      <c r="W413">
        <v>56713178</v>
      </c>
      <c r="X413" t="s">
        <v>49</v>
      </c>
      <c r="Y413" t="s">
        <v>1377</v>
      </c>
      <c r="Z413" t="b">
        <v>0</v>
      </c>
      <c r="AA413">
        <v>829.08163265306121</v>
      </c>
      <c r="AN413" t="e">
        <f>100*(1-E413/AL413)</f>
        <v>#DIV/0!</v>
      </c>
    </row>
    <row r="414" spans="1:40" x14ac:dyDescent="0.3">
      <c r="A414" t="s">
        <v>166</v>
      </c>
      <c r="B414" t="s">
        <v>1378</v>
      </c>
      <c r="C414" t="s">
        <v>1371</v>
      </c>
      <c r="D414" s="4">
        <v>45994</v>
      </c>
      <c r="E414">
        <v>12000</v>
      </c>
      <c r="F414" t="s">
        <v>1379</v>
      </c>
      <c r="G414" t="s">
        <v>1372</v>
      </c>
      <c r="H414" t="s">
        <v>136</v>
      </c>
      <c r="I414" t="s">
        <v>1373</v>
      </c>
      <c r="J414" t="s">
        <v>138</v>
      </c>
      <c r="K414" t="s">
        <v>1374</v>
      </c>
      <c r="L414" t="s">
        <v>44</v>
      </c>
      <c r="M414" t="s">
        <v>1375</v>
      </c>
      <c r="N414">
        <v>42200</v>
      </c>
      <c r="O414" t="s">
        <v>76</v>
      </c>
      <c r="P414" t="s">
        <v>133</v>
      </c>
      <c r="Q414">
        <v>0</v>
      </c>
      <c r="R414">
        <v>0</v>
      </c>
      <c r="S414">
        <v>14.94</v>
      </c>
      <c r="T414">
        <v>0</v>
      </c>
      <c r="U414">
        <v>0</v>
      </c>
      <c r="V414" t="s">
        <v>1376</v>
      </c>
      <c r="W414">
        <v>56713178</v>
      </c>
      <c r="X414" t="s">
        <v>49</v>
      </c>
      <c r="Y414" t="s">
        <v>1380</v>
      </c>
      <c r="Z414" t="b">
        <v>0</v>
      </c>
      <c r="AA414">
        <v>803.21285140562247</v>
      </c>
      <c r="AN414" t="e">
        <f>100*(1-E414/AL414)</f>
        <v>#DIV/0!</v>
      </c>
    </row>
    <row r="415" spans="1:40" x14ac:dyDescent="0.3">
      <c r="A415" t="s">
        <v>166</v>
      </c>
      <c r="B415" t="s">
        <v>1381</v>
      </c>
      <c r="C415" t="s">
        <v>1371</v>
      </c>
      <c r="D415" s="4">
        <v>45994</v>
      </c>
      <c r="E415">
        <v>22000</v>
      </c>
      <c r="F415" t="s">
        <v>441</v>
      </c>
      <c r="G415" t="s">
        <v>1372</v>
      </c>
      <c r="H415" t="s">
        <v>136</v>
      </c>
      <c r="I415" t="s">
        <v>1373</v>
      </c>
      <c r="J415" t="s">
        <v>138</v>
      </c>
      <c r="K415" t="s">
        <v>1374</v>
      </c>
      <c r="L415" t="s">
        <v>44</v>
      </c>
      <c r="M415" t="s">
        <v>1375</v>
      </c>
      <c r="N415">
        <v>42200</v>
      </c>
      <c r="O415" t="s">
        <v>76</v>
      </c>
      <c r="P415" t="s">
        <v>133</v>
      </c>
      <c r="Q415">
        <v>0</v>
      </c>
      <c r="R415">
        <v>0</v>
      </c>
      <c r="S415">
        <v>27.22</v>
      </c>
      <c r="T415">
        <v>0</v>
      </c>
      <c r="U415">
        <v>0</v>
      </c>
      <c r="V415" t="s">
        <v>1376</v>
      </c>
      <c r="W415">
        <v>56713178</v>
      </c>
      <c r="X415" t="s">
        <v>49</v>
      </c>
      <c r="Y415" t="s">
        <v>1382</v>
      </c>
      <c r="Z415" t="b">
        <v>0</v>
      </c>
      <c r="AA415">
        <v>808.22924320352683</v>
      </c>
      <c r="AN415" t="e">
        <f>100*(1-E415/AL415)</f>
        <v>#DIV/0!</v>
      </c>
    </row>
    <row r="416" spans="1:40" x14ac:dyDescent="0.3">
      <c r="A416" t="s">
        <v>166</v>
      </c>
      <c r="B416" t="s">
        <v>1383</v>
      </c>
      <c r="C416" t="s">
        <v>1371</v>
      </c>
      <c r="D416" s="4">
        <v>45994</v>
      </c>
      <c r="E416">
        <v>94000</v>
      </c>
      <c r="F416" t="s">
        <v>1384</v>
      </c>
      <c r="G416" t="s">
        <v>1372</v>
      </c>
      <c r="H416" t="s">
        <v>136</v>
      </c>
      <c r="I416" t="s">
        <v>1373</v>
      </c>
      <c r="J416" t="s">
        <v>138</v>
      </c>
      <c r="K416" t="s">
        <v>1374</v>
      </c>
      <c r="L416" t="s">
        <v>44</v>
      </c>
      <c r="M416" t="s">
        <v>1375</v>
      </c>
      <c r="N416">
        <v>42200</v>
      </c>
      <c r="O416" t="s">
        <v>50</v>
      </c>
      <c r="P416" t="s">
        <v>51</v>
      </c>
      <c r="Q416" t="s">
        <v>52</v>
      </c>
      <c r="R416">
        <v>0</v>
      </c>
      <c r="S416">
        <v>79.489999999999995</v>
      </c>
      <c r="T416">
        <v>0</v>
      </c>
      <c r="U416">
        <v>0</v>
      </c>
      <c r="V416" t="s">
        <v>1376</v>
      </c>
      <c r="W416">
        <v>56713178</v>
      </c>
      <c r="X416" t="s">
        <v>49</v>
      </c>
      <c r="Y416" t="s">
        <v>1385</v>
      </c>
      <c r="Z416" t="b">
        <v>0</v>
      </c>
      <c r="AA416">
        <v>1182.538684111209</v>
      </c>
      <c r="AN416" t="e">
        <f>100*(1-E416/AL416)</f>
        <v>#DIV/0!</v>
      </c>
    </row>
    <row r="417" spans="1:40" x14ac:dyDescent="0.3">
      <c r="A417" t="s">
        <v>71</v>
      </c>
      <c r="B417" t="s">
        <v>1386</v>
      </c>
      <c r="C417" t="s">
        <v>1386</v>
      </c>
      <c r="D417" s="4">
        <v>45994</v>
      </c>
      <c r="E417">
        <v>21000</v>
      </c>
      <c r="F417" t="s">
        <v>177</v>
      </c>
      <c r="G417" t="s">
        <v>155</v>
      </c>
      <c r="H417" t="s">
        <v>156</v>
      </c>
      <c r="I417" t="s">
        <v>157</v>
      </c>
      <c r="J417" t="s">
        <v>157</v>
      </c>
      <c r="K417" t="s">
        <v>1387</v>
      </c>
      <c r="L417" t="s">
        <v>44</v>
      </c>
      <c r="M417" t="s">
        <v>1388</v>
      </c>
      <c r="N417">
        <v>49100</v>
      </c>
      <c r="O417" t="s">
        <v>97</v>
      </c>
      <c r="P417" t="s">
        <v>98</v>
      </c>
      <c r="Q417">
        <v>0</v>
      </c>
      <c r="R417">
        <v>0</v>
      </c>
      <c r="S417">
        <v>500</v>
      </c>
      <c r="T417">
        <v>0</v>
      </c>
      <c r="U417">
        <v>0</v>
      </c>
      <c r="V417" t="s">
        <v>1389</v>
      </c>
      <c r="W417">
        <v>37996353</v>
      </c>
      <c r="X417" t="s">
        <v>49</v>
      </c>
      <c r="Y417">
        <v>0</v>
      </c>
      <c r="Z417" t="b">
        <v>0</v>
      </c>
      <c r="AA417">
        <v>42</v>
      </c>
      <c r="AN417" t="e">
        <f>100*(1-E417/AL417)</f>
        <v>#DIV/0!</v>
      </c>
    </row>
    <row r="418" spans="1:40" x14ac:dyDescent="0.3">
      <c r="A418" t="s">
        <v>166</v>
      </c>
      <c r="B418" t="s">
        <v>1390</v>
      </c>
      <c r="C418" t="s">
        <v>1390</v>
      </c>
      <c r="D418" s="4">
        <v>45994</v>
      </c>
      <c r="E418">
        <v>110000</v>
      </c>
      <c r="F418" t="s">
        <v>1391</v>
      </c>
      <c r="G418" t="s">
        <v>155</v>
      </c>
      <c r="H418" t="s">
        <v>156</v>
      </c>
      <c r="I418" t="s">
        <v>157</v>
      </c>
      <c r="J418" t="s">
        <v>157</v>
      </c>
      <c r="K418" t="s">
        <v>1392</v>
      </c>
      <c r="L418" t="s">
        <v>44</v>
      </c>
      <c r="M418" t="s">
        <v>1393</v>
      </c>
      <c r="N418">
        <v>49083</v>
      </c>
      <c r="O418" t="s">
        <v>45</v>
      </c>
      <c r="P418" t="s">
        <v>54</v>
      </c>
      <c r="Q418" t="s">
        <v>55</v>
      </c>
      <c r="R418">
        <v>0</v>
      </c>
      <c r="S418">
        <v>56.49</v>
      </c>
      <c r="T418">
        <v>0</v>
      </c>
      <c r="U418">
        <v>0</v>
      </c>
      <c r="V418" t="s">
        <v>1394</v>
      </c>
      <c r="W418">
        <v>18904691</v>
      </c>
      <c r="X418" t="s">
        <v>49</v>
      </c>
      <c r="Y418">
        <v>0</v>
      </c>
      <c r="Z418" t="b">
        <v>0</v>
      </c>
      <c r="AA418">
        <v>1947.2473004071519</v>
      </c>
      <c r="AN418" t="e">
        <f>100*(1-E418/AL418)</f>
        <v>#DIV/0!</v>
      </c>
    </row>
    <row r="419" spans="1:40" x14ac:dyDescent="0.3">
      <c r="A419" t="s">
        <v>59</v>
      </c>
      <c r="B419" t="s">
        <v>1172</v>
      </c>
      <c r="C419" t="s">
        <v>1172</v>
      </c>
      <c r="D419" s="4">
        <v>45994</v>
      </c>
      <c r="E419">
        <v>3000</v>
      </c>
      <c r="F419" t="s">
        <v>1173</v>
      </c>
      <c r="G419" t="s">
        <v>1174</v>
      </c>
      <c r="H419" t="s">
        <v>94</v>
      </c>
      <c r="I419" t="s">
        <v>448</v>
      </c>
      <c r="J419" t="s">
        <v>449</v>
      </c>
      <c r="K419" t="s">
        <v>1175</v>
      </c>
      <c r="L419" t="s">
        <v>80</v>
      </c>
      <c r="M419" t="s">
        <v>1176</v>
      </c>
      <c r="N419">
        <v>74051</v>
      </c>
      <c r="O419" t="s">
        <v>45</v>
      </c>
      <c r="P419" t="s">
        <v>232</v>
      </c>
      <c r="Q419">
        <v>0</v>
      </c>
      <c r="R419">
        <v>0</v>
      </c>
      <c r="S419">
        <v>13</v>
      </c>
      <c r="T419">
        <v>0</v>
      </c>
      <c r="U419">
        <v>0</v>
      </c>
      <c r="V419" t="s">
        <v>1177</v>
      </c>
      <c r="W419">
        <v>62821089</v>
      </c>
      <c r="X419" t="s">
        <v>86</v>
      </c>
      <c r="Y419">
        <v>0</v>
      </c>
      <c r="Z419" t="b">
        <v>0</v>
      </c>
      <c r="AA419">
        <v>230.7692307692308</v>
      </c>
      <c r="AN419" t="e">
        <f>100*(1-E419/AL419)</f>
        <v>#DIV/0!</v>
      </c>
    </row>
    <row r="420" spans="1:40" x14ac:dyDescent="0.3">
      <c r="A420" t="s">
        <v>183</v>
      </c>
      <c r="B420" t="s">
        <v>1395</v>
      </c>
      <c r="C420" t="s">
        <v>1395</v>
      </c>
      <c r="D420" s="4">
        <v>45994</v>
      </c>
      <c r="E420">
        <v>113640</v>
      </c>
      <c r="F420" t="s">
        <v>483</v>
      </c>
      <c r="G420" t="s">
        <v>497</v>
      </c>
      <c r="H420" t="s">
        <v>62</v>
      </c>
      <c r="I420" t="s">
        <v>498</v>
      </c>
      <c r="J420" t="s">
        <v>63</v>
      </c>
      <c r="K420" t="s">
        <v>1396</v>
      </c>
      <c r="L420" t="s">
        <v>44</v>
      </c>
      <c r="M420" t="s">
        <v>1397</v>
      </c>
      <c r="N420">
        <v>56123</v>
      </c>
      <c r="O420" t="s">
        <v>45</v>
      </c>
      <c r="P420" t="s">
        <v>54</v>
      </c>
      <c r="Q420" t="s">
        <v>100</v>
      </c>
      <c r="R420">
        <v>0</v>
      </c>
      <c r="S420">
        <v>79</v>
      </c>
      <c r="T420">
        <v>0</v>
      </c>
      <c r="U420">
        <v>0</v>
      </c>
      <c r="V420" t="s">
        <v>1398</v>
      </c>
      <c r="W420">
        <v>119865594</v>
      </c>
      <c r="X420" t="s">
        <v>49</v>
      </c>
      <c r="Y420" t="s">
        <v>1399</v>
      </c>
      <c r="Z420" t="b">
        <v>0</v>
      </c>
      <c r="AA420">
        <v>1438.4810126582281</v>
      </c>
      <c r="AN420" t="e">
        <f>100*(1-E420/AL420)</f>
        <v>#DIV/0!</v>
      </c>
    </row>
    <row r="421" spans="1:40" x14ac:dyDescent="0.3">
      <c r="A421" t="s">
        <v>59</v>
      </c>
      <c r="B421" t="s">
        <v>1400</v>
      </c>
      <c r="C421" t="s">
        <v>1400</v>
      </c>
      <c r="D421" s="4">
        <v>45994</v>
      </c>
      <c r="E421">
        <v>8000</v>
      </c>
      <c r="F421" t="s">
        <v>1401</v>
      </c>
      <c r="G421" t="s">
        <v>1402</v>
      </c>
      <c r="H421" t="s">
        <v>196</v>
      </c>
      <c r="I421" t="s">
        <v>1403</v>
      </c>
      <c r="J421" t="s">
        <v>198</v>
      </c>
      <c r="K421" t="s">
        <v>1404</v>
      </c>
      <c r="L421" t="s">
        <v>80</v>
      </c>
      <c r="M421" t="s">
        <v>1405</v>
      </c>
      <c r="N421">
        <v>84300</v>
      </c>
      <c r="O421" t="s">
        <v>45</v>
      </c>
      <c r="P421" t="s">
        <v>56</v>
      </c>
      <c r="Q421">
        <v>0</v>
      </c>
      <c r="R421">
        <v>0</v>
      </c>
      <c r="S421">
        <v>0</v>
      </c>
      <c r="T421" t="s">
        <v>92</v>
      </c>
      <c r="U421">
        <v>100</v>
      </c>
      <c r="V421" t="s">
        <v>1406</v>
      </c>
      <c r="W421">
        <v>70767660</v>
      </c>
      <c r="X421" t="s">
        <v>86</v>
      </c>
      <c r="Y421">
        <v>0</v>
      </c>
      <c r="Z421" t="b">
        <v>0</v>
      </c>
      <c r="AA421" t="s">
        <v>58</v>
      </c>
      <c r="AN421" t="e">
        <f>100*(1-E421/AL421)</f>
        <v>#DIV/0!</v>
      </c>
    </row>
    <row r="422" spans="1:40" x14ac:dyDescent="0.3">
      <c r="A422" t="s">
        <v>59</v>
      </c>
      <c r="B422" t="s">
        <v>1400</v>
      </c>
      <c r="C422" t="s">
        <v>1400</v>
      </c>
      <c r="D422" s="4">
        <v>45994</v>
      </c>
      <c r="E422">
        <v>8000</v>
      </c>
      <c r="F422" t="s">
        <v>1401</v>
      </c>
      <c r="G422" t="s">
        <v>1402</v>
      </c>
      <c r="H422" t="s">
        <v>196</v>
      </c>
      <c r="I422" t="s">
        <v>1403</v>
      </c>
      <c r="J422" t="s">
        <v>198</v>
      </c>
      <c r="K422" t="s">
        <v>1404</v>
      </c>
      <c r="L422" t="s">
        <v>80</v>
      </c>
      <c r="M422" t="s">
        <v>1405</v>
      </c>
      <c r="N422">
        <v>84300</v>
      </c>
      <c r="O422" t="s">
        <v>45</v>
      </c>
      <c r="P422" t="s">
        <v>56</v>
      </c>
      <c r="Q422">
        <v>0</v>
      </c>
      <c r="R422">
        <v>0</v>
      </c>
      <c r="S422">
        <v>0</v>
      </c>
      <c r="T422" t="s">
        <v>92</v>
      </c>
      <c r="U422">
        <v>100</v>
      </c>
      <c r="V422" t="s">
        <v>1406</v>
      </c>
      <c r="W422">
        <v>70767660</v>
      </c>
      <c r="X422" t="s">
        <v>86</v>
      </c>
      <c r="Y422">
        <v>0</v>
      </c>
      <c r="Z422" t="b">
        <v>0</v>
      </c>
      <c r="AA422" t="s">
        <v>58</v>
      </c>
      <c r="AN422" t="e">
        <f>100*(1-E422/AL422)</f>
        <v>#DIV/0!</v>
      </c>
    </row>
    <row r="423" spans="1:40" x14ac:dyDescent="0.3">
      <c r="A423" t="s">
        <v>59</v>
      </c>
      <c r="B423" t="s">
        <v>1400</v>
      </c>
      <c r="C423" t="s">
        <v>1400</v>
      </c>
      <c r="D423" s="4">
        <v>45994</v>
      </c>
      <c r="E423">
        <v>8000</v>
      </c>
      <c r="F423" t="s">
        <v>1401</v>
      </c>
      <c r="G423" t="s">
        <v>1402</v>
      </c>
      <c r="H423" t="s">
        <v>196</v>
      </c>
      <c r="I423" t="s">
        <v>1403</v>
      </c>
      <c r="J423" t="s">
        <v>198</v>
      </c>
      <c r="K423" t="s">
        <v>1404</v>
      </c>
      <c r="L423" t="s">
        <v>80</v>
      </c>
      <c r="M423" t="s">
        <v>1405</v>
      </c>
      <c r="N423">
        <v>84300</v>
      </c>
      <c r="O423" t="s">
        <v>45</v>
      </c>
      <c r="P423" t="s">
        <v>56</v>
      </c>
      <c r="Q423">
        <v>0</v>
      </c>
      <c r="R423">
        <v>0</v>
      </c>
      <c r="S423">
        <v>0</v>
      </c>
      <c r="T423" t="s">
        <v>92</v>
      </c>
      <c r="U423">
        <v>100</v>
      </c>
      <c r="V423" t="s">
        <v>1406</v>
      </c>
      <c r="W423">
        <v>70767660</v>
      </c>
      <c r="X423" t="s">
        <v>86</v>
      </c>
      <c r="Y423">
        <v>0</v>
      </c>
      <c r="Z423" t="b">
        <v>0</v>
      </c>
      <c r="AA423" t="s">
        <v>58</v>
      </c>
      <c r="AN423" t="e">
        <f>100*(1-E423/AL423)</f>
        <v>#DIV/0!</v>
      </c>
    </row>
    <row r="424" spans="1:40" x14ac:dyDescent="0.3">
      <c r="A424" t="s">
        <v>59</v>
      </c>
      <c r="B424" t="s">
        <v>1407</v>
      </c>
      <c r="C424" t="s">
        <v>1408</v>
      </c>
      <c r="D424" s="4">
        <v>45994</v>
      </c>
      <c r="E424">
        <v>4000</v>
      </c>
      <c r="F424" t="s">
        <v>1409</v>
      </c>
      <c r="G424" t="s">
        <v>1410</v>
      </c>
      <c r="H424" t="s">
        <v>230</v>
      </c>
      <c r="I424" t="s">
        <v>475</v>
      </c>
      <c r="J424" t="s">
        <v>464</v>
      </c>
      <c r="K424" t="s">
        <v>1411</v>
      </c>
      <c r="L424" t="s">
        <v>44</v>
      </c>
      <c r="M424" t="s">
        <v>1412</v>
      </c>
      <c r="N424">
        <v>68001</v>
      </c>
      <c r="O424" t="s">
        <v>97</v>
      </c>
      <c r="P424" t="s">
        <v>118</v>
      </c>
      <c r="Q424">
        <v>0</v>
      </c>
      <c r="R424">
        <v>0</v>
      </c>
      <c r="S424">
        <v>4068</v>
      </c>
      <c r="T424">
        <v>0</v>
      </c>
      <c r="U424">
        <v>0</v>
      </c>
      <c r="V424" t="s">
        <v>1413</v>
      </c>
      <c r="W424">
        <v>45571676</v>
      </c>
      <c r="X424" t="s">
        <v>49</v>
      </c>
      <c r="Y424" t="s">
        <v>1414</v>
      </c>
      <c r="Z424" t="b">
        <v>0</v>
      </c>
      <c r="AA424">
        <v>0.98328416912487704</v>
      </c>
      <c r="AN424" t="e">
        <f>100*(1-E424/AL424)</f>
        <v>#DIV/0!</v>
      </c>
    </row>
    <row r="425" spans="1:40" x14ac:dyDescent="0.3">
      <c r="A425" t="s">
        <v>59</v>
      </c>
      <c r="B425" t="s">
        <v>1415</v>
      </c>
      <c r="C425" t="s">
        <v>1408</v>
      </c>
      <c r="D425" s="4">
        <v>45994</v>
      </c>
      <c r="E425">
        <v>16000</v>
      </c>
      <c r="F425" t="s">
        <v>1416</v>
      </c>
      <c r="G425" t="s">
        <v>1410</v>
      </c>
      <c r="H425" t="s">
        <v>230</v>
      </c>
      <c r="I425" t="s">
        <v>475</v>
      </c>
      <c r="J425" t="s">
        <v>464</v>
      </c>
      <c r="K425" t="s">
        <v>1417</v>
      </c>
      <c r="L425" t="s">
        <v>44</v>
      </c>
      <c r="M425" t="s">
        <v>1418</v>
      </c>
      <c r="N425">
        <v>68001</v>
      </c>
      <c r="O425" t="s">
        <v>97</v>
      </c>
      <c r="P425" t="s">
        <v>118</v>
      </c>
      <c r="Q425">
        <v>0</v>
      </c>
      <c r="R425">
        <v>0</v>
      </c>
      <c r="S425">
        <v>18228.45</v>
      </c>
      <c r="T425">
        <v>0</v>
      </c>
      <c r="U425">
        <v>0</v>
      </c>
      <c r="V425" t="s">
        <v>1413</v>
      </c>
      <c r="W425">
        <v>45571676</v>
      </c>
      <c r="X425" t="s">
        <v>49</v>
      </c>
      <c r="Y425" t="s">
        <v>1419</v>
      </c>
      <c r="Z425" t="b">
        <v>0</v>
      </c>
      <c r="AA425">
        <v>0.87774879378114978</v>
      </c>
      <c r="AN425" t="e">
        <f>100*(1-E425/AL425)</f>
        <v>#DIV/0!</v>
      </c>
    </row>
    <row r="426" spans="1:40" x14ac:dyDescent="0.3">
      <c r="A426" t="s">
        <v>59</v>
      </c>
      <c r="B426" t="s">
        <v>1420</v>
      </c>
      <c r="C426" t="s">
        <v>1408</v>
      </c>
      <c r="D426" s="4">
        <v>45994</v>
      </c>
      <c r="E426">
        <v>3000</v>
      </c>
      <c r="F426" t="s">
        <v>1421</v>
      </c>
      <c r="G426" t="s">
        <v>1410</v>
      </c>
      <c r="H426" t="s">
        <v>230</v>
      </c>
      <c r="I426" t="s">
        <v>475</v>
      </c>
      <c r="J426" t="s">
        <v>464</v>
      </c>
      <c r="K426" t="s">
        <v>1422</v>
      </c>
      <c r="L426" t="s">
        <v>44</v>
      </c>
      <c r="M426" t="s">
        <v>1423</v>
      </c>
      <c r="N426">
        <v>68001</v>
      </c>
      <c r="O426" t="s">
        <v>97</v>
      </c>
      <c r="P426" t="s">
        <v>118</v>
      </c>
      <c r="Q426">
        <v>0</v>
      </c>
      <c r="R426">
        <v>0</v>
      </c>
      <c r="S426">
        <v>2771.88</v>
      </c>
      <c r="T426">
        <v>0</v>
      </c>
      <c r="U426">
        <v>0</v>
      </c>
      <c r="V426" t="s">
        <v>1413</v>
      </c>
      <c r="W426">
        <v>45571676</v>
      </c>
      <c r="X426" t="s">
        <v>49</v>
      </c>
      <c r="Y426" t="s">
        <v>1424</v>
      </c>
      <c r="Z426" t="b">
        <v>0</v>
      </c>
      <c r="AA426">
        <v>1.0822979349755399</v>
      </c>
      <c r="AN426" t="e">
        <f>100*(1-E426/AL426)</f>
        <v>#DIV/0!</v>
      </c>
    </row>
    <row r="427" spans="1:40" x14ac:dyDescent="0.3">
      <c r="A427" t="s">
        <v>59</v>
      </c>
      <c r="B427" t="s">
        <v>1425</v>
      </c>
      <c r="C427" t="s">
        <v>1408</v>
      </c>
      <c r="D427" s="4">
        <v>45994</v>
      </c>
      <c r="E427">
        <v>8000</v>
      </c>
      <c r="F427" t="s">
        <v>1426</v>
      </c>
      <c r="G427" t="s">
        <v>1410</v>
      </c>
      <c r="H427" t="s">
        <v>230</v>
      </c>
      <c r="I427" t="s">
        <v>475</v>
      </c>
      <c r="J427" t="s">
        <v>464</v>
      </c>
      <c r="K427" t="s">
        <v>1427</v>
      </c>
      <c r="L427" t="s">
        <v>44</v>
      </c>
      <c r="M427" t="s">
        <v>1412</v>
      </c>
      <c r="N427">
        <v>68001</v>
      </c>
      <c r="O427" t="s">
        <v>97</v>
      </c>
      <c r="P427" t="s">
        <v>118</v>
      </c>
      <c r="Q427">
        <v>0</v>
      </c>
      <c r="R427">
        <v>0</v>
      </c>
      <c r="S427">
        <v>8528.25</v>
      </c>
      <c r="T427">
        <v>0</v>
      </c>
      <c r="U427">
        <v>0</v>
      </c>
      <c r="V427" t="s">
        <v>1413</v>
      </c>
      <c r="W427">
        <v>45571676</v>
      </c>
      <c r="X427" t="s">
        <v>49</v>
      </c>
      <c r="Y427" t="s">
        <v>1428</v>
      </c>
      <c r="Z427" t="b">
        <v>0</v>
      </c>
      <c r="AA427">
        <v>0.93805880456131097</v>
      </c>
      <c r="AN427" t="e">
        <f>100*(1-E427/AL427)</f>
        <v>#DIV/0!</v>
      </c>
    </row>
    <row r="428" spans="1:40" x14ac:dyDescent="0.3">
      <c r="A428" t="s">
        <v>59</v>
      </c>
      <c r="B428" t="s">
        <v>1429</v>
      </c>
      <c r="C428" t="s">
        <v>1408</v>
      </c>
      <c r="D428" s="4">
        <v>45994</v>
      </c>
      <c r="E428">
        <v>1000</v>
      </c>
      <c r="F428" t="s">
        <v>1430</v>
      </c>
      <c r="G428" t="s">
        <v>1410</v>
      </c>
      <c r="H428" t="s">
        <v>230</v>
      </c>
      <c r="I428" t="s">
        <v>475</v>
      </c>
      <c r="J428" t="s">
        <v>464</v>
      </c>
      <c r="K428" t="s">
        <v>1431</v>
      </c>
      <c r="L428" t="s">
        <v>44</v>
      </c>
      <c r="M428" t="s">
        <v>1423</v>
      </c>
      <c r="N428">
        <v>68001</v>
      </c>
      <c r="O428" t="s">
        <v>97</v>
      </c>
      <c r="P428" t="s">
        <v>118</v>
      </c>
      <c r="Q428">
        <v>0</v>
      </c>
      <c r="R428">
        <v>0</v>
      </c>
      <c r="S428">
        <v>1007.78</v>
      </c>
      <c r="T428">
        <v>0</v>
      </c>
      <c r="U428">
        <v>0</v>
      </c>
      <c r="V428" t="s">
        <v>1413</v>
      </c>
      <c r="W428">
        <v>45571676</v>
      </c>
      <c r="X428" t="s">
        <v>49</v>
      </c>
      <c r="Y428" t="s">
        <v>1432</v>
      </c>
      <c r="Z428" t="b">
        <v>0</v>
      </c>
      <c r="AA428">
        <v>0.99228006112445177</v>
      </c>
      <c r="AN428" t="e">
        <f>100*(1-E428/AL428)</f>
        <v>#DIV/0!</v>
      </c>
    </row>
    <row r="429" spans="1:40" x14ac:dyDescent="0.3">
      <c r="A429" t="s">
        <v>59</v>
      </c>
      <c r="B429" t="s">
        <v>1433</v>
      </c>
      <c r="C429" t="s">
        <v>1408</v>
      </c>
      <c r="D429" s="4">
        <v>45994</v>
      </c>
      <c r="E429">
        <v>4000</v>
      </c>
      <c r="F429" t="s">
        <v>1434</v>
      </c>
      <c r="G429" t="s">
        <v>1410</v>
      </c>
      <c r="H429" t="s">
        <v>230</v>
      </c>
      <c r="I429" t="s">
        <v>475</v>
      </c>
      <c r="J429" t="s">
        <v>464</v>
      </c>
      <c r="K429" t="s">
        <v>1435</v>
      </c>
      <c r="L429" t="s">
        <v>44</v>
      </c>
      <c r="M429" t="s">
        <v>1436</v>
      </c>
      <c r="N429">
        <v>68001</v>
      </c>
      <c r="O429" t="s">
        <v>97</v>
      </c>
      <c r="P429" t="s">
        <v>118</v>
      </c>
      <c r="Q429">
        <v>0</v>
      </c>
      <c r="R429">
        <v>0</v>
      </c>
      <c r="S429">
        <v>3947</v>
      </c>
      <c r="T429">
        <v>0</v>
      </c>
      <c r="U429">
        <v>0</v>
      </c>
      <c r="V429" t="s">
        <v>1413</v>
      </c>
      <c r="W429">
        <v>45571676</v>
      </c>
      <c r="X429" t="s">
        <v>49</v>
      </c>
      <c r="Y429" t="s">
        <v>1437</v>
      </c>
      <c r="Z429" t="b">
        <v>0</v>
      </c>
      <c r="AA429">
        <v>1.013427919939194</v>
      </c>
      <c r="AN429" t="e">
        <f>100*(1-E429/AL429)</f>
        <v>#DIV/0!</v>
      </c>
    </row>
    <row r="430" spans="1:40" x14ac:dyDescent="0.3">
      <c r="A430" t="s">
        <v>59</v>
      </c>
      <c r="B430" t="s">
        <v>1438</v>
      </c>
      <c r="C430" t="s">
        <v>1438</v>
      </c>
      <c r="D430" s="4">
        <v>45994</v>
      </c>
      <c r="E430">
        <v>59000</v>
      </c>
      <c r="F430" t="s">
        <v>1439</v>
      </c>
      <c r="G430" t="s">
        <v>400</v>
      </c>
      <c r="H430" t="s">
        <v>94</v>
      </c>
      <c r="I430" t="s">
        <v>234</v>
      </c>
      <c r="J430" t="s">
        <v>235</v>
      </c>
      <c r="K430" t="s">
        <v>1440</v>
      </c>
      <c r="L430" t="s">
        <v>44</v>
      </c>
      <c r="M430" t="s">
        <v>1441</v>
      </c>
      <c r="N430">
        <v>72051</v>
      </c>
      <c r="O430" t="s">
        <v>45</v>
      </c>
      <c r="P430" t="s">
        <v>54</v>
      </c>
      <c r="Q430" t="s">
        <v>55</v>
      </c>
      <c r="R430">
        <v>0</v>
      </c>
      <c r="S430">
        <v>65.23</v>
      </c>
      <c r="T430">
        <v>0</v>
      </c>
      <c r="U430">
        <v>0</v>
      </c>
      <c r="V430" t="s">
        <v>1442</v>
      </c>
      <c r="W430">
        <v>58687293</v>
      </c>
      <c r="X430" t="s">
        <v>86</v>
      </c>
      <c r="Y430" t="s">
        <v>1443</v>
      </c>
      <c r="Z430" t="b">
        <v>0</v>
      </c>
      <c r="AA430">
        <v>904.49179825233784</v>
      </c>
      <c r="AN430" t="e">
        <f>100*(1-E430/AL430)</f>
        <v>#DIV/0!</v>
      </c>
    </row>
    <row r="431" spans="1:40" x14ac:dyDescent="0.3">
      <c r="A431" t="s">
        <v>59</v>
      </c>
      <c r="B431" t="s">
        <v>1444</v>
      </c>
      <c r="C431" t="s">
        <v>1444</v>
      </c>
      <c r="D431" s="4">
        <v>45994</v>
      </c>
      <c r="E431">
        <v>76000</v>
      </c>
      <c r="F431" t="s">
        <v>70</v>
      </c>
      <c r="G431" t="s">
        <v>1445</v>
      </c>
      <c r="H431" t="s">
        <v>124</v>
      </c>
      <c r="I431" t="s">
        <v>364</v>
      </c>
      <c r="J431" t="s">
        <v>256</v>
      </c>
      <c r="K431" t="s">
        <v>1446</v>
      </c>
      <c r="L431" t="s">
        <v>44</v>
      </c>
      <c r="M431" t="s">
        <v>1447</v>
      </c>
      <c r="N431">
        <v>30007</v>
      </c>
      <c r="O431" t="s">
        <v>45</v>
      </c>
      <c r="P431" t="s">
        <v>54</v>
      </c>
      <c r="Q431" t="s">
        <v>55</v>
      </c>
      <c r="R431">
        <v>0</v>
      </c>
      <c r="S431">
        <v>100</v>
      </c>
      <c r="T431">
        <v>0</v>
      </c>
      <c r="U431">
        <v>0</v>
      </c>
      <c r="V431" t="s">
        <v>1448</v>
      </c>
      <c r="W431">
        <v>74971532</v>
      </c>
      <c r="X431" t="s">
        <v>86</v>
      </c>
      <c r="Y431" t="s">
        <v>1449</v>
      </c>
      <c r="Z431" t="b">
        <v>0</v>
      </c>
      <c r="AA431">
        <v>760</v>
      </c>
      <c r="AN431" t="e">
        <f>100*(1-E431/AL431)</f>
        <v>#DIV/0!</v>
      </c>
    </row>
    <row r="432" spans="1:40" x14ac:dyDescent="0.3">
      <c r="A432" t="s">
        <v>59</v>
      </c>
      <c r="B432" t="s">
        <v>1450</v>
      </c>
      <c r="C432" t="s">
        <v>1450</v>
      </c>
      <c r="D432" s="4">
        <v>45994</v>
      </c>
      <c r="E432">
        <v>71500</v>
      </c>
      <c r="F432" t="s">
        <v>1451</v>
      </c>
      <c r="G432" t="s">
        <v>1452</v>
      </c>
      <c r="H432" t="s">
        <v>62</v>
      </c>
      <c r="I432" t="s">
        <v>890</v>
      </c>
      <c r="J432" t="s">
        <v>63</v>
      </c>
      <c r="K432" t="s">
        <v>1453</v>
      </c>
      <c r="L432" t="s">
        <v>44</v>
      </c>
      <c r="M432" t="s">
        <v>1454</v>
      </c>
      <c r="N432">
        <v>56625</v>
      </c>
      <c r="O432" t="s">
        <v>45</v>
      </c>
      <c r="P432" t="s">
        <v>54</v>
      </c>
      <c r="Q432" t="s">
        <v>55</v>
      </c>
      <c r="R432">
        <v>0</v>
      </c>
      <c r="S432">
        <v>106</v>
      </c>
      <c r="T432">
        <v>0</v>
      </c>
      <c r="U432">
        <v>0</v>
      </c>
      <c r="V432" t="s">
        <v>1455</v>
      </c>
      <c r="W432">
        <v>25426654</v>
      </c>
      <c r="X432" t="s">
        <v>86</v>
      </c>
      <c r="Y432" t="s">
        <v>1456</v>
      </c>
      <c r="Z432" t="b">
        <v>0</v>
      </c>
      <c r="AA432">
        <v>674.52830188679241</v>
      </c>
      <c r="AN432" t="e">
        <f>100*(1-E432/AL432)</f>
        <v>#DIV/0!</v>
      </c>
    </row>
    <row r="433" spans="1:40" x14ac:dyDescent="0.3">
      <c r="A433" t="s">
        <v>59</v>
      </c>
      <c r="B433" t="s">
        <v>1457</v>
      </c>
      <c r="C433" t="s">
        <v>1457</v>
      </c>
      <c r="D433" s="4">
        <v>45994</v>
      </c>
      <c r="E433">
        <v>92600</v>
      </c>
      <c r="F433" t="s">
        <v>60</v>
      </c>
      <c r="G433" t="s">
        <v>1458</v>
      </c>
      <c r="H433" t="s">
        <v>67</v>
      </c>
      <c r="I433" t="s">
        <v>1005</v>
      </c>
      <c r="J433" t="s">
        <v>67</v>
      </c>
      <c r="K433" t="s">
        <v>1459</v>
      </c>
      <c r="L433" t="s">
        <v>44</v>
      </c>
      <c r="M433" t="s">
        <v>1460</v>
      </c>
      <c r="N433">
        <v>17235</v>
      </c>
      <c r="O433" t="s">
        <v>45</v>
      </c>
      <c r="P433" t="s">
        <v>54</v>
      </c>
      <c r="Q433" t="s">
        <v>52</v>
      </c>
      <c r="R433">
        <v>0</v>
      </c>
      <c r="S433">
        <v>73.12</v>
      </c>
      <c r="T433">
        <v>0</v>
      </c>
      <c r="U433">
        <v>0</v>
      </c>
      <c r="V433" t="s">
        <v>1461</v>
      </c>
      <c r="W433">
        <v>59431562</v>
      </c>
      <c r="X433" t="s">
        <v>49</v>
      </c>
      <c r="Y433" t="s">
        <v>1462</v>
      </c>
      <c r="Z433" t="b">
        <v>0</v>
      </c>
      <c r="AA433">
        <v>1266.411378555799</v>
      </c>
      <c r="AN433" t="e">
        <f>100*(1-E433/AL433)</f>
        <v>#DIV/0!</v>
      </c>
    </row>
    <row r="434" spans="1:40" x14ac:dyDescent="0.3">
      <c r="A434" t="s">
        <v>59</v>
      </c>
      <c r="B434" t="s">
        <v>1463</v>
      </c>
      <c r="C434" t="s">
        <v>1463</v>
      </c>
      <c r="D434" s="4">
        <v>45994</v>
      </c>
      <c r="E434">
        <v>401000</v>
      </c>
      <c r="F434" t="s">
        <v>1464</v>
      </c>
      <c r="G434" t="s">
        <v>466</v>
      </c>
      <c r="H434" t="s">
        <v>94</v>
      </c>
      <c r="I434" t="s">
        <v>467</v>
      </c>
      <c r="J434" t="s">
        <v>235</v>
      </c>
      <c r="K434" t="s">
        <v>1465</v>
      </c>
      <c r="L434" t="s">
        <v>44</v>
      </c>
      <c r="M434" t="s">
        <v>1466</v>
      </c>
      <c r="N434">
        <v>72200</v>
      </c>
      <c r="O434" t="s">
        <v>45</v>
      </c>
      <c r="P434" t="s">
        <v>81</v>
      </c>
      <c r="Q434" t="s">
        <v>55</v>
      </c>
      <c r="R434">
        <v>0</v>
      </c>
      <c r="S434">
        <v>350</v>
      </c>
      <c r="T434">
        <v>0</v>
      </c>
      <c r="U434">
        <v>0</v>
      </c>
      <c r="V434" t="s">
        <v>1467</v>
      </c>
      <c r="W434">
        <v>54903568</v>
      </c>
      <c r="X434" t="s">
        <v>49</v>
      </c>
      <c r="Y434" t="s">
        <v>1468</v>
      </c>
      <c r="Z434" t="b">
        <v>0</v>
      </c>
      <c r="AA434">
        <v>1145.714285714286</v>
      </c>
      <c r="AN434" t="e">
        <f>100*(1-E434/AL434)</f>
        <v>#DIV/0!</v>
      </c>
    </row>
    <row r="435" spans="1:40" x14ac:dyDescent="0.3">
      <c r="A435" t="s">
        <v>59</v>
      </c>
      <c r="B435" t="s">
        <v>1469</v>
      </c>
      <c r="C435" t="s">
        <v>1469</v>
      </c>
      <c r="D435" s="4">
        <v>45994</v>
      </c>
      <c r="E435">
        <v>67200</v>
      </c>
      <c r="F435" t="s">
        <v>1470</v>
      </c>
      <c r="G435" t="s">
        <v>444</v>
      </c>
      <c r="H435" t="s">
        <v>152</v>
      </c>
      <c r="I435" t="s">
        <v>445</v>
      </c>
      <c r="J435" t="s">
        <v>221</v>
      </c>
      <c r="K435" t="s">
        <v>1471</v>
      </c>
      <c r="L435" t="s">
        <v>44</v>
      </c>
      <c r="M435" t="s">
        <v>1472</v>
      </c>
      <c r="N435">
        <v>20500</v>
      </c>
      <c r="O435" t="s">
        <v>45</v>
      </c>
      <c r="P435" t="s">
        <v>81</v>
      </c>
      <c r="Q435" t="s">
        <v>55</v>
      </c>
      <c r="R435">
        <v>0</v>
      </c>
      <c r="S435">
        <v>78</v>
      </c>
      <c r="T435">
        <v>0</v>
      </c>
      <c r="U435">
        <v>0</v>
      </c>
      <c r="V435" t="s">
        <v>1473</v>
      </c>
      <c r="W435">
        <v>36523275</v>
      </c>
      <c r="X435" t="s">
        <v>49</v>
      </c>
      <c r="Y435" t="s">
        <v>1474</v>
      </c>
      <c r="Z435" t="b">
        <v>0</v>
      </c>
      <c r="AA435">
        <v>861.53846153846155</v>
      </c>
      <c r="AN435" t="e">
        <f>100*(1-E435/AL435)</f>
        <v>#DIV/0!</v>
      </c>
    </row>
    <row r="436" spans="1:40" x14ac:dyDescent="0.3">
      <c r="A436" t="s">
        <v>71</v>
      </c>
      <c r="B436" t="s">
        <v>1475</v>
      </c>
      <c r="C436" t="s">
        <v>1476</v>
      </c>
      <c r="D436" s="4">
        <v>45994</v>
      </c>
      <c r="E436">
        <v>50000</v>
      </c>
      <c r="F436" t="s">
        <v>1477</v>
      </c>
      <c r="G436" t="s">
        <v>1478</v>
      </c>
      <c r="H436" t="s">
        <v>111</v>
      </c>
      <c r="I436" t="s">
        <v>1479</v>
      </c>
      <c r="J436" t="s">
        <v>165</v>
      </c>
      <c r="K436" t="s">
        <v>1480</v>
      </c>
      <c r="L436" t="s">
        <v>44</v>
      </c>
      <c r="M436" t="s">
        <v>1481</v>
      </c>
      <c r="N436">
        <v>32300</v>
      </c>
      <c r="O436" t="s">
        <v>97</v>
      </c>
      <c r="P436" t="s">
        <v>118</v>
      </c>
      <c r="Q436">
        <v>0</v>
      </c>
      <c r="R436">
        <v>0</v>
      </c>
      <c r="S436">
        <v>29608</v>
      </c>
      <c r="T436">
        <v>0</v>
      </c>
      <c r="U436">
        <v>0</v>
      </c>
      <c r="V436" t="s">
        <v>1482</v>
      </c>
      <c r="W436">
        <v>39849416</v>
      </c>
      <c r="X436" t="s">
        <v>49</v>
      </c>
      <c r="Y436" t="s">
        <v>1483</v>
      </c>
      <c r="Z436" t="b">
        <v>0</v>
      </c>
      <c r="AA436">
        <v>1.688732774925696</v>
      </c>
      <c r="AN436" t="e">
        <f>100*(1-E436/AL436)</f>
        <v>#DIV/0!</v>
      </c>
    </row>
    <row r="437" spans="1:40" x14ac:dyDescent="0.3">
      <c r="A437" t="s">
        <v>370</v>
      </c>
      <c r="B437" t="s">
        <v>1484</v>
      </c>
      <c r="C437" t="s">
        <v>1484</v>
      </c>
      <c r="D437" s="4">
        <v>45994</v>
      </c>
      <c r="E437">
        <v>236000</v>
      </c>
      <c r="F437" t="s">
        <v>1485</v>
      </c>
      <c r="G437" t="s">
        <v>420</v>
      </c>
      <c r="H437" t="s">
        <v>67</v>
      </c>
      <c r="I437" t="s">
        <v>305</v>
      </c>
      <c r="J437" t="s">
        <v>67</v>
      </c>
      <c r="K437" t="s">
        <v>1486</v>
      </c>
      <c r="L437" t="s">
        <v>44</v>
      </c>
      <c r="M437" t="s">
        <v>1487</v>
      </c>
      <c r="N437">
        <v>15344</v>
      </c>
      <c r="O437" t="s">
        <v>97</v>
      </c>
      <c r="P437" t="s">
        <v>98</v>
      </c>
      <c r="Q437">
        <v>0</v>
      </c>
      <c r="R437">
        <v>0</v>
      </c>
      <c r="S437">
        <v>0</v>
      </c>
      <c r="T437">
        <v>0</v>
      </c>
      <c r="U437">
        <v>0</v>
      </c>
      <c r="V437" t="s">
        <v>1488</v>
      </c>
      <c r="W437">
        <v>92482025</v>
      </c>
      <c r="X437" t="s">
        <v>49</v>
      </c>
      <c r="Y437" t="s">
        <v>1489</v>
      </c>
      <c r="Z437" t="b">
        <v>0</v>
      </c>
      <c r="AA437" t="s">
        <v>58</v>
      </c>
      <c r="AN437" t="e">
        <f>100*(1-E437/AL437)</f>
        <v>#DIV/0!</v>
      </c>
    </row>
    <row r="438" spans="1:40" x14ac:dyDescent="0.3">
      <c r="A438" t="s">
        <v>71</v>
      </c>
      <c r="B438" t="s">
        <v>1490</v>
      </c>
      <c r="C438" t="s">
        <v>1476</v>
      </c>
      <c r="D438" s="4">
        <v>45994</v>
      </c>
      <c r="E438">
        <v>37000</v>
      </c>
      <c r="F438" t="s">
        <v>1491</v>
      </c>
      <c r="G438" t="s">
        <v>1478</v>
      </c>
      <c r="H438" t="s">
        <v>111</v>
      </c>
      <c r="I438" t="s">
        <v>1479</v>
      </c>
      <c r="J438" t="s">
        <v>165</v>
      </c>
      <c r="K438" t="s">
        <v>1492</v>
      </c>
      <c r="L438" t="s">
        <v>44</v>
      </c>
      <c r="M438" t="s">
        <v>1493</v>
      </c>
      <c r="N438">
        <v>32300</v>
      </c>
      <c r="O438" t="s">
        <v>45</v>
      </c>
      <c r="P438" t="s">
        <v>182</v>
      </c>
      <c r="Q438" t="s">
        <v>55</v>
      </c>
      <c r="R438">
        <v>0</v>
      </c>
      <c r="S438">
        <v>172.85</v>
      </c>
      <c r="T438" t="s">
        <v>48</v>
      </c>
      <c r="U438" t="s">
        <v>1494</v>
      </c>
      <c r="V438" t="s">
        <v>1482</v>
      </c>
      <c r="W438">
        <v>39849416</v>
      </c>
      <c r="X438" t="s">
        <v>49</v>
      </c>
      <c r="Y438" t="s">
        <v>1495</v>
      </c>
      <c r="Z438" t="b">
        <v>0</v>
      </c>
      <c r="AA438">
        <v>214.0584321666185</v>
      </c>
      <c r="AN438" t="e">
        <f>100*(1-E438/AL438)</f>
        <v>#DIV/0!</v>
      </c>
    </row>
    <row r="439" spans="1:40" x14ac:dyDescent="0.3">
      <c r="A439" t="s">
        <v>39</v>
      </c>
      <c r="B439" t="s">
        <v>1496</v>
      </c>
      <c r="C439" t="s">
        <v>1497</v>
      </c>
      <c r="D439" s="4">
        <v>45994</v>
      </c>
      <c r="E439">
        <v>24000</v>
      </c>
      <c r="F439" t="s">
        <v>1498</v>
      </c>
      <c r="G439" t="s">
        <v>163</v>
      </c>
      <c r="H439" t="s">
        <v>111</v>
      </c>
      <c r="I439" t="s">
        <v>164</v>
      </c>
      <c r="J439" t="s">
        <v>165</v>
      </c>
      <c r="K439" t="s">
        <v>1499</v>
      </c>
      <c r="L439" t="s">
        <v>44</v>
      </c>
      <c r="M439" t="s">
        <v>1500</v>
      </c>
      <c r="N439">
        <v>32100</v>
      </c>
      <c r="O439" t="s">
        <v>97</v>
      </c>
      <c r="P439" t="s">
        <v>118</v>
      </c>
      <c r="Q439">
        <v>0</v>
      </c>
      <c r="R439">
        <v>0</v>
      </c>
      <c r="S439">
        <v>3978.79</v>
      </c>
      <c r="T439">
        <v>0</v>
      </c>
      <c r="U439">
        <v>0</v>
      </c>
      <c r="V439" t="s">
        <v>1501</v>
      </c>
      <c r="W439">
        <v>27160634</v>
      </c>
      <c r="X439" t="s">
        <v>49</v>
      </c>
      <c r="Y439">
        <v>70210711009</v>
      </c>
      <c r="Z439" t="b">
        <v>0</v>
      </c>
      <c r="AA439">
        <v>6.0319845983326594</v>
      </c>
      <c r="AN439" t="e">
        <f>100*(1-E439/AL439)</f>
        <v>#DIV/0!</v>
      </c>
    </row>
    <row r="440" spans="1:40" x14ac:dyDescent="0.3">
      <c r="A440" t="s">
        <v>71</v>
      </c>
      <c r="B440" t="s">
        <v>1502</v>
      </c>
      <c r="C440" t="s">
        <v>1503</v>
      </c>
      <c r="D440" s="4">
        <v>45994</v>
      </c>
      <c r="E440">
        <v>2700</v>
      </c>
      <c r="F440" t="s">
        <v>365</v>
      </c>
      <c r="G440" t="s">
        <v>163</v>
      </c>
      <c r="H440" t="s">
        <v>111</v>
      </c>
      <c r="I440" t="s">
        <v>164</v>
      </c>
      <c r="J440" t="s">
        <v>165</v>
      </c>
      <c r="K440" t="s">
        <v>1504</v>
      </c>
      <c r="L440" t="s">
        <v>44</v>
      </c>
      <c r="M440" t="s">
        <v>1505</v>
      </c>
      <c r="N440">
        <v>32100</v>
      </c>
      <c r="O440" t="s">
        <v>76</v>
      </c>
      <c r="P440" t="s">
        <v>133</v>
      </c>
      <c r="Q440">
        <v>0</v>
      </c>
      <c r="R440">
        <v>0</v>
      </c>
      <c r="S440">
        <v>10</v>
      </c>
      <c r="T440">
        <v>0</v>
      </c>
      <c r="U440">
        <v>0</v>
      </c>
      <c r="V440" t="s">
        <v>1506</v>
      </c>
      <c r="W440">
        <v>39372820</v>
      </c>
      <c r="X440" t="s">
        <v>49</v>
      </c>
      <c r="Y440" t="s">
        <v>1507</v>
      </c>
      <c r="Z440" t="b">
        <v>0</v>
      </c>
      <c r="AA440">
        <v>270</v>
      </c>
      <c r="AN440" t="e">
        <f>100*(1-E440/AL440)</f>
        <v>#DIV/0!</v>
      </c>
    </row>
    <row r="441" spans="1:40" x14ac:dyDescent="0.3">
      <c r="A441" t="s">
        <v>71</v>
      </c>
      <c r="B441" t="s">
        <v>1508</v>
      </c>
      <c r="C441" t="s">
        <v>1503</v>
      </c>
      <c r="D441" s="4">
        <v>45994</v>
      </c>
      <c r="E441">
        <v>100900</v>
      </c>
      <c r="F441" t="s">
        <v>1509</v>
      </c>
      <c r="G441" t="s">
        <v>163</v>
      </c>
      <c r="H441" t="s">
        <v>111</v>
      </c>
      <c r="I441" t="s">
        <v>164</v>
      </c>
      <c r="J441" t="s">
        <v>165</v>
      </c>
      <c r="K441" t="s">
        <v>1504</v>
      </c>
      <c r="L441" t="s">
        <v>44</v>
      </c>
      <c r="M441" t="s">
        <v>1505</v>
      </c>
      <c r="N441">
        <v>32100</v>
      </c>
      <c r="O441" t="s">
        <v>45</v>
      </c>
      <c r="P441" t="s">
        <v>54</v>
      </c>
      <c r="Q441" t="s">
        <v>64</v>
      </c>
      <c r="R441">
        <v>0</v>
      </c>
      <c r="S441">
        <v>113.34</v>
      </c>
      <c r="T441">
        <v>0</v>
      </c>
      <c r="U441">
        <v>0</v>
      </c>
      <c r="V441" t="s">
        <v>1506</v>
      </c>
      <c r="W441">
        <v>39372820</v>
      </c>
      <c r="X441" t="s">
        <v>49</v>
      </c>
      <c r="Y441" t="s">
        <v>1510</v>
      </c>
      <c r="Z441" t="b">
        <v>0</v>
      </c>
      <c r="AA441">
        <v>890.24175048526558</v>
      </c>
      <c r="AN441" t="e">
        <f>100*(1-E441/AL441)</f>
        <v>#DIV/0!</v>
      </c>
    </row>
    <row r="442" spans="1:40" x14ac:dyDescent="0.3">
      <c r="A442" t="s">
        <v>71</v>
      </c>
      <c r="B442" t="s">
        <v>1511</v>
      </c>
      <c r="C442" t="s">
        <v>1503</v>
      </c>
      <c r="D442" s="4">
        <v>45994</v>
      </c>
      <c r="E442">
        <v>1600</v>
      </c>
      <c r="F442" t="s">
        <v>243</v>
      </c>
      <c r="G442" t="s">
        <v>163</v>
      </c>
      <c r="H442" t="s">
        <v>111</v>
      </c>
      <c r="I442" t="s">
        <v>164</v>
      </c>
      <c r="J442" t="s">
        <v>165</v>
      </c>
      <c r="K442" t="s">
        <v>1504</v>
      </c>
      <c r="L442" t="s">
        <v>44</v>
      </c>
      <c r="M442" t="s">
        <v>1505</v>
      </c>
      <c r="N442">
        <v>32100</v>
      </c>
      <c r="O442" t="s">
        <v>45</v>
      </c>
      <c r="P442" t="s">
        <v>46</v>
      </c>
      <c r="Q442" t="s">
        <v>47</v>
      </c>
      <c r="R442">
        <v>0</v>
      </c>
      <c r="S442">
        <v>9.1199999999999992</v>
      </c>
      <c r="T442">
        <v>0</v>
      </c>
      <c r="U442">
        <v>0</v>
      </c>
      <c r="V442" t="s">
        <v>1506</v>
      </c>
      <c r="W442">
        <v>39372820</v>
      </c>
      <c r="X442" t="s">
        <v>49</v>
      </c>
      <c r="Y442" t="s">
        <v>1512</v>
      </c>
      <c r="Z442" t="b">
        <v>0</v>
      </c>
      <c r="AA442">
        <v>175.43859649122811</v>
      </c>
      <c r="AN442" t="e">
        <f>100*(1-E442/AL442)</f>
        <v>#DIV/0!</v>
      </c>
    </row>
    <row r="443" spans="1:40" x14ac:dyDescent="0.3">
      <c r="A443" t="s">
        <v>39</v>
      </c>
      <c r="B443" t="s">
        <v>1513</v>
      </c>
      <c r="C443" t="s">
        <v>1497</v>
      </c>
      <c r="D443" s="4">
        <v>45994</v>
      </c>
      <c r="E443">
        <v>8000</v>
      </c>
      <c r="F443" t="s">
        <v>1514</v>
      </c>
      <c r="G443" t="s">
        <v>163</v>
      </c>
      <c r="H443" t="s">
        <v>111</v>
      </c>
      <c r="I443" t="s">
        <v>164</v>
      </c>
      <c r="J443" t="s">
        <v>165</v>
      </c>
      <c r="K443" t="s">
        <v>1499</v>
      </c>
      <c r="L443" t="s">
        <v>44</v>
      </c>
      <c r="M443" t="s">
        <v>1515</v>
      </c>
      <c r="N443">
        <v>32100</v>
      </c>
      <c r="O443" t="s">
        <v>97</v>
      </c>
      <c r="P443" t="s">
        <v>98</v>
      </c>
      <c r="Q443">
        <v>0</v>
      </c>
      <c r="R443">
        <v>0</v>
      </c>
      <c r="S443">
        <v>79.34</v>
      </c>
      <c r="T443">
        <v>0</v>
      </c>
      <c r="U443">
        <v>0</v>
      </c>
      <c r="V443" t="s">
        <v>1501</v>
      </c>
      <c r="W443">
        <v>27160634</v>
      </c>
      <c r="X443" t="s">
        <v>49</v>
      </c>
      <c r="Y443">
        <v>70210127028</v>
      </c>
      <c r="Z443" t="b">
        <v>0</v>
      </c>
      <c r="AA443">
        <v>100.83186286866651</v>
      </c>
      <c r="AN443" t="e">
        <f>100*(1-E443/AL443)</f>
        <v>#DIV/0!</v>
      </c>
    </row>
    <row r="444" spans="1:40" x14ac:dyDescent="0.3">
      <c r="A444" t="s">
        <v>39</v>
      </c>
      <c r="B444" t="s">
        <v>1516</v>
      </c>
      <c r="C444" t="s">
        <v>1516</v>
      </c>
      <c r="D444" s="4">
        <v>45994</v>
      </c>
      <c r="E444">
        <v>172000</v>
      </c>
      <c r="F444" t="s">
        <v>591</v>
      </c>
      <c r="G444" t="s">
        <v>1458</v>
      </c>
      <c r="H444" t="s">
        <v>67</v>
      </c>
      <c r="I444" t="s">
        <v>1005</v>
      </c>
      <c r="J444" t="s">
        <v>67</v>
      </c>
      <c r="K444" t="s">
        <v>1517</v>
      </c>
      <c r="L444" t="s">
        <v>44</v>
      </c>
      <c r="M444" t="s">
        <v>1518</v>
      </c>
      <c r="N444">
        <v>17234</v>
      </c>
      <c r="O444" t="s">
        <v>45</v>
      </c>
      <c r="P444" t="s">
        <v>54</v>
      </c>
      <c r="Q444" t="s">
        <v>55</v>
      </c>
      <c r="R444">
        <v>0</v>
      </c>
      <c r="S444">
        <v>126</v>
      </c>
      <c r="T444">
        <v>0</v>
      </c>
      <c r="U444">
        <v>0</v>
      </c>
      <c r="V444" t="s">
        <v>1519</v>
      </c>
      <c r="W444" t="s">
        <v>1520</v>
      </c>
      <c r="X444" t="s">
        <v>49</v>
      </c>
      <c r="Y444" t="s">
        <v>1521</v>
      </c>
      <c r="Z444" t="b">
        <v>0</v>
      </c>
      <c r="AA444">
        <v>1365.0793650793651</v>
      </c>
      <c r="AN444" t="e">
        <f>100*(1-E444/AL444)</f>
        <v>#DIV/0!</v>
      </c>
    </row>
    <row r="445" spans="1:40" x14ac:dyDescent="0.3">
      <c r="A445" t="s">
        <v>39</v>
      </c>
      <c r="B445" t="s">
        <v>1522</v>
      </c>
      <c r="C445" t="s">
        <v>1522</v>
      </c>
      <c r="D445" s="4">
        <v>45994</v>
      </c>
      <c r="E445">
        <v>33000</v>
      </c>
      <c r="F445" t="s">
        <v>1523</v>
      </c>
      <c r="G445" t="s">
        <v>1524</v>
      </c>
      <c r="H445" t="s">
        <v>152</v>
      </c>
      <c r="I445" t="s">
        <v>1525</v>
      </c>
      <c r="J445" t="s">
        <v>154</v>
      </c>
      <c r="K445" t="s">
        <v>1526</v>
      </c>
      <c r="L445" t="s">
        <v>44</v>
      </c>
      <c r="M445" t="s">
        <v>1527</v>
      </c>
      <c r="N445">
        <v>24008</v>
      </c>
      <c r="O445" t="s">
        <v>97</v>
      </c>
      <c r="P445" t="s">
        <v>118</v>
      </c>
      <c r="Q445">
        <v>0</v>
      </c>
      <c r="R445">
        <v>0</v>
      </c>
      <c r="S445">
        <v>17331</v>
      </c>
      <c r="T445">
        <v>0</v>
      </c>
      <c r="U445">
        <v>0</v>
      </c>
      <c r="V445" t="s">
        <v>1528</v>
      </c>
      <c r="W445">
        <v>999405570</v>
      </c>
      <c r="X445" t="s">
        <v>49</v>
      </c>
      <c r="Y445" t="s">
        <v>1529</v>
      </c>
      <c r="Z445" t="b">
        <v>0</v>
      </c>
      <c r="AA445">
        <v>1.9041024753332181</v>
      </c>
      <c r="AN445" t="e">
        <f>100*(1-E445/AL445)</f>
        <v>#DIV/0!</v>
      </c>
    </row>
    <row r="446" spans="1:40" x14ac:dyDescent="0.3">
      <c r="A446" t="s">
        <v>183</v>
      </c>
      <c r="B446" t="s">
        <v>1530</v>
      </c>
      <c r="C446" t="s">
        <v>1530</v>
      </c>
      <c r="D446" s="4">
        <v>45994</v>
      </c>
      <c r="E446">
        <v>42000</v>
      </c>
      <c r="F446" t="s">
        <v>1531</v>
      </c>
      <c r="G446" t="s">
        <v>155</v>
      </c>
      <c r="H446" t="s">
        <v>156</v>
      </c>
      <c r="I446" t="s">
        <v>157</v>
      </c>
      <c r="J446" t="s">
        <v>157</v>
      </c>
      <c r="K446" t="s">
        <v>1532</v>
      </c>
      <c r="L446" t="s">
        <v>44</v>
      </c>
      <c r="M446" t="s">
        <v>1533</v>
      </c>
      <c r="N446">
        <v>49083</v>
      </c>
      <c r="O446" t="s">
        <v>97</v>
      </c>
      <c r="P446" t="s">
        <v>98</v>
      </c>
      <c r="Q446">
        <v>0</v>
      </c>
      <c r="R446">
        <v>0</v>
      </c>
      <c r="S446">
        <v>1799.22</v>
      </c>
      <c r="T446">
        <v>0</v>
      </c>
      <c r="U446">
        <v>0</v>
      </c>
      <c r="V446" t="s">
        <v>1534</v>
      </c>
      <c r="W446">
        <v>16086436</v>
      </c>
      <c r="X446" t="s">
        <v>49</v>
      </c>
      <c r="Y446">
        <v>0</v>
      </c>
      <c r="Z446" t="b">
        <v>0</v>
      </c>
      <c r="AA446">
        <v>23.343448827825391</v>
      </c>
      <c r="AN446" t="e">
        <f>100*(1-E446/AL446)</f>
        <v>#DIV/0!</v>
      </c>
    </row>
    <row r="447" spans="1:40" x14ac:dyDescent="0.3">
      <c r="A447" t="s">
        <v>166</v>
      </c>
      <c r="B447" t="s">
        <v>1535</v>
      </c>
      <c r="C447" t="s">
        <v>1535</v>
      </c>
      <c r="D447" s="4">
        <v>45994</v>
      </c>
      <c r="E447">
        <v>28000</v>
      </c>
      <c r="F447" t="s">
        <v>1536</v>
      </c>
      <c r="G447" t="s">
        <v>1537</v>
      </c>
      <c r="H447" t="s">
        <v>156</v>
      </c>
      <c r="I447" t="s">
        <v>157</v>
      </c>
      <c r="J447" t="s">
        <v>157</v>
      </c>
      <c r="K447" t="s">
        <v>1538</v>
      </c>
      <c r="L447" t="s">
        <v>44</v>
      </c>
      <c r="M447" t="s">
        <v>1539</v>
      </c>
      <c r="N447">
        <v>49100</v>
      </c>
      <c r="O447" t="s">
        <v>45</v>
      </c>
      <c r="P447" t="s">
        <v>81</v>
      </c>
      <c r="Q447" t="s">
        <v>52</v>
      </c>
      <c r="R447">
        <v>0</v>
      </c>
      <c r="S447">
        <v>100</v>
      </c>
      <c r="T447">
        <v>0</v>
      </c>
      <c r="U447">
        <v>0</v>
      </c>
      <c r="V447" t="s">
        <v>1540</v>
      </c>
      <c r="W447">
        <v>33517251</v>
      </c>
      <c r="X447" t="s">
        <v>49</v>
      </c>
      <c r="Y447">
        <v>0</v>
      </c>
      <c r="Z447" t="b">
        <v>0</v>
      </c>
      <c r="AA447">
        <v>280</v>
      </c>
      <c r="AN447" t="e">
        <f>100*(1-E447/AL447)</f>
        <v>#DIV/0!</v>
      </c>
    </row>
    <row r="448" spans="1:40" x14ac:dyDescent="0.3">
      <c r="A448" t="s">
        <v>278</v>
      </c>
      <c r="B448" t="s">
        <v>1541</v>
      </c>
      <c r="C448" t="s">
        <v>1541</v>
      </c>
      <c r="D448" s="4">
        <v>45994</v>
      </c>
      <c r="E448">
        <v>111500</v>
      </c>
      <c r="F448" t="s">
        <v>1542</v>
      </c>
      <c r="G448" t="s">
        <v>356</v>
      </c>
      <c r="H448" t="s">
        <v>111</v>
      </c>
      <c r="I448" t="s">
        <v>357</v>
      </c>
      <c r="J448" t="s">
        <v>165</v>
      </c>
      <c r="K448" t="s">
        <v>1543</v>
      </c>
      <c r="L448" t="s">
        <v>44</v>
      </c>
      <c r="M448" t="s">
        <v>1544</v>
      </c>
      <c r="N448">
        <v>32001</v>
      </c>
      <c r="O448" t="s">
        <v>45</v>
      </c>
      <c r="P448" t="s">
        <v>81</v>
      </c>
      <c r="Q448" t="s">
        <v>55</v>
      </c>
      <c r="R448">
        <v>0</v>
      </c>
      <c r="S448">
        <v>198.6</v>
      </c>
      <c r="T448">
        <v>0</v>
      </c>
      <c r="U448">
        <v>0</v>
      </c>
      <c r="V448" t="s">
        <v>1545</v>
      </c>
      <c r="W448" t="s">
        <v>1546</v>
      </c>
      <c r="X448" t="s">
        <v>49</v>
      </c>
      <c r="Y448" t="s">
        <v>1547</v>
      </c>
      <c r="Z448" t="b">
        <v>0</v>
      </c>
      <c r="AA448">
        <v>561.43001007049349</v>
      </c>
      <c r="AN448" t="e">
        <f>100*(1-E448/AL448)</f>
        <v>#DIV/0!</v>
      </c>
    </row>
    <row r="449" spans="1:40" x14ac:dyDescent="0.3">
      <c r="A449" t="s">
        <v>59</v>
      </c>
      <c r="B449" t="s">
        <v>1548</v>
      </c>
      <c r="C449" t="s">
        <v>1549</v>
      </c>
      <c r="D449" s="4">
        <v>45994</v>
      </c>
      <c r="E449">
        <v>46200</v>
      </c>
      <c r="F449" t="s">
        <v>1550</v>
      </c>
      <c r="G449" t="s">
        <v>442</v>
      </c>
      <c r="H449" t="s">
        <v>111</v>
      </c>
      <c r="I449" t="s">
        <v>443</v>
      </c>
      <c r="J449" t="s">
        <v>165</v>
      </c>
      <c r="K449" t="s">
        <v>1551</v>
      </c>
      <c r="L449" t="s">
        <v>44</v>
      </c>
      <c r="M449" t="s">
        <v>1552</v>
      </c>
      <c r="N449">
        <v>32200</v>
      </c>
      <c r="O449" t="s">
        <v>97</v>
      </c>
      <c r="P449" t="s">
        <v>118</v>
      </c>
      <c r="Q449">
        <v>0</v>
      </c>
      <c r="R449">
        <v>0</v>
      </c>
      <c r="S449">
        <v>14000</v>
      </c>
      <c r="T449">
        <v>0</v>
      </c>
      <c r="U449">
        <v>0</v>
      </c>
      <c r="V449" t="s">
        <v>1553</v>
      </c>
      <c r="W449">
        <v>16401281</v>
      </c>
      <c r="X449" t="s">
        <v>49</v>
      </c>
      <c r="Y449" t="s">
        <v>1554</v>
      </c>
      <c r="Z449" t="b">
        <v>0</v>
      </c>
      <c r="AA449">
        <v>3.3</v>
      </c>
      <c r="AN449" t="e">
        <f>100*(1-E449/AL449)</f>
        <v>#DIV/0!</v>
      </c>
    </row>
    <row r="450" spans="1:40" x14ac:dyDescent="0.3">
      <c r="A450" t="s">
        <v>71</v>
      </c>
      <c r="B450" t="s">
        <v>1555</v>
      </c>
      <c r="C450" t="s">
        <v>1555</v>
      </c>
      <c r="D450" s="4">
        <v>45994</v>
      </c>
      <c r="E450">
        <v>30000</v>
      </c>
      <c r="F450" t="s">
        <v>1536</v>
      </c>
      <c r="G450" t="s">
        <v>1556</v>
      </c>
      <c r="H450" t="s">
        <v>111</v>
      </c>
      <c r="I450" t="s">
        <v>190</v>
      </c>
      <c r="J450" t="s">
        <v>191</v>
      </c>
      <c r="K450" t="s">
        <v>1557</v>
      </c>
      <c r="L450" t="s">
        <v>44</v>
      </c>
      <c r="M450" t="s">
        <v>1558</v>
      </c>
      <c r="N450">
        <v>33053</v>
      </c>
      <c r="O450" t="s">
        <v>45</v>
      </c>
      <c r="P450" t="s">
        <v>81</v>
      </c>
      <c r="Q450" t="s">
        <v>55</v>
      </c>
      <c r="R450">
        <v>0</v>
      </c>
      <c r="S450">
        <v>50</v>
      </c>
      <c r="T450">
        <v>0</v>
      </c>
      <c r="U450">
        <v>0</v>
      </c>
      <c r="V450" t="s">
        <v>1559</v>
      </c>
      <c r="W450">
        <v>35612815</v>
      </c>
      <c r="X450" t="s">
        <v>49</v>
      </c>
      <c r="Y450" t="s">
        <v>1560</v>
      </c>
      <c r="Z450" t="b">
        <v>0</v>
      </c>
      <c r="AA450">
        <v>600</v>
      </c>
      <c r="AN450" t="e">
        <f>100*(1-E450/AL450)</f>
        <v>#DIV/0!</v>
      </c>
    </row>
    <row r="451" spans="1:40" x14ac:dyDescent="0.3">
      <c r="A451" t="s">
        <v>59</v>
      </c>
      <c r="B451" t="s">
        <v>1561</v>
      </c>
      <c r="C451" t="s">
        <v>1549</v>
      </c>
      <c r="D451" s="4">
        <v>45994</v>
      </c>
      <c r="E451">
        <v>15200</v>
      </c>
      <c r="F451" t="s">
        <v>1562</v>
      </c>
      <c r="G451" t="s">
        <v>442</v>
      </c>
      <c r="H451" t="s">
        <v>111</v>
      </c>
      <c r="I451" t="s">
        <v>443</v>
      </c>
      <c r="J451" t="s">
        <v>165</v>
      </c>
      <c r="K451" t="s">
        <v>1563</v>
      </c>
      <c r="L451" t="s">
        <v>44</v>
      </c>
      <c r="M451" t="s">
        <v>1564</v>
      </c>
      <c r="N451">
        <v>32200</v>
      </c>
      <c r="O451" t="s">
        <v>50</v>
      </c>
      <c r="P451" t="s">
        <v>46</v>
      </c>
      <c r="Q451">
        <v>0</v>
      </c>
      <c r="R451">
        <v>0</v>
      </c>
      <c r="S451">
        <v>90</v>
      </c>
      <c r="T451">
        <v>0</v>
      </c>
      <c r="U451">
        <v>0</v>
      </c>
      <c r="V451" t="s">
        <v>1553</v>
      </c>
      <c r="W451">
        <v>16401281</v>
      </c>
      <c r="X451" t="s">
        <v>49</v>
      </c>
      <c r="Y451" t="s">
        <v>1565</v>
      </c>
      <c r="Z451" t="b">
        <v>0</v>
      </c>
      <c r="AA451">
        <v>168.88888888888891</v>
      </c>
      <c r="AN451" t="e">
        <f>100*(1-E451/AL451)</f>
        <v>#DIV/0!</v>
      </c>
    </row>
    <row r="452" spans="1:40" x14ac:dyDescent="0.3">
      <c r="A452" t="s">
        <v>215</v>
      </c>
      <c r="B452" t="s">
        <v>1566</v>
      </c>
      <c r="C452" t="s">
        <v>1566</v>
      </c>
      <c r="D452" s="4">
        <v>45994</v>
      </c>
      <c r="E452">
        <v>56500</v>
      </c>
      <c r="F452" t="s">
        <v>1567</v>
      </c>
      <c r="G452" t="s">
        <v>442</v>
      </c>
      <c r="H452" t="s">
        <v>111</v>
      </c>
      <c r="I452" t="s">
        <v>443</v>
      </c>
      <c r="J452" t="s">
        <v>165</v>
      </c>
      <c r="K452" t="s">
        <v>1568</v>
      </c>
      <c r="L452" t="s">
        <v>44</v>
      </c>
      <c r="M452" t="s">
        <v>1569</v>
      </c>
      <c r="N452">
        <v>32200</v>
      </c>
      <c r="O452" t="s">
        <v>45</v>
      </c>
      <c r="P452" t="s">
        <v>54</v>
      </c>
      <c r="Q452" t="s">
        <v>55</v>
      </c>
      <c r="R452">
        <v>0</v>
      </c>
      <c r="S452">
        <v>129.4</v>
      </c>
      <c r="T452">
        <v>0</v>
      </c>
      <c r="U452">
        <v>0</v>
      </c>
      <c r="V452" t="s">
        <v>1570</v>
      </c>
      <c r="W452">
        <v>77418850</v>
      </c>
      <c r="X452" t="s">
        <v>49</v>
      </c>
      <c r="Y452" t="s">
        <v>1571</v>
      </c>
      <c r="Z452" t="b">
        <v>0</v>
      </c>
      <c r="AA452">
        <v>436.63060278207109</v>
      </c>
      <c r="AN452" t="e">
        <f>100*(1-E452/AL452)</f>
        <v>#DIV/0!</v>
      </c>
    </row>
    <row r="453" spans="1:40" x14ac:dyDescent="0.3">
      <c r="A453" t="s">
        <v>150</v>
      </c>
      <c r="B453" t="s">
        <v>1572</v>
      </c>
      <c r="C453" t="s">
        <v>1572</v>
      </c>
      <c r="D453" s="4">
        <v>45994</v>
      </c>
      <c r="E453">
        <v>30900</v>
      </c>
      <c r="F453" t="s">
        <v>1573</v>
      </c>
      <c r="G453" t="s">
        <v>1574</v>
      </c>
      <c r="H453" t="s">
        <v>111</v>
      </c>
      <c r="I453" t="s">
        <v>1575</v>
      </c>
      <c r="J453" t="s">
        <v>165</v>
      </c>
      <c r="K453" t="s">
        <v>1576</v>
      </c>
      <c r="L453" t="s">
        <v>44</v>
      </c>
      <c r="M453" t="s">
        <v>1577</v>
      </c>
      <c r="N453">
        <v>32009</v>
      </c>
      <c r="O453" t="s">
        <v>97</v>
      </c>
      <c r="P453" t="s">
        <v>118</v>
      </c>
      <c r="Q453">
        <v>0</v>
      </c>
      <c r="R453">
        <v>0</v>
      </c>
      <c r="S453">
        <v>12859</v>
      </c>
      <c r="T453">
        <v>0</v>
      </c>
      <c r="U453">
        <v>0</v>
      </c>
      <c r="V453" t="s">
        <v>1578</v>
      </c>
      <c r="W453" t="s">
        <v>1579</v>
      </c>
      <c r="X453" t="s">
        <v>49</v>
      </c>
      <c r="Y453" t="s">
        <v>1580</v>
      </c>
      <c r="Z453" t="b">
        <v>0</v>
      </c>
      <c r="AA453">
        <v>2.4029862353215652</v>
      </c>
      <c r="AN453" t="e">
        <f>100*(1-E453/AL453)</f>
        <v>#DIV/0!</v>
      </c>
    </row>
    <row r="454" spans="1:40" x14ac:dyDescent="0.3">
      <c r="A454" t="s">
        <v>166</v>
      </c>
      <c r="B454" t="s">
        <v>3540</v>
      </c>
      <c r="C454" t="s">
        <v>3540</v>
      </c>
      <c r="D454" s="4">
        <v>45994</v>
      </c>
      <c r="E454">
        <v>41000</v>
      </c>
      <c r="F454" t="s">
        <v>109</v>
      </c>
      <c r="G454" t="s">
        <v>368</v>
      </c>
      <c r="H454" t="s">
        <v>62</v>
      </c>
      <c r="I454" t="s">
        <v>369</v>
      </c>
      <c r="J454" t="s">
        <v>88</v>
      </c>
      <c r="K454" t="s">
        <v>3541</v>
      </c>
      <c r="L454" t="s">
        <v>44</v>
      </c>
      <c r="M454" t="s">
        <v>3542</v>
      </c>
      <c r="N454">
        <v>58200</v>
      </c>
      <c r="O454" t="s">
        <v>45</v>
      </c>
      <c r="P454" t="s">
        <v>54</v>
      </c>
      <c r="Q454" t="s">
        <v>85</v>
      </c>
      <c r="R454">
        <v>1960</v>
      </c>
      <c r="S454">
        <v>78.48</v>
      </c>
      <c r="T454">
        <v>0</v>
      </c>
      <c r="U454">
        <v>0</v>
      </c>
      <c r="V454" t="s">
        <v>3543</v>
      </c>
      <c r="W454">
        <v>57047396</v>
      </c>
      <c r="X454" t="s">
        <v>49</v>
      </c>
      <c r="Y454" t="s">
        <v>3544</v>
      </c>
      <c r="Z454" t="b">
        <v>0</v>
      </c>
      <c r="AA454">
        <v>522.42609582059117</v>
      </c>
      <c r="AN454" t="e">
        <f>100*(1-E454/AL454)</f>
        <v>#DIV/0!</v>
      </c>
    </row>
    <row r="455" spans="1:40" x14ac:dyDescent="0.3">
      <c r="A455" t="s">
        <v>39</v>
      </c>
      <c r="B455" t="s">
        <v>3583</v>
      </c>
      <c r="C455" t="s">
        <v>3583</v>
      </c>
      <c r="D455" s="4">
        <v>45994</v>
      </c>
      <c r="E455">
        <v>80963</v>
      </c>
      <c r="F455" t="s">
        <v>739</v>
      </c>
      <c r="G455" t="s">
        <v>61</v>
      </c>
      <c r="H455" t="s">
        <v>62</v>
      </c>
      <c r="I455" t="s">
        <v>63</v>
      </c>
      <c r="J455" t="s">
        <v>63</v>
      </c>
      <c r="K455" t="s">
        <v>3584</v>
      </c>
      <c r="L455" t="s">
        <v>44</v>
      </c>
      <c r="M455" t="s">
        <v>3585</v>
      </c>
      <c r="N455">
        <v>54645</v>
      </c>
      <c r="O455" t="s">
        <v>45</v>
      </c>
      <c r="P455" t="s">
        <v>54</v>
      </c>
      <c r="Q455" t="s">
        <v>52</v>
      </c>
      <c r="R455">
        <v>1964</v>
      </c>
      <c r="S455">
        <v>53</v>
      </c>
      <c r="T455">
        <v>0</v>
      </c>
      <c r="U455">
        <v>0</v>
      </c>
      <c r="V455" t="s">
        <v>3586</v>
      </c>
      <c r="W455">
        <v>112574211</v>
      </c>
      <c r="X455" t="s">
        <v>49</v>
      </c>
      <c r="Y455" t="s">
        <v>3587</v>
      </c>
      <c r="Z455" t="b">
        <v>0</v>
      </c>
      <c r="AA455">
        <v>1527.6037735849061</v>
      </c>
      <c r="AN455" t="e">
        <f>100*(1-E455/AL455)</f>
        <v>#DIV/0!</v>
      </c>
    </row>
    <row r="456" spans="1:40" x14ac:dyDescent="0.3">
      <c r="A456" t="s">
        <v>166</v>
      </c>
      <c r="B456" t="s">
        <v>3654</v>
      </c>
      <c r="C456" t="s">
        <v>3654</v>
      </c>
      <c r="D456" s="4">
        <v>45994</v>
      </c>
      <c r="E456">
        <v>149000</v>
      </c>
      <c r="F456" t="s">
        <v>461</v>
      </c>
      <c r="G456" t="s">
        <v>115</v>
      </c>
      <c r="H456" t="s">
        <v>67</v>
      </c>
      <c r="I456" t="s">
        <v>116</v>
      </c>
      <c r="J456" t="s">
        <v>67</v>
      </c>
      <c r="K456" t="s">
        <v>3655</v>
      </c>
      <c r="L456" t="s">
        <v>44</v>
      </c>
      <c r="M456" t="s">
        <v>3656</v>
      </c>
      <c r="N456">
        <v>11364</v>
      </c>
      <c r="O456" t="s">
        <v>45</v>
      </c>
      <c r="P456" t="s">
        <v>54</v>
      </c>
      <c r="Q456" t="s">
        <v>64</v>
      </c>
      <c r="R456">
        <v>1966</v>
      </c>
      <c r="S456">
        <v>95</v>
      </c>
      <c r="T456">
        <v>0</v>
      </c>
      <c r="U456">
        <v>0</v>
      </c>
      <c r="V456" t="s">
        <v>3657</v>
      </c>
      <c r="W456" t="s">
        <v>3658</v>
      </c>
      <c r="X456" t="s">
        <v>49</v>
      </c>
      <c r="Y456" t="s">
        <v>3659</v>
      </c>
      <c r="Z456" t="b">
        <v>0</v>
      </c>
      <c r="AA456">
        <v>1568.421052631579</v>
      </c>
      <c r="AN456" t="e">
        <f>100*(1-E456/AL456)</f>
        <v>#DIV/0!</v>
      </c>
    </row>
    <row r="457" spans="1:40" x14ac:dyDescent="0.3">
      <c r="A457" t="s">
        <v>59</v>
      </c>
      <c r="B457" t="s">
        <v>3680</v>
      </c>
      <c r="C457" t="s">
        <v>1408</v>
      </c>
      <c r="D457" s="4">
        <v>45994</v>
      </c>
      <c r="E457">
        <v>38000</v>
      </c>
      <c r="F457" t="s">
        <v>3681</v>
      </c>
      <c r="G457" t="s">
        <v>1410</v>
      </c>
      <c r="H457" t="s">
        <v>230</v>
      </c>
      <c r="I457" t="s">
        <v>475</v>
      </c>
      <c r="J457" t="s">
        <v>464</v>
      </c>
      <c r="K457" t="s">
        <v>3682</v>
      </c>
      <c r="L457" t="s">
        <v>44</v>
      </c>
      <c r="M457" t="s">
        <v>1410</v>
      </c>
      <c r="N457">
        <v>68001</v>
      </c>
      <c r="O457" t="s">
        <v>45</v>
      </c>
      <c r="P457" t="s">
        <v>81</v>
      </c>
      <c r="Q457" t="s">
        <v>52</v>
      </c>
      <c r="R457">
        <v>1967</v>
      </c>
      <c r="S457">
        <v>100</v>
      </c>
      <c r="T457">
        <v>0</v>
      </c>
      <c r="U457">
        <v>0</v>
      </c>
      <c r="V457" t="s">
        <v>1413</v>
      </c>
      <c r="W457">
        <v>45571676</v>
      </c>
      <c r="X457" t="s">
        <v>49</v>
      </c>
      <c r="Y457" t="s">
        <v>3683</v>
      </c>
      <c r="Z457" t="b">
        <v>0</v>
      </c>
      <c r="AA457">
        <v>380</v>
      </c>
      <c r="AN457" t="e">
        <f>100*(1-E457/AL457)</f>
        <v>#DIV/0!</v>
      </c>
    </row>
    <row r="458" spans="1:40" x14ac:dyDescent="0.3">
      <c r="A458" t="s">
        <v>139</v>
      </c>
      <c r="B458" t="s">
        <v>3768</v>
      </c>
      <c r="C458" t="s">
        <v>3768</v>
      </c>
      <c r="D458" s="4">
        <v>45994</v>
      </c>
      <c r="E458">
        <v>80000</v>
      </c>
      <c r="F458" t="s">
        <v>3769</v>
      </c>
      <c r="G458" t="s">
        <v>3528</v>
      </c>
      <c r="H458" t="s">
        <v>94</v>
      </c>
      <c r="I458" t="s">
        <v>2027</v>
      </c>
      <c r="J458" t="s">
        <v>96</v>
      </c>
      <c r="K458" t="s">
        <v>3770</v>
      </c>
      <c r="L458" t="s">
        <v>44</v>
      </c>
      <c r="M458" t="s">
        <v>3771</v>
      </c>
      <c r="N458">
        <v>71601</v>
      </c>
      <c r="O458" t="s">
        <v>45</v>
      </c>
      <c r="P458" t="s">
        <v>81</v>
      </c>
      <c r="Q458" t="s">
        <v>52</v>
      </c>
      <c r="R458">
        <v>1970</v>
      </c>
      <c r="S458">
        <v>75.3</v>
      </c>
      <c r="T458">
        <v>0</v>
      </c>
      <c r="U458">
        <v>0</v>
      </c>
      <c r="V458" t="s">
        <v>3772</v>
      </c>
      <c r="W458">
        <v>64213553</v>
      </c>
      <c r="X458" t="s">
        <v>49</v>
      </c>
      <c r="Y458">
        <v>0</v>
      </c>
      <c r="Z458" t="b">
        <v>0</v>
      </c>
      <c r="AA458">
        <v>1062.4169986719789</v>
      </c>
      <c r="AN458" t="e">
        <f>100*(1-E458/AL458)</f>
        <v>#DIV/0!</v>
      </c>
    </row>
    <row r="459" spans="1:40" x14ac:dyDescent="0.3">
      <c r="A459" t="s">
        <v>166</v>
      </c>
      <c r="B459" t="s">
        <v>3773</v>
      </c>
      <c r="C459" t="s">
        <v>3773</v>
      </c>
      <c r="D459" s="4">
        <v>45994</v>
      </c>
      <c r="E459">
        <v>126000</v>
      </c>
      <c r="F459" t="s">
        <v>3774</v>
      </c>
      <c r="G459" t="s">
        <v>393</v>
      </c>
      <c r="H459" t="s">
        <v>67</v>
      </c>
      <c r="I459" t="s">
        <v>394</v>
      </c>
      <c r="J459" t="s">
        <v>67</v>
      </c>
      <c r="K459" t="s">
        <v>3775</v>
      </c>
      <c r="L459" t="s">
        <v>44</v>
      </c>
      <c r="M459" t="s">
        <v>3776</v>
      </c>
      <c r="N459">
        <v>18344</v>
      </c>
      <c r="O459" t="s">
        <v>45</v>
      </c>
      <c r="P459" t="s">
        <v>46</v>
      </c>
      <c r="Q459" t="s">
        <v>47</v>
      </c>
      <c r="R459">
        <v>1970</v>
      </c>
      <c r="S459">
        <v>270.63</v>
      </c>
      <c r="T459">
        <v>0</v>
      </c>
      <c r="U459">
        <v>0</v>
      </c>
      <c r="V459" t="s">
        <v>3777</v>
      </c>
      <c r="W459">
        <v>69870900</v>
      </c>
      <c r="X459" t="s">
        <v>49</v>
      </c>
      <c r="Y459" t="s">
        <v>3778</v>
      </c>
      <c r="Z459" t="b">
        <v>0</v>
      </c>
      <c r="AA459">
        <v>465.5803126039242</v>
      </c>
      <c r="AN459" t="e">
        <f>100*(1-E459/AL459)</f>
        <v>#DIV/0!</v>
      </c>
    </row>
    <row r="460" spans="1:40" x14ac:dyDescent="0.3">
      <c r="A460" t="s">
        <v>39</v>
      </c>
      <c r="B460" t="s">
        <v>3779</v>
      </c>
      <c r="C460" t="s">
        <v>3780</v>
      </c>
      <c r="D460" s="4">
        <v>45994</v>
      </c>
      <c r="E460">
        <v>41000</v>
      </c>
      <c r="F460" t="s">
        <v>3781</v>
      </c>
      <c r="G460" t="s">
        <v>3782</v>
      </c>
      <c r="H460" t="s">
        <v>152</v>
      </c>
      <c r="I460" t="s">
        <v>3783</v>
      </c>
      <c r="J460" t="s">
        <v>154</v>
      </c>
      <c r="K460" t="s">
        <v>3784</v>
      </c>
      <c r="L460" t="s">
        <v>44</v>
      </c>
      <c r="M460" t="s">
        <v>3785</v>
      </c>
      <c r="N460">
        <v>24400</v>
      </c>
      <c r="O460" t="s">
        <v>50</v>
      </c>
      <c r="P460" t="s">
        <v>51</v>
      </c>
      <c r="Q460" t="s">
        <v>52</v>
      </c>
      <c r="R460">
        <v>1970</v>
      </c>
      <c r="S460">
        <v>99.39</v>
      </c>
      <c r="T460">
        <v>0</v>
      </c>
      <c r="U460">
        <v>0</v>
      </c>
      <c r="V460" t="s">
        <v>3786</v>
      </c>
      <c r="W460">
        <v>43317617</v>
      </c>
      <c r="X460" t="s">
        <v>49</v>
      </c>
      <c r="Y460" t="s">
        <v>3787</v>
      </c>
      <c r="Z460" t="b">
        <v>0</v>
      </c>
      <c r="AA460">
        <v>412.5163497333736</v>
      </c>
      <c r="AN460" t="e">
        <f>100*(1-E460/AL460)</f>
        <v>#DIV/0!</v>
      </c>
    </row>
    <row r="461" spans="1:40" x14ac:dyDescent="0.3">
      <c r="A461" t="s">
        <v>39</v>
      </c>
      <c r="B461" t="s">
        <v>3788</v>
      </c>
      <c r="C461" t="s">
        <v>3788</v>
      </c>
      <c r="D461" s="4">
        <v>45994</v>
      </c>
      <c r="E461">
        <v>31311</v>
      </c>
      <c r="F461" t="s">
        <v>212</v>
      </c>
      <c r="G461" t="s">
        <v>3789</v>
      </c>
      <c r="H461" t="s">
        <v>230</v>
      </c>
      <c r="I461" t="s">
        <v>3790</v>
      </c>
      <c r="J461" t="s">
        <v>464</v>
      </c>
      <c r="K461" t="s">
        <v>3791</v>
      </c>
      <c r="L461" t="s">
        <v>44</v>
      </c>
      <c r="M461" t="s">
        <v>3792</v>
      </c>
      <c r="N461">
        <v>68002</v>
      </c>
      <c r="O461" t="s">
        <v>45</v>
      </c>
      <c r="P461" t="s">
        <v>54</v>
      </c>
      <c r="Q461" t="s">
        <v>52</v>
      </c>
      <c r="R461">
        <v>1970</v>
      </c>
      <c r="S461">
        <v>64</v>
      </c>
      <c r="T461">
        <v>0</v>
      </c>
      <c r="U461">
        <v>0</v>
      </c>
      <c r="V461" t="s">
        <v>3793</v>
      </c>
      <c r="W461">
        <v>43198163</v>
      </c>
      <c r="X461" t="s">
        <v>49</v>
      </c>
      <c r="Y461" t="s">
        <v>3794</v>
      </c>
      <c r="Z461" t="b">
        <v>0</v>
      </c>
      <c r="AA461">
        <v>489.234375</v>
      </c>
      <c r="AN461" t="e">
        <f>100*(1-E461/AL461)</f>
        <v>#DIV/0!</v>
      </c>
    </row>
    <row r="462" spans="1:40" x14ac:dyDescent="0.3">
      <c r="A462" t="s">
        <v>39</v>
      </c>
      <c r="B462" t="s">
        <v>3795</v>
      </c>
      <c r="C462" t="s">
        <v>3795</v>
      </c>
      <c r="D462" s="4">
        <v>45994</v>
      </c>
      <c r="E462">
        <v>26550</v>
      </c>
      <c r="F462" t="s">
        <v>3796</v>
      </c>
      <c r="G462" t="s">
        <v>384</v>
      </c>
      <c r="H462" t="s">
        <v>67</v>
      </c>
      <c r="I462" t="s">
        <v>384</v>
      </c>
      <c r="J462" t="s">
        <v>67</v>
      </c>
      <c r="K462" t="s">
        <v>3797</v>
      </c>
      <c r="L462" t="s">
        <v>44</v>
      </c>
      <c r="M462" t="s">
        <v>3798</v>
      </c>
      <c r="N462">
        <v>12244</v>
      </c>
      <c r="O462" t="s">
        <v>45</v>
      </c>
      <c r="P462" t="s">
        <v>54</v>
      </c>
      <c r="Q462" t="s">
        <v>55</v>
      </c>
      <c r="R462">
        <v>1970</v>
      </c>
      <c r="S462">
        <v>73.63</v>
      </c>
      <c r="T462" t="s">
        <v>48</v>
      </c>
      <c r="U462">
        <v>50</v>
      </c>
      <c r="V462" t="s">
        <v>3799</v>
      </c>
      <c r="W462">
        <v>19025184</v>
      </c>
      <c r="X462" t="s">
        <v>49</v>
      </c>
      <c r="Y462" t="s">
        <v>3800</v>
      </c>
      <c r="Z462" t="b">
        <v>0</v>
      </c>
      <c r="AA462">
        <v>360.58671737063702</v>
      </c>
      <c r="AN462" t="e">
        <f>100*(1-E462/AL462)</f>
        <v>#DIV/0!</v>
      </c>
    </row>
    <row r="463" spans="1:40" x14ac:dyDescent="0.3">
      <c r="A463" t="s">
        <v>71</v>
      </c>
      <c r="B463" t="s">
        <v>3801</v>
      </c>
      <c r="C463" t="s">
        <v>3801</v>
      </c>
      <c r="D463" s="4">
        <v>45994</v>
      </c>
      <c r="E463">
        <v>56000</v>
      </c>
      <c r="F463" t="s">
        <v>3802</v>
      </c>
      <c r="G463" t="s">
        <v>479</v>
      </c>
      <c r="H463" t="s">
        <v>124</v>
      </c>
      <c r="I463" t="s">
        <v>480</v>
      </c>
      <c r="J463" t="s">
        <v>325</v>
      </c>
      <c r="K463" t="s">
        <v>3803</v>
      </c>
      <c r="L463" t="s">
        <v>44</v>
      </c>
      <c r="M463" t="s">
        <v>3804</v>
      </c>
      <c r="N463">
        <v>27100</v>
      </c>
      <c r="O463" t="s">
        <v>50</v>
      </c>
      <c r="P463" t="s">
        <v>51</v>
      </c>
      <c r="Q463" t="s">
        <v>52</v>
      </c>
      <c r="R463">
        <v>1970</v>
      </c>
      <c r="S463">
        <v>351.77</v>
      </c>
      <c r="T463" t="s">
        <v>48</v>
      </c>
      <c r="U463" t="s">
        <v>2462</v>
      </c>
      <c r="V463" t="s">
        <v>3805</v>
      </c>
      <c r="W463">
        <v>43454728</v>
      </c>
      <c r="X463" t="s">
        <v>49</v>
      </c>
      <c r="Y463" t="s">
        <v>3806</v>
      </c>
      <c r="Z463" t="b">
        <v>0</v>
      </c>
      <c r="AA463">
        <v>159.19492850442049</v>
      </c>
      <c r="AN463" t="e">
        <f>100*(1-E463/AL463)</f>
        <v>#DIV/0!</v>
      </c>
    </row>
    <row r="464" spans="1:40" x14ac:dyDescent="0.3">
      <c r="A464" t="s">
        <v>166</v>
      </c>
      <c r="B464" t="s">
        <v>3807</v>
      </c>
      <c r="C464" t="s">
        <v>3807</v>
      </c>
      <c r="D464" s="4">
        <v>45994</v>
      </c>
      <c r="E464">
        <v>48000</v>
      </c>
      <c r="F464" t="s">
        <v>3808</v>
      </c>
      <c r="G464" t="s">
        <v>200</v>
      </c>
      <c r="H464" t="s">
        <v>41</v>
      </c>
      <c r="I464" t="s">
        <v>201</v>
      </c>
      <c r="J464" t="s">
        <v>199</v>
      </c>
      <c r="K464" t="s">
        <v>3809</v>
      </c>
      <c r="L464" t="s">
        <v>44</v>
      </c>
      <c r="M464" t="s">
        <v>3810</v>
      </c>
      <c r="N464">
        <v>47042</v>
      </c>
      <c r="O464" t="s">
        <v>45</v>
      </c>
      <c r="P464" t="s">
        <v>54</v>
      </c>
      <c r="Q464" t="s">
        <v>52</v>
      </c>
      <c r="R464">
        <v>1970</v>
      </c>
      <c r="S464">
        <v>117.87</v>
      </c>
      <c r="T464" t="s">
        <v>161</v>
      </c>
      <c r="U464">
        <v>100</v>
      </c>
      <c r="V464" t="s">
        <v>3811</v>
      </c>
      <c r="W464">
        <v>64135823</v>
      </c>
      <c r="X464" t="s">
        <v>49</v>
      </c>
      <c r="Y464" t="s">
        <v>3812</v>
      </c>
      <c r="Z464" t="b">
        <v>0</v>
      </c>
      <c r="AA464">
        <v>407.22830236701452</v>
      </c>
      <c r="AN464" t="e">
        <f>100*(1-E464/AL464)</f>
        <v>#DIV/0!</v>
      </c>
    </row>
    <row r="465" spans="1:40" x14ac:dyDescent="0.3">
      <c r="A465" t="s">
        <v>71</v>
      </c>
      <c r="B465" t="s">
        <v>3889</v>
      </c>
      <c r="C465" t="s">
        <v>3889</v>
      </c>
      <c r="D465" s="4">
        <v>45994</v>
      </c>
      <c r="E465">
        <v>85955</v>
      </c>
      <c r="F465" t="s">
        <v>280</v>
      </c>
      <c r="G465" t="s">
        <v>300</v>
      </c>
      <c r="H465" t="s">
        <v>67</v>
      </c>
      <c r="I465" t="s">
        <v>301</v>
      </c>
      <c r="J465" t="s">
        <v>67</v>
      </c>
      <c r="K465" t="s">
        <v>3890</v>
      </c>
      <c r="L465" t="s">
        <v>44</v>
      </c>
      <c r="M465" t="s">
        <v>3891</v>
      </c>
      <c r="N465">
        <v>18452</v>
      </c>
      <c r="O465" t="s">
        <v>45</v>
      </c>
      <c r="P465" t="s">
        <v>54</v>
      </c>
      <c r="Q465" t="s">
        <v>55</v>
      </c>
      <c r="R465">
        <v>1971</v>
      </c>
      <c r="S465">
        <v>87</v>
      </c>
      <c r="T465">
        <v>0</v>
      </c>
      <c r="U465">
        <v>0</v>
      </c>
      <c r="V465" t="s">
        <v>3892</v>
      </c>
      <c r="W465" t="s">
        <v>3893</v>
      </c>
      <c r="X465" t="s">
        <v>49</v>
      </c>
      <c r="Y465" t="s">
        <v>3894</v>
      </c>
      <c r="Z465" t="b">
        <v>0</v>
      </c>
      <c r="AA465">
        <v>987.9885057471264</v>
      </c>
      <c r="AN465" t="e">
        <f>100*(1-E465/AL465)</f>
        <v>#DIV/0!</v>
      </c>
    </row>
    <row r="466" spans="1:40" x14ac:dyDescent="0.3">
      <c r="A466" t="s">
        <v>166</v>
      </c>
      <c r="B466" t="s">
        <v>3923</v>
      </c>
      <c r="C466" t="s">
        <v>3923</v>
      </c>
      <c r="D466" s="4">
        <v>45994</v>
      </c>
      <c r="E466">
        <v>84735</v>
      </c>
      <c r="F466" t="s">
        <v>212</v>
      </c>
      <c r="G466" t="s">
        <v>392</v>
      </c>
      <c r="H466" t="s">
        <v>62</v>
      </c>
      <c r="I466" t="s">
        <v>391</v>
      </c>
      <c r="J466" t="s">
        <v>63</v>
      </c>
      <c r="K466" t="s">
        <v>3924</v>
      </c>
      <c r="L466" t="s">
        <v>44</v>
      </c>
      <c r="M466" t="s">
        <v>3925</v>
      </c>
      <c r="N466">
        <v>56429</v>
      </c>
      <c r="O466" t="s">
        <v>45</v>
      </c>
      <c r="P466" t="s">
        <v>54</v>
      </c>
      <c r="Q466" t="s">
        <v>100</v>
      </c>
      <c r="R466">
        <v>1972</v>
      </c>
      <c r="S466">
        <v>64.489999999999995</v>
      </c>
      <c r="T466">
        <v>0</v>
      </c>
      <c r="U466">
        <v>0</v>
      </c>
      <c r="V466" t="s">
        <v>3926</v>
      </c>
      <c r="W466" t="s">
        <v>3927</v>
      </c>
      <c r="X466" t="s">
        <v>49</v>
      </c>
      <c r="Y466" t="s">
        <v>3928</v>
      </c>
      <c r="Z466" t="b">
        <v>0</v>
      </c>
      <c r="AA466">
        <v>1313.9246394789891</v>
      </c>
      <c r="AN466" t="e">
        <f>100*(1-E466/AL466)</f>
        <v>#DIV/0!</v>
      </c>
    </row>
    <row r="467" spans="1:40" x14ac:dyDescent="0.3">
      <c r="A467" t="s">
        <v>166</v>
      </c>
      <c r="B467" t="s">
        <v>3953</v>
      </c>
      <c r="C467" t="s">
        <v>3953</v>
      </c>
      <c r="D467" s="4">
        <v>45994</v>
      </c>
      <c r="E467">
        <v>92700</v>
      </c>
      <c r="F467" t="s">
        <v>383</v>
      </c>
      <c r="G467" t="s">
        <v>490</v>
      </c>
      <c r="H467" t="s">
        <v>62</v>
      </c>
      <c r="I467" t="s">
        <v>491</v>
      </c>
      <c r="J467" t="s">
        <v>389</v>
      </c>
      <c r="K467" t="s">
        <v>3954</v>
      </c>
      <c r="L467" t="s">
        <v>44</v>
      </c>
      <c r="M467" t="s">
        <v>3955</v>
      </c>
      <c r="N467">
        <v>63077</v>
      </c>
      <c r="O467" t="s">
        <v>45</v>
      </c>
      <c r="P467" t="s">
        <v>54</v>
      </c>
      <c r="Q467" t="s">
        <v>52</v>
      </c>
      <c r="R467">
        <v>1973</v>
      </c>
      <c r="S467">
        <v>91.8</v>
      </c>
      <c r="T467">
        <v>0</v>
      </c>
      <c r="U467">
        <v>0</v>
      </c>
      <c r="V467" t="s">
        <v>3956</v>
      </c>
      <c r="W467">
        <v>35484898</v>
      </c>
      <c r="X467" t="s">
        <v>86</v>
      </c>
      <c r="Y467" t="s">
        <v>3957</v>
      </c>
      <c r="Z467" t="b">
        <v>0</v>
      </c>
      <c r="AA467">
        <v>1009.803921568628</v>
      </c>
      <c r="AN467" t="e">
        <f>100*(1-E467/AL467)</f>
        <v>#DIV/0!</v>
      </c>
    </row>
    <row r="468" spans="1:40" x14ac:dyDescent="0.3">
      <c r="A468" t="s">
        <v>166</v>
      </c>
      <c r="B468" t="s">
        <v>3958</v>
      </c>
      <c r="C468" t="s">
        <v>3958</v>
      </c>
      <c r="D468" s="4">
        <v>45994</v>
      </c>
      <c r="E468">
        <v>80000</v>
      </c>
      <c r="F468" t="s">
        <v>3959</v>
      </c>
      <c r="G468" t="s">
        <v>479</v>
      </c>
      <c r="H468" t="s">
        <v>124</v>
      </c>
      <c r="I468" t="s">
        <v>480</v>
      </c>
      <c r="J468" t="s">
        <v>325</v>
      </c>
      <c r="K468" t="s">
        <v>3960</v>
      </c>
      <c r="L468" t="s">
        <v>44</v>
      </c>
      <c r="M468" t="s">
        <v>3961</v>
      </c>
      <c r="N468">
        <v>27100</v>
      </c>
      <c r="O468" t="s">
        <v>331</v>
      </c>
      <c r="P468" t="s">
        <v>331</v>
      </c>
      <c r="Q468" t="s">
        <v>55</v>
      </c>
      <c r="R468">
        <v>1973</v>
      </c>
      <c r="S468">
        <v>190</v>
      </c>
      <c r="T468">
        <v>0</v>
      </c>
      <c r="U468">
        <v>0</v>
      </c>
      <c r="V468" t="s">
        <v>3962</v>
      </c>
      <c r="W468">
        <v>72908050</v>
      </c>
      <c r="X468" t="s">
        <v>49</v>
      </c>
      <c r="Y468" t="s">
        <v>3963</v>
      </c>
      <c r="Z468" t="b">
        <v>0</v>
      </c>
      <c r="AA468">
        <v>421.05263157894728</v>
      </c>
      <c r="AN468" t="e">
        <f>100*(1-E468/AL468)</f>
        <v>#DIV/0!</v>
      </c>
    </row>
    <row r="469" spans="1:40" x14ac:dyDescent="0.3">
      <c r="A469" t="s">
        <v>59</v>
      </c>
      <c r="B469" t="s">
        <v>3964</v>
      </c>
      <c r="C469" t="s">
        <v>3964</v>
      </c>
      <c r="D469" s="4">
        <v>45994</v>
      </c>
      <c r="E469">
        <v>182000</v>
      </c>
      <c r="F469" t="s">
        <v>287</v>
      </c>
      <c r="G469" t="s">
        <v>3965</v>
      </c>
      <c r="H469" t="s">
        <v>230</v>
      </c>
      <c r="I469" t="s">
        <v>408</v>
      </c>
      <c r="J469" t="s">
        <v>231</v>
      </c>
      <c r="K469" t="s">
        <v>3966</v>
      </c>
      <c r="L469" t="s">
        <v>44</v>
      </c>
      <c r="M469" t="s">
        <v>3967</v>
      </c>
      <c r="N469">
        <v>64002</v>
      </c>
      <c r="O469" t="s">
        <v>45</v>
      </c>
      <c r="P469" t="s">
        <v>54</v>
      </c>
      <c r="Q469" t="s">
        <v>55</v>
      </c>
      <c r="R469">
        <v>1973</v>
      </c>
      <c r="S469">
        <v>89.92</v>
      </c>
      <c r="T469">
        <v>0</v>
      </c>
      <c r="U469">
        <v>0</v>
      </c>
      <c r="V469" t="s">
        <v>3968</v>
      </c>
      <c r="W469">
        <v>40876460</v>
      </c>
      <c r="X469" t="s">
        <v>86</v>
      </c>
      <c r="Y469" t="s">
        <v>3969</v>
      </c>
      <c r="Z469" t="b">
        <v>0</v>
      </c>
      <c r="AA469">
        <v>2024.021352313167</v>
      </c>
      <c r="AN469" t="e">
        <f>100*(1-E469/AL469)</f>
        <v>#DIV/0!</v>
      </c>
    </row>
    <row r="470" spans="1:40" x14ac:dyDescent="0.3">
      <c r="A470" t="s">
        <v>59</v>
      </c>
      <c r="B470" t="s">
        <v>3964</v>
      </c>
      <c r="C470" t="s">
        <v>3964</v>
      </c>
      <c r="D470" s="4">
        <v>45994</v>
      </c>
      <c r="E470">
        <v>182000</v>
      </c>
      <c r="F470" t="s">
        <v>287</v>
      </c>
      <c r="G470" t="s">
        <v>3965</v>
      </c>
      <c r="H470" t="s">
        <v>230</v>
      </c>
      <c r="I470" t="s">
        <v>408</v>
      </c>
      <c r="J470" t="s">
        <v>231</v>
      </c>
      <c r="K470" t="s">
        <v>3966</v>
      </c>
      <c r="L470" t="s">
        <v>44</v>
      </c>
      <c r="M470" t="s">
        <v>3967</v>
      </c>
      <c r="N470">
        <v>64002</v>
      </c>
      <c r="O470" t="s">
        <v>45</v>
      </c>
      <c r="P470" t="s">
        <v>54</v>
      </c>
      <c r="Q470" t="s">
        <v>55</v>
      </c>
      <c r="R470">
        <v>1973</v>
      </c>
      <c r="S470">
        <v>89.92</v>
      </c>
      <c r="T470">
        <v>0</v>
      </c>
      <c r="U470">
        <v>0</v>
      </c>
      <c r="V470" t="s">
        <v>3968</v>
      </c>
      <c r="W470">
        <v>40876460</v>
      </c>
      <c r="X470" t="s">
        <v>86</v>
      </c>
      <c r="Y470" t="s">
        <v>3969</v>
      </c>
      <c r="Z470" t="b">
        <v>0</v>
      </c>
      <c r="AA470">
        <v>2024.021352313167</v>
      </c>
      <c r="AN470" t="e">
        <f>100*(1-E470/AL470)</f>
        <v>#DIV/0!</v>
      </c>
    </row>
    <row r="471" spans="1:40" x14ac:dyDescent="0.3">
      <c r="A471" t="s">
        <v>166</v>
      </c>
      <c r="B471" t="s">
        <v>4009</v>
      </c>
      <c r="C471" t="s">
        <v>4009</v>
      </c>
      <c r="D471" s="4">
        <v>45994</v>
      </c>
      <c r="E471">
        <v>102000</v>
      </c>
      <c r="F471" t="s">
        <v>4010</v>
      </c>
      <c r="G471" t="s">
        <v>4011</v>
      </c>
      <c r="H471" t="s">
        <v>67</v>
      </c>
      <c r="I471" t="s">
        <v>3411</v>
      </c>
      <c r="J471" t="s">
        <v>67</v>
      </c>
      <c r="K471" t="s">
        <v>4012</v>
      </c>
      <c r="L471" t="s">
        <v>44</v>
      </c>
      <c r="M471" t="s">
        <v>4013</v>
      </c>
      <c r="N471">
        <v>19007</v>
      </c>
      <c r="O471" t="s">
        <v>45</v>
      </c>
      <c r="P471" t="s">
        <v>81</v>
      </c>
      <c r="Q471" t="s">
        <v>52</v>
      </c>
      <c r="R471">
        <v>1974</v>
      </c>
      <c r="S471">
        <v>89.9</v>
      </c>
      <c r="T471">
        <v>0</v>
      </c>
      <c r="U471">
        <v>0</v>
      </c>
      <c r="V471" t="s">
        <v>4014</v>
      </c>
      <c r="W471">
        <v>29186436</v>
      </c>
      <c r="X471" t="s">
        <v>49</v>
      </c>
      <c r="Y471" t="s">
        <v>4015</v>
      </c>
      <c r="Z471" t="b">
        <v>0</v>
      </c>
      <c r="AA471">
        <v>1134.5939933259181</v>
      </c>
      <c r="AN471" t="e">
        <f>100*(1-E471/AL471)</f>
        <v>#DIV/0!</v>
      </c>
    </row>
    <row r="472" spans="1:40" x14ac:dyDescent="0.3">
      <c r="A472" t="s">
        <v>39</v>
      </c>
      <c r="B472" t="s">
        <v>4081</v>
      </c>
      <c r="C472" t="s">
        <v>3780</v>
      </c>
      <c r="D472" s="4">
        <v>45994</v>
      </c>
      <c r="E472">
        <v>62000</v>
      </c>
      <c r="F472" t="s">
        <v>312</v>
      </c>
      <c r="G472" t="s">
        <v>3782</v>
      </c>
      <c r="H472" t="s">
        <v>152</v>
      </c>
      <c r="I472" t="s">
        <v>3783</v>
      </c>
      <c r="J472" t="s">
        <v>154</v>
      </c>
      <c r="K472" t="s">
        <v>3784</v>
      </c>
      <c r="L472" t="s">
        <v>44</v>
      </c>
      <c r="M472" t="s">
        <v>3785</v>
      </c>
      <c r="N472">
        <v>24400</v>
      </c>
      <c r="O472" t="s">
        <v>45</v>
      </c>
      <c r="P472" t="s">
        <v>54</v>
      </c>
      <c r="Q472" t="s">
        <v>55</v>
      </c>
      <c r="R472">
        <v>1975</v>
      </c>
      <c r="S472">
        <v>85.44</v>
      </c>
      <c r="T472">
        <v>0</v>
      </c>
      <c r="U472">
        <v>0</v>
      </c>
      <c r="V472" t="s">
        <v>3786</v>
      </c>
      <c r="W472">
        <v>43317617</v>
      </c>
      <c r="X472" t="s">
        <v>49</v>
      </c>
      <c r="Y472" t="s">
        <v>4082</v>
      </c>
      <c r="Z472" t="b">
        <v>0</v>
      </c>
      <c r="AA472">
        <v>725.65543071161051</v>
      </c>
      <c r="AN472" t="e">
        <f>100*(1-E472/AL472)</f>
        <v>#DIV/0!</v>
      </c>
    </row>
    <row r="473" spans="1:40" x14ac:dyDescent="0.3">
      <c r="A473" t="s">
        <v>59</v>
      </c>
      <c r="B473" t="s">
        <v>4083</v>
      </c>
      <c r="C473" t="s">
        <v>4083</v>
      </c>
      <c r="D473" s="4">
        <v>45994</v>
      </c>
      <c r="E473">
        <v>57000</v>
      </c>
      <c r="F473" t="s">
        <v>60</v>
      </c>
      <c r="G473" t="s">
        <v>101</v>
      </c>
      <c r="H473" t="s">
        <v>102</v>
      </c>
      <c r="I473" t="s">
        <v>103</v>
      </c>
      <c r="J473" t="s">
        <v>103</v>
      </c>
      <c r="K473" t="s">
        <v>4084</v>
      </c>
      <c r="L473" t="s">
        <v>44</v>
      </c>
      <c r="M473" t="s">
        <v>4085</v>
      </c>
      <c r="N473">
        <v>50100</v>
      </c>
      <c r="O473" t="s">
        <v>45</v>
      </c>
      <c r="P473" t="s">
        <v>54</v>
      </c>
      <c r="Q473" t="s">
        <v>55</v>
      </c>
      <c r="R473">
        <v>1975</v>
      </c>
      <c r="S473">
        <v>73.45</v>
      </c>
      <c r="T473">
        <v>0</v>
      </c>
      <c r="U473">
        <v>0</v>
      </c>
      <c r="V473" t="s">
        <v>4086</v>
      </c>
      <c r="W473">
        <v>54069739</v>
      </c>
      <c r="X473" t="s">
        <v>49</v>
      </c>
      <c r="Y473" t="s">
        <v>4087</v>
      </c>
      <c r="Z473" t="b">
        <v>0</v>
      </c>
      <c r="AA473">
        <v>776.03812117086454</v>
      </c>
      <c r="AN473" t="e">
        <f>100*(1-E473/AL473)</f>
        <v>#DIV/0!</v>
      </c>
    </row>
    <row r="474" spans="1:40" x14ac:dyDescent="0.3">
      <c r="A474" t="s">
        <v>215</v>
      </c>
      <c r="B474" t="s">
        <v>4150</v>
      </c>
      <c r="C474" t="s">
        <v>4150</v>
      </c>
      <c r="D474" s="4">
        <v>45994</v>
      </c>
      <c r="E474">
        <v>215835</v>
      </c>
      <c r="F474" t="s">
        <v>216</v>
      </c>
      <c r="G474" t="s">
        <v>90</v>
      </c>
      <c r="H474" t="s">
        <v>67</v>
      </c>
      <c r="I474" t="s">
        <v>91</v>
      </c>
      <c r="J474" t="s">
        <v>67</v>
      </c>
      <c r="K474" t="s">
        <v>4151</v>
      </c>
      <c r="L474" t="s">
        <v>44</v>
      </c>
      <c r="M474" t="s">
        <v>4152</v>
      </c>
      <c r="N474">
        <v>17675</v>
      </c>
      <c r="O474" t="s">
        <v>45</v>
      </c>
      <c r="P474" t="s">
        <v>54</v>
      </c>
      <c r="Q474" t="s">
        <v>55</v>
      </c>
      <c r="R474">
        <v>1976</v>
      </c>
      <c r="S474">
        <v>104.2</v>
      </c>
      <c r="T474">
        <v>0</v>
      </c>
      <c r="U474">
        <v>0</v>
      </c>
      <c r="V474" t="s">
        <v>4153</v>
      </c>
      <c r="W474">
        <v>45536176</v>
      </c>
      <c r="X474" t="s">
        <v>86</v>
      </c>
      <c r="Y474" t="s">
        <v>4154</v>
      </c>
      <c r="Z474" t="b">
        <v>0</v>
      </c>
      <c r="AA474">
        <v>2071.3531669865638</v>
      </c>
      <c r="AN474" t="e">
        <f>100*(1-E474/AL474)</f>
        <v>#DIV/0!</v>
      </c>
    </row>
    <row r="475" spans="1:40" x14ac:dyDescent="0.3">
      <c r="A475" t="s">
        <v>59</v>
      </c>
      <c r="B475" t="s">
        <v>4155</v>
      </c>
      <c r="C475" t="s">
        <v>4155</v>
      </c>
      <c r="D475" s="4">
        <v>45994</v>
      </c>
      <c r="E475">
        <v>57000</v>
      </c>
      <c r="F475" t="s">
        <v>4156</v>
      </c>
      <c r="G475" t="s">
        <v>404</v>
      </c>
      <c r="H475" t="s">
        <v>124</v>
      </c>
      <c r="I475" t="s">
        <v>405</v>
      </c>
      <c r="J475" t="s">
        <v>126</v>
      </c>
      <c r="K475" t="s">
        <v>4157</v>
      </c>
      <c r="L475" t="s">
        <v>44</v>
      </c>
      <c r="M475" t="s">
        <v>4158</v>
      </c>
      <c r="N475">
        <v>26223</v>
      </c>
      <c r="O475" t="s">
        <v>50</v>
      </c>
      <c r="P475" t="s">
        <v>51</v>
      </c>
      <c r="Q475" t="s">
        <v>52</v>
      </c>
      <c r="R475">
        <v>1976</v>
      </c>
      <c r="S475">
        <v>60</v>
      </c>
      <c r="T475">
        <v>0</v>
      </c>
      <c r="U475">
        <v>0</v>
      </c>
      <c r="V475" t="s">
        <v>4159</v>
      </c>
      <c r="W475">
        <v>66938166</v>
      </c>
      <c r="X475" t="s">
        <v>86</v>
      </c>
      <c r="Y475" t="s">
        <v>4160</v>
      </c>
      <c r="Z475" t="b">
        <v>0</v>
      </c>
      <c r="AA475">
        <v>950</v>
      </c>
      <c r="AN475" t="e">
        <f>100*(1-E475/AL475)</f>
        <v>#DIV/0!</v>
      </c>
    </row>
    <row r="476" spans="1:40" x14ac:dyDescent="0.3">
      <c r="A476" t="s">
        <v>59</v>
      </c>
      <c r="B476" t="s">
        <v>4214</v>
      </c>
      <c r="C476" t="s">
        <v>4214</v>
      </c>
      <c r="D476" s="4">
        <v>45994</v>
      </c>
      <c r="E476">
        <v>86000</v>
      </c>
      <c r="F476" t="s">
        <v>418</v>
      </c>
      <c r="G476" t="s">
        <v>155</v>
      </c>
      <c r="H476" t="s">
        <v>156</v>
      </c>
      <c r="I476" t="s">
        <v>157</v>
      </c>
      <c r="J476" t="s">
        <v>157</v>
      </c>
      <c r="K476" t="s">
        <v>4215</v>
      </c>
      <c r="L476" t="s">
        <v>44</v>
      </c>
      <c r="M476" t="s">
        <v>4216</v>
      </c>
      <c r="N476">
        <v>49084</v>
      </c>
      <c r="O476" t="s">
        <v>45</v>
      </c>
      <c r="P476" t="s">
        <v>54</v>
      </c>
      <c r="Q476" t="s">
        <v>55</v>
      </c>
      <c r="R476">
        <v>1977</v>
      </c>
      <c r="S476">
        <v>85.56</v>
      </c>
      <c r="T476">
        <v>0</v>
      </c>
      <c r="U476">
        <v>0</v>
      </c>
      <c r="V476" t="s">
        <v>4217</v>
      </c>
      <c r="W476">
        <v>67501894</v>
      </c>
      <c r="X476" t="s">
        <v>49</v>
      </c>
      <c r="Y476">
        <v>0</v>
      </c>
      <c r="Z476" t="b">
        <v>0</v>
      </c>
      <c r="AA476">
        <v>1005.142589995325</v>
      </c>
      <c r="AN476" t="e">
        <f>100*(1-E476/AL476)</f>
        <v>#DIV/0!</v>
      </c>
    </row>
    <row r="477" spans="1:40" x14ac:dyDescent="0.3">
      <c r="A477" t="s">
        <v>59</v>
      </c>
      <c r="B477" t="s">
        <v>4218</v>
      </c>
      <c r="C477" t="s">
        <v>4218</v>
      </c>
      <c r="D477" s="4">
        <v>45994</v>
      </c>
      <c r="E477">
        <v>44500</v>
      </c>
      <c r="F477" t="s">
        <v>4219</v>
      </c>
      <c r="G477" t="s">
        <v>4220</v>
      </c>
      <c r="H477" t="s">
        <v>62</v>
      </c>
      <c r="I477" t="s">
        <v>4221</v>
      </c>
      <c r="J477" t="s">
        <v>204</v>
      </c>
      <c r="K477" t="s">
        <v>4222</v>
      </c>
      <c r="L477" t="s">
        <v>44</v>
      </c>
      <c r="M477" t="s">
        <v>4223</v>
      </c>
      <c r="N477">
        <v>62100</v>
      </c>
      <c r="O477" t="s">
        <v>45</v>
      </c>
      <c r="P477" t="s">
        <v>81</v>
      </c>
      <c r="Q477" t="s">
        <v>52</v>
      </c>
      <c r="R477">
        <v>1977</v>
      </c>
      <c r="S477">
        <v>131.97999999999999</v>
      </c>
      <c r="T477">
        <v>0</v>
      </c>
      <c r="U477">
        <v>0</v>
      </c>
      <c r="V477" t="s">
        <v>4224</v>
      </c>
      <c r="W477">
        <v>37250010</v>
      </c>
      <c r="X477" t="s">
        <v>49</v>
      </c>
      <c r="Y477" t="s">
        <v>4225</v>
      </c>
      <c r="Z477" t="b">
        <v>0</v>
      </c>
      <c r="AA477">
        <v>337.17229883315662</v>
      </c>
      <c r="AN477" t="e">
        <f>100*(1-E477/AL477)</f>
        <v>#DIV/0!</v>
      </c>
    </row>
    <row r="478" spans="1:40" x14ac:dyDescent="0.3">
      <c r="A478" t="s">
        <v>71</v>
      </c>
      <c r="B478" t="s">
        <v>4288</v>
      </c>
      <c r="C478" t="s">
        <v>4288</v>
      </c>
      <c r="D478" s="4">
        <v>45994</v>
      </c>
      <c r="E478">
        <v>73600</v>
      </c>
      <c r="F478" t="s">
        <v>140</v>
      </c>
      <c r="G478" t="s">
        <v>425</v>
      </c>
      <c r="H478" t="s">
        <v>230</v>
      </c>
      <c r="I478" t="s">
        <v>426</v>
      </c>
      <c r="J478" t="s">
        <v>426</v>
      </c>
      <c r="K478" t="s">
        <v>4289</v>
      </c>
      <c r="L478" t="s">
        <v>44</v>
      </c>
      <c r="M478" t="s">
        <v>4290</v>
      </c>
      <c r="N478">
        <v>67100</v>
      </c>
      <c r="O478" t="s">
        <v>45</v>
      </c>
      <c r="P478" t="s">
        <v>54</v>
      </c>
      <c r="Q478" t="s">
        <v>85</v>
      </c>
      <c r="R478">
        <v>1979</v>
      </c>
      <c r="S478">
        <v>106.52</v>
      </c>
      <c r="T478">
        <v>0</v>
      </c>
      <c r="U478">
        <v>0</v>
      </c>
      <c r="V478" t="s">
        <v>4291</v>
      </c>
      <c r="W478">
        <v>36762460</v>
      </c>
      <c r="X478" t="s">
        <v>49</v>
      </c>
      <c r="Y478" t="s">
        <v>4292</v>
      </c>
      <c r="Z478" t="b">
        <v>0</v>
      </c>
      <c r="AA478">
        <v>690.95005632745028</v>
      </c>
      <c r="AN478" t="e">
        <f>100*(1-E478/AL478)</f>
        <v>#DIV/0!</v>
      </c>
    </row>
    <row r="479" spans="1:40" x14ac:dyDescent="0.3">
      <c r="A479" t="s">
        <v>139</v>
      </c>
      <c r="B479" t="s">
        <v>4293</v>
      </c>
      <c r="C479" t="s">
        <v>4293</v>
      </c>
      <c r="D479" s="4">
        <v>45994</v>
      </c>
      <c r="E479">
        <v>72000</v>
      </c>
      <c r="F479" t="s">
        <v>346</v>
      </c>
      <c r="G479" t="s">
        <v>147</v>
      </c>
      <c r="H479" t="s">
        <v>136</v>
      </c>
      <c r="I479" t="s">
        <v>148</v>
      </c>
      <c r="J479" t="s">
        <v>149</v>
      </c>
      <c r="K479" t="s">
        <v>4294</v>
      </c>
      <c r="L479" t="s">
        <v>44</v>
      </c>
      <c r="M479" t="s">
        <v>4295</v>
      </c>
      <c r="N479">
        <v>41223</v>
      </c>
      <c r="O479" t="s">
        <v>45</v>
      </c>
      <c r="P479" t="s">
        <v>54</v>
      </c>
      <c r="Q479" t="s">
        <v>55</v>
      </c>
      <c r="R479">
        <v>1979</v>
      </c>
      <c r="S479">
        <v>76</v>
      </c>
      <c r="T479">
        <v>0</v>
      </c>
      <c r="U479">
        <v>0</v>
      </c>
      <c r="V479" t="s">
        <v>4296</v>
      </c>
      <c r="W479">
        <v>69495203</v>
      </c>
      <c r="X479" t="s">
        <v>49</v>
      </c>
      <c r="Y479" t="s">
        <v>4297</v>
      </c>
      <c r="Z479" t="b">
        <v>0</v>
      </c>
      <c r="AA479">
        <v>947.36842105263156</v>
      </c>
      <c r="AN479" t="e">
        <f>100*(1-E479/AL479)</f>
        <v>#DIV/0!</v>
      </c>
    </row>
    <row r="480" spans="1:40" x14ac:dyDescent="0.3">
      <c r="A480" t="s">
        <v>166</v>
      </c>
      <c r="B480" t="s">
        <v>4298</v>
      </c>
      <c r="C480" t="s">
        <v>4298</v>
      </c>
      <c r="D480" s="4">
        <v>45994</v>
      </c>
      <c r="E480">
        <v>69000</v>
      </c>
      <c r="F480" t="s">
        <v>208</v>
      </c>
      <c r="G480" t="s">
        <v>147</v>
      </c>
      <c r="H480" t="s">
        <v>136</v>
      </c>
      <c r="I480" t="s">
        <v>148</v>
      </c>
      <c r="J480" t="s">
        <v>149</v>
      </c>
      <c r="K480" t="s">
        <v>4299</v>
      </c>
      <c r="L480" t="s">
        <v>44</v>
      </c>
      <c r="M480" t="s">
        <v>4300</v>
      </c>
      <c r="N480">
        <v>41223</v>
      </c>
      <c r="O480" t="s">
        <v>45</v>
      </c>
      <c r="P480" t="s">
        <v>54</v>
      </c>
      <c r="Q480" t="s">
        <v>85</v>
      </c>
      <c r="R480">
        <v>1979</v>
      </c>
      <c r="S480">
        <v>54.5</v>
      </c>
      <c r="T480">
        <v>0</v>
      </c>
      <c r="U480">
        <v>0</v>
      </c>
      <c r="V480" t="s">
        <v>4301</v>
      </c>
      <c r="W480">
        <v>62948680</v>
      </c>
      <c r="X480" t="s">
        <v>49</v>
      </c>
      <c r="Y480" t="s">
        <v>4302</v>
      </c>
      <c r="Z480" t="b">
        <v>0</v>
      </c>
      <c r="AA480">
        <v>1266.05504587156</v>
      </c>
      <c r="AN480" t="e">
        <f>100*(1-E480/AL480)</f>
        <v>#DIV/0!</v>
      </c>
    </row>
    <row r="481" spans="1:40" x14ac:dyDescent="0.3">
      <c r="A481" t="s">
        <v>166</v>
      </c>
      <c r="B481" t="s">
        <v>4359</v>
      </c>
      <c r="C481" t="s">
        <v>4359</v>
      </c>
      <c r="D481" s="4">
        <v>45994</v>
      </c>
      <c r="E481">
        <v>140000</v>
      </c>
      <c r="F481" t="s">
        <v>60</v>
      </c>
      <c r="G481" t="s">
        <v>168</v>
      </c>
      <c r="H481" t="s">
        <v>67</v>
      </c>
      <c r="I481" t="s">
        <v>169</v>
      </c>
      <c r="J481" t="s">
        <v>67</v>
      </c>
      <c r="K481" t="s">
        <v>4360</v>
      </c>
      <c r="L481" t="s">
        <v>44</v>
      </c>
      <c r="M481" t="s">
        <v>4361</v>
      </c>
      <c r="N481">
        <v>14232</v>
      </c>
      <c r="O481" t="s">
        <v>45</v>
      </c>
      <c r="P481" t="s">
        <v>54</v>
      </c>
      <c r="Q481" t="s">
        <v>85</v>
      </c>
      <c r="R481">
        <v>1980</v>
      </c>
      <c r="S481">
        <v>73.3</v>
      </c>
      <c r="T481">
        <v>0</v>
      </c>
      <c r="U481">
        <v>0</v>
      </c>
      <c r="V481" t="s">
        <v>4362</v>
      </c>
      <c r="W481">
        <v>72273212</v>
      </c>
      <c r="X481" t="s">
        <v>86</v>
      </c>
      <c r="Y481" t="s">
        <v>4363</v>
      </c>
      <c r="Z481" t="b">
        <v>0</v>
      </c>
      <c r="AA481">
        <v>1909.959072305594</v>
      </c>
      <c r="AN481" t="e">
        <f>100*(1-E481/AL481)</f>
        <v>#DIV/0!</v>
      </c>
    </row>
    <row r="482" spans="1:40" x14ac:dyDescent="0.3">
      <c r="A482" t="s">
        <v>59</v>
      </c>
      <c r="B482" t="s">
        <v>4364</v>
      </c>
      <c r="C482" t="s">
        <v>1408</v>
      </c>
      <c r="D482" s="4">
        <v>45994</v>
      </c>
      <c r="E482">
        <v>65000</v>
      </c>
      <c r="F482" t="s">
        <v>4365</v>
      </c>
      <c r="G482" t="s">
        <v>1410</v>
      </c>
      <c r="H482" t="s">
        <v>230</v>
      </c>
      <c r="I482" t="s">
        <v>475</v>
      </c>
      <c r="J482" t="s">
        <v>464</v>
      </c>
      <c r="K482" t="s">
        <v>4366</v>
      </c>
      <c r="L482" t="s">
        <v>44</v>
      </c>
      <c r="M482" t="s">
        <v>1410</v>
      </c>
      <c r="N482">
        <v>68001</v>
      </c>
      <c r="O482" t="s">
        <v>45</v>
      </c>
      <c r="P482" t="s">
        <v>81</v>
      </c>
      <c r="Q482" t="s">
        <v>52</v>
      </c>
      <c r="R482">
        <v>1980</v>
      </c>
      <c r="S482">
        <v>155.97999999999999</v>
      </c>
      <c r="T482">
        <v>0</v>
      </c>
      <c r="U482">
        <v>0</v>
      </c>
      <c r="V482" t="s">
        <v>4367</v>
      </c>
      <c r="W482">
        <v>117293487</v>
      </c>
      <c r="X482" t="s">
        <v>49</v>
      </c>
      <c r="Y482" t="s">
        <v>4368</v>
      </c>
      <c r="Z482" t="b">
        <v>0</v>
      </c>
      <c r="AA482">
        <v>416.72009231952819</v>
      </c>
      <c r="AN482" t="e">
        <f>100*(1-E482/AL482)</f>
        <v>#DIV/0!</v>
      </c>
    </row>
    <row r="483" spans="1:40" x14ac:dyDescent="0.3">
      <c r="A483" t="s">
        <v>71</v>
      </c>
      <c r="B483" t="s">
        <v>4369</v>
      </c>
      <c r="C483" t="s">
        <v>4370</v>
      </c>
      <c r="D483" s="4">
        <v>45994</v>
      </c>
      <c r="E483">
        <v>31000</v>
      </c>
      <c r="F483" t="s">
        <v>376</v>
      </c>
      <c r="G483" t="s">
        <v>115</v>
      </c>
      <c r="H483" t="s">
        <v>67</v>
      </c>
      <c r="I483" t="s">
        <v>116</v>
      </c>
      <c r="J483" t="s">
        <v>67</v>
      </c>
      <c r="K483" t="s">
        <v>4371</v>
      </c>
      <c r="L483" t="s">
        <v>44</v>
      </c>
      <c r="M483" t="s">
        <v>4372</v>
      </c>
      <c r="N483">
        <v>10438</v>
      </c>
      <c r="O483" t="s">
        <v>50</v>
      </c>
      <c r="P483" t="s">
        <v>176</v>
      </c>
      <c r="Q483" t="s">
        <v>100</v>
      </c>
      <c r="R483">
        <v>1980</v>
      </c>
      <c r="S483">
        <v>32</v>
      </c>
      <c r="T483">
        <v>0</v>
      </c>
      <c r="U483">
        <v>0</v>
      </c>
      <c r="V483" t="s">
        <v>4373</v>
      </c>
      <c r="W483">
        <v>28966209</v>
      </c>
      <c r="X483" t="s">
        <v>49</v>
      </c>
      <c r="Y483" t="s">
        <v>4374</v>
      </c>
      <c r="Z483" t="b">
        <v>0</v>
      </c>
      <c r="AA483">
        <v>968.75</v>
      </c>
      <c r="AN483" t="e">
        <f>100*(1-E483/AL483)</f>
        <v>#DIV/0!</v>
      </c>
    </row>
    <row r="484" spans="1:40" x14ac:dyDescent="0.3">
      <c r="A484" t="s">
        <v>71</v>
      </c>
      <c r="B484" t="s">
        <v>4375</v>
      </c>
      <c r="C484" t="s">
        <v>4370</v>
      </c>
      <c r="D484" s="4">
        <v>45994</v>
      </c>
      <c r="E484">
        <v>31000</v>
      </c>
      <c r="F484" t="s">
        <v>376</v>
      </c>
      <c r="G484" t="s">
        <v>115</v>
      </c>
      <c r="H484" t="s">
        <v>67</v>
      </c>
      <c r="I484" t="s">
        <v>116</v>
      </c>
      <c r="J484" t="s">
        <v>67</v>
      </c>
      <c r="K484" t="s">
        <v>4371</v>
      </c>
      <c r="L484" t="s">
        <v>44</v>
      </c>
      <c r="M484" t="s">
        <v>4372</v>
      </c>
      <c r="N484">
        <v>10438</v>
      </c>
      <c r="O484" t="s">
        <v>50</v>
      </c>
      <c r="P484" t="s">
        <v>176</v>
      </c>
      <c r="Q484" t="s">
        <v>100</v>
      </c>
      <c r="R484">
        <v>1980</v>
      </c>
      <c r="S484">
        <v>32</v>
      </c>
      <c r="T484">
        <v>0</v>
      </c>
      <c r="U484">
        <v>0</v>
      </c>
      <c r="V484" t="s">
        <v>4373</v>
      </c>
      <c r="W484">
        <v>28966209</v>
      </c>
      <c r="X484" t="s">
        <v>49</v>
      </c>
      <c r="Y484" t="s">
        <v>4376</v>
      </c>
      <c r="Z484" t="b">
        <v>0</v>
      </c>
      <c r="AA484">
        <v>968.75</v>
      </c>
      <c r="AN484" t="e">
        <f>100*(1-E484/AL484)</f>
        <v>#DIV/0!</v>
      </c>
    </row>
    <row r="485" spans="1:40" x14ac:dyDescent="0.3">
      <c r="A485" t="s">
        <v>59</v>
      </c>
      <c r="B485" t="s">
        <v>4377</v>
      </c>
      <c r="C485" t="s">
        <v>4377</v>
      </c>
      <c r="D485" s="4">
        <v>45994</v>
      </c>
      <c r="E485">
        <v>78900</v>
      </c>
      <c r="F485" t="s">
        <v>314</v>
      </c>
      <c r="G485" t="s">
        <v>298</v>
      </c>
      <c r="H485" t="s">
        <v>67</v>
      </c>
      <c r="I485" t="s">
        <v>299</v>
      </c>
      <c r="J485" t="s">
        <v>67</v>
      </c>
      <c r="K485" t="s">
        <v>4378</v>
      </c>
      <c r="L485" t="s">
        <v>44</v>
      </c>
      <c r="M485" t="s">
        <v>4379</v>
      </c>
      <c r="N485">
        <v>13123</v>
      </c>
      <c r="O485" t="s">
        <v>45</v>
      </c>
      <c r="P485" t="s">
        <v>54</v>
      </c>
      <c r="Q485" t="s">
        <v>85</v>
      </c>
      <c r="R485">
        <v>1980</v>
      </c>
      <c r="S485">
        <v>52</v>
      </c>
      <c r="T485">
        <v>0</v>
      </c>
      <c r="U485">
        <v>0</v>
      </c>
      <c r="V485" t="s">
        <v>4380</v>
      </c>
      <c r="W485" t="s">
        <v>4381</v>
      </c>
      <c r="X485" t="s">
        <v>49</v>
      </c>
      <c r="Y485" t="s">
        <v>4382</v>
      </c>
      <c r="Z485" t="b">
        <v>0</v>
      </c>
      <c r="AA485">
        <v>1517.3076923076919</v>
      </c>
      <c r="AN485" t="e">
        <f>100*(1-E485/AL485)</f>
        <v>#DIV/0!</v>
      </c>
    </row>
    <row r="486" spans="1:40" x14ac:dyDescent="0.3">
      <c r="A486" t="s">
        <v>166</v>
      </c>
      <c r="B486" t="s">
        <v>4611</v>
      </c>
      <c r="C486" t="s">
        <v>4611</v>
      </c>
      <c r="D486" s="4">
        <v>45994</v>
      </c>
      <c r="E486">
        <v>115500</v>
      </c>
      <c r="F486" t="s">
        <v>214</v>
      </c>
      <c r="G486" t="s">
        <v>115</v>
      </c>
      <c r="H486" t="s">
        <v>67</v>
      </c>
      <c r="I486" t="s">
        <v>116</v>
      </c>
      <c r="J486" t="s">
        <v>67</v>
      </c>
      <c r="K486" t="s">
        <v>4612</v>
      </c>
      <c r="L486" t="s">
        <v>44</v>
      </c>
      <c r="M486" t="s">
        <v>4613</v>
      </c>
      <c r="N486">
        <v>11145</v>
      </c>
      <c r="O486" t="s">
        <v>45</v>
      </c>
      <c r="P486" t="s">
        <v>54</v>
      </c>
      <c r="Q486" t="s">
        <v>64</v>
      </c>
      <c r="R486">
        <v>1982</v>
      </c>
      <c r="S486">
        <v>82.93</v>
      </c>
      <c r="T486">
        <v>0</v>
      </c>
      <c r="U486">
        <v>0</v>
      </c>
      <c r="V486" t="s">
        <v>4614</v>
      </c>
      <c r="W486">
        <v>38832750</v>
      </c>
      <c r="X486" t="s">
        <v>86</v>
      </c>
      <c r="Y486" t="s">
        <v>4615</v>
      </c>
      <c r="Z486" t="b">
        <v>0</v>
      </c>
      <c r="AA486">
        <v>1392.740865790425</v>
      </c>
      <c r="AN486" t="e">
        <f>100*(1-E486/AL486)</f>
        <v>#DIV/0!</v>
      </c>
    </row>
    <row r="487" spans="1:40" x14ac:dyDescent="0.3">
      <c r="A487" t="s">
        <v>59</v>
      </c>
      <c r="B487" t="s">
        <v>4677</v>
      </c>
      <c r="C487" t="s">
        <v>4677</v>
      </c>
      <c r="D487" s="4">
        <v>45994</v>
      </c>
      <c r="E487">
        <v>127500</v>
      </c>
      <c r="F487" t="s">
        <v>4678</v>
      </c>
      <c r="G487" t="s">
        <v>227</v>
      </c>
      <c r="H487" t="s">
        <v>62</v>
      </c>
      <c r="I487" t="s">
        <v>228</v>
      </c>
      <c r="J487" t="s">
        <v>79</v>
      </c>
      <c r="K487" t="s">
        <v>4679</v>
      </c>
      <c r="L487" t="s">
        <v>44</v>
      </c>
      <c r="M487" t="s">
        <v>4680</v>
      </c>
      <c r="N487">
        <v>60100</v>
      </c>
      <c r="O487" t="s">
        <v>45</v>
      </c>
      <c r="P487" t="s">
        <v>288</v>
      </c>
      <c r="Q487" t="s">
        <v>55</v>
      </c>
      <c r="R487">
        <v>1983</v>
      </c>
      <c r="S487">
        <v>190</v>
      </c>
      <c r="T487">
        <v>0</v>
      </c>
      <c r="U487">
        <v>0</v>
      </c>
      <c r="V487" t="s">
        <v>4681</v>
      </c>
      <c r="W487" t="s">
        <v>4682</v>
      </c>
      <c r="X487" t="s">
        <v>49</v>
      </c>
      <c r="Y487" t="s">
        <v>4683</v>
      </c>
      <c r="Z487" t="b">
        <v>0</v>
      </c>
      <c r="AA487">
        <v>671.0526315789474</v>
      </c>
      <c r="AN487" t="e">
        <f>100*(1-E487/AL487)</f>
        <v>#DIV/0!</v>
      </c>
    </row>
    <row r="488" spans="1:40" x14ac:dyDescent="0.3">
      <c r="A488" t="s">
        <v>71</v>
      </c>
      <c r="B488" t="s">
        <v>4684</v>
      </c>
      <c r="C488" t="s">
        <v>4684</v>
      </c>
      <c r="D488" s="4">
        <v>45994</v>
      </c>
      <c r="E488">
        <v>26000</v>
      </c>
      <c r="F488" t="s">
        <v>1251</v>
      </c>
      <c r="G488" t="s">
        <v>163</v>
      </c>
      <c r="H488" t="s">
        <v>111</v>
      </c>
      <c r="I488" t="s">
        <v>164</v>
      </c>
      <c r="J488" t="s">
        <v>165</v>
      </c>
      <c r="K488" t="s">
        <v>4685</v>
      </c>
      <c r="L488" t="s">
        <v>44</v>
      </c>
      <c r="M488" t="s">
        <v>4686</v>
      </c>
      <c r="N488">
        <v>32100</v>
      </c>
      <c r="O488" t="s">
        <v>45</v>
      </c>
      <c r="P488" t="s">
        <v>54</v>
      </c>
      <c r="Q488" t="s">
        <v>52</v>
      </c>
      <c r="R488">
        <v>1983</v>
      </c>
      <c r="S488">
        <v>42.8</v>
      </c>
      <c r="T488">
        <v>0</v>
      </c>
      <c r="U488">
        <v>0</v>
      </c>
      <c r="V488" t="s">
        <v>4687</v>
      </c>
      <c r="W488">
        <v>73226780</v>
      </c>
      <c r="X488" t="s">
        <v>49</v>
      </c>
      <c r="Y488" t="s">
        <v>4688</v>
      </c>
      <c r="Z488" t="b">
        <v>0</v>
      </c>
      <c r="AA488">
        <v>607.47663551401877</v>
      </c>
      <c r="AN488" t="e">
        <f>100*(1-E488/AL488)</f>
        <v>#DIV/0!</v>
      </c>
    </row>
    <row r="489" spans="1:40" x14ac:dyDescent="0.3">
      <c r="A489" t="s">
        <v>59</v>
      </c>
      <c r="B489" t="s">
        <v>4767</v>
      </c>
      <c r="C489" t="s">
        <v>4767</v>
      </c>
      <c r="D489" s="4">
        <v>45994</v>
      </c>
      <c r="E489">
        <v>37000</v>
      </c>
      <c r="F489" t="s">
        <v>4768</v>
      </c>
      <c r="G489" t="s">
        <v>110</v>
      </c>
      <c r="H489" t="s">
        <v>111</v>
      </c>
      <c r="I489" t="s">
        <v>112</v>
      </c>
      <c r="J489" t="s">
        <v>113</v>
      </c>
      <c r="K489" t="s">
        <v>4769</v>
      </c>
      <c r="L489" t="s">
        <v>44</v>
      </c>
      <c r="M489" t="s">
        <v>481</v>
      </c>
      <c r="N489">
        <v>35100</v>
      </c>
      <c r="O489" t="s">
        <v>45</v>
      </c>
      <c r="P489" t="s">
        <v>54</v>
      </c>
      <c r="Q489" t="s">
        <v>52</v>
      </c>
      <c r="R489">
        <v>1985</v>
      </c>
      <c r="S489">
        <v>96.55</v>
      </c>
      <c r="T489" t="s">
        <v>161</v>
      </c>
      <c r="U489">
        <v>100</v>
      </c>
      <c r="V489" t="s">
        <v>4770</v>
      </c>
      <c r="W489">
        <v>45039633</v>
      </c>
      <c r="X489" t="s">
        <v>86</v>
      </c>
      <c r="Y489" t="s">
        <v>4771</v>
      </c>
      <c r="Z489" t="b">
        <v>0</v>
      </c>
      <c r="AA489">
        <v>383.22112894873118</v>
      </c>
      <c r="AN489" t="e">
        <f>100*(1-E489/AL489)</f>
        <v>#DIV/0!</v>
      </c>
    </row>
    <row r="490" spans="1:40" x14ac:dyDescent="0.3">
      <c r="A490" t="s">
        <v>59</v>
      </c>
      <c r="B490" t="s">
        <v>4767</v>
      </c>
      <c r="C490" t="s">
        <v>4767</v>
      </c>
      <c r="D490" s="4">
        <v>45994</v>
      </c>
      <c r="E490">
        <v>37000</v>
      </c>
      <c r="F490" t="s">
        <v>4768</v>
      </c>
      <c r="G490" t="s">
        <v>110</v>
      </c>
      <c r="H490" t="s">
        <v>111</v>
      </c>
      <c r="I490" t="s">
        <v>112</v>
      </c>
      <c r="J490" t="s">
        <v>113</v>
      </c>
      <c r="K490" t="s">
        <v>4769</v>
      </c>
      <c r="L490" t="s">
        <v>44</v>
      </c>
      <c r="M490" t="s">
        <v>481</v>
      </c>
      <c r="N490">
        <v>35100</v>
      </c>
      <c r="O490" t="s">
        <v>45</v>
      </c>
      <c r="P490" t="s">
        <v>54</v>
      </c>
      <c r="Q490" t="s">
        <v>52</v>
      </c>
      <c r="R490">
        <v>1985</v>
      </c>
      <c r="S490">
        <v>96.55</v>
      </c>
      <c r="T490" t="s">
        <v>161</v>
      </c>
      <c r="U490">
        <v>100</v>
      </c>
      <c r="V490" t="s">
        <v>4770</v>
      </c>
      <c r="W490">
        <v>45039633</v>
      </c>
      <c r="X490" t="s">
        <v>86</v>
      </c>
      <c r="Y490" t="s">
        <v>4771</v>
      </c>
      <c r="Z490" t="b">
        <v>0</v>
      </c>
      <c r="AA490">
        <v>383.22112894873118</v>
      </c>
      <c r="AN490" t="e">
        <f>100*(1-E490/AL490)</f>
        <v>#DIV/0!</v>
      </c>
    </row>
    <row r="491" spans="1:40" x14ac:dyDescent="0.3">
      <c r="A491" t="s">
        <v>39</v>
      </c>
      <c r="B491" t="s">
        <v>4772</v>
      </c>
      <c r="C491" t="s">
        <v>4772</v>
      </c>
      <c r="D491" s="4">
        <v>45994</v>
      </c>
      <c r="E491">
        <v>75000</v>
      </c>
      <c r="F491" t="s">
        <v>114</v>
      </c>
      <c r="G491" t="s">
        <v>298</v>
      </c>
      <c r="H491" t="s">
        <v>67</v>
      </c>
      <c r="I491" t="s">
        <v>299</v>
      </c>
      <c r="J491" t="s">
        <v>67</v>
      </c>
      <c r="K491" t="s">
        <v>4773</v>
      </c>
      <c r="L491" t="s">
        <v>44</v>
      </c>
      <c r="M491" t="s">
        <v>4774</v>
      </c>
      <c r="N491">
        <v>13123</v>
      </c>
      <c r="O491" t="s">
        <v>45</v>
      </c>
      <c r="P491" t="s">
        <v>54</v>
      </c>
      <c r="Q491" t="s">
        <v>52</v>
      </c>
      <c r="R491">
        <v>1985</v>
      </c>
      <c r="S491">
        <v>75.349999999999994</v>
      </c>
      <c r="T491">
        <v>0</v>
      </c>
      <c r="U491">
        <v>0</v>
      </c>
      <c r="V491" t="s">
        <v>4775</v>
      </c>
      <c r="W491">
        <v>136989171</v>
      </c>
      <c r="X491" t="s">
        <v>49</v>
      </c>
      <c r="Y491" t="s">
        <v>4776</v>
      </c>
      <c r="Z491" t="b">
        <v>0</v>
      </c>
      <c r="AA491">
        <v>995.35500995355017</v>
      </c>
      <c r="AN491" t="e">
        <f>100*(1-E491/AL491)</f>
        <v>#DIV/0!</v>
      </c>
    </row>
    <row r="492" spans="1:40" x14ac:dyDescent="0.3">
      <c r="A492" t="s">
        <v>166</v>
      </c>
      <c r="B492" t="s">
        <v>4855</v>
      </c>
      <c r="C492" t="s">
        <v>4855</v>
      </c>
      <c r="D492" s="4">
        <v>45994</v>
      </c>
      <c r="E492">
        <v>544000</v>
      </c>
      <c r="F492" t="s">
        <v>4856</v>
      </c>
      <c r="G492" t="s">
        <v>4857</v>
      </c>
      <c r="H492" t="s">
        <v>67</v>
      </c>
      <c r="I492" t="s">
        <v>317</v>
      </c>
      <c r="J492" t="s">
        <v>67</v>
      </c>
      <c r="K492" t="s">
        <v>4858</v>
      </c>
      <c r="L492" t="s">
        <v>44</v>
      </c>
      <c r="M492" t="s">
        <v>4859</v>
      </c>
      <c r="N492">
        <v>14576</v>
      </c>
      <c r="O492" t="s">
        <v>45</v>
      </c>
      <c r="P492" t="s">
        <v>81</v>
      </c>
      <c r="Q492" t="s">
        <v>85</v>
      </c>
      <c r="R492">
        <v>1987</v>
      </c>
      <c r="S492">
        <v>282.95</v>
      </c>
      <c r="T492">
        <v>0</v>
      </c>
      <c r="U492">
        <v>0</v>
      </c>
      <c r="V492" t="s">
        <v>4860</v>
      </c>
      <c r="W492">
        <v>33869508</v>
      </c>
      <c r="X492" t="s">
        <v>49</v>
      </c>
      <c r="Y492" t="s">
        <v>4861</v>
      </c>
      <c r="Z492" t="b">
        <v>0</v>
      </c>
      <c r="AA492">
        <v>1922.6011662837959</v>
      </c>
      <c r="AN492" t="e">
        <f>100*(1-E492/AL492)</f>
        <v>#DIV/0!</v>
      </c>
    </row>
    <row r="493" spans="1:40" x14ac:dyDescent="0.3">
      <c r="A493" t="s">
        <v>39</v>
      </c>
      <c r="B493" t="s">
        <v>4911</v>
      </c>
      <c r="C493" t="s">
        <v>3780</v>
      </c>
      <c r="D493" s="4">
        <v>45994</v>
      </c>
      <c r="E493">
        <v>125000</v>
      </c>
      <c r="F493" t="s">
        <v>4912</v>
      </c>
      <c r="G493" t="s">
        <v>3782</v>
      </c>
      <c r="H493" t="s">
        <v>152</v>
      </c>
      <c r="I493" t="s">
        <v>3783</v>
      </c>
      <c r="J493" t="s">
        <v>154</v>
      </c>
      <c r="K493" t="s">
        <v>4913</v>
      </c>
      <c r="L493" t="s">
        <v>44</v>
      </c>
      <c r="M493" t="s">
        <v>4914</v>
      </c>
      <c r="N493">
        <v>24400</v>
      </c>
      <c r="O493" t="s">
        <v>45</v>
      </c>
      <c r="P493" t="s">
        <v>54</v>
      </c>
      <c r="Q493" t="s">
        <v>85</v>
      </c>
      <c r="R493">
        <v>1988</v>
      </c>
      <c r="S493">
        <v>134</v>
      </c>
      <c r="T493">
        <v>0</v>
      </c>
      <c r="U493">
        <v>0</v>
      </c>
      <c r="V493" t="s">
        <v>4915</v>
      </c>
      <c r="W493">
        <v>49835388</v>
      </c>
      <c r="X493" t="s">
        <v>49</v>
      </c>
      <c r="Y493" t="s">
        <v>4916</v>
      </c>
      <c r="Z493" t="b">
        <v>0</v>
      </c>
      <c r="AA493">
        <v>932.83582089552237</v>
      </c>
      <c r="AN493" t="e">
        <f>100*(1-E493/AL493)</f>
        <v>#DIV/0!</v>
      </c>
    </row>
    <row r="494" spans="1:40" x14ac:dyDescent="0.3">
      <c r="A494" t="s">
        <v>59</v>
      </c>
      <c r="B494" t="s">
        <v>4917</v>
      </c>
      <c r="C494" t="s">
        <v>4917</v>
      </c>
      <c r="D494" s="4">
        <v>45994</v>
      </c>
      <c r="E494">
        <v>39000</v>
      </c>
      <c r="F494" t="s">
        <v>4918</v>
      </c>
      <c r="G494" t="s">
        <v>173</v>
      </c>
      <c r="H494" t="s">
        <v>111</v>
      </c>
      <c r="I494" t="s">
        <v>174</v>
      </c>
      <c r="J494" t="s">
        <v>175</v>
      </c>
      <c r="K494" t="s">
        <v>4919</v>
      </c>
      <c r="L494" t="s">
        <v>44</v>
      </c>
      <c r="M494" t="s">
        <v>4920</v>
      </c>
      <c r="N494">
        <v>34100</v>
      </c>
      <c r="O494" t="s">
        <v>50</v>
      </c>
      <c r="P494" t="s">
        <v>176</v>
      </c>
      <c r="Q494" t="s">
        <v>55</v>
      </c>
      <c r="R494">
        <v>1988</v>
      </c>
      <c r="S494">
        <v>23.34</v>
      </c>
      <c r="T494">
        <v>0</v>
      </c>
      <c r="U494">
        <v>0</v>
      </c>
      <c r="V494" t="s">
        <v>4921</v>
      </c>
      <c r="W494">
        <v>58610818</v>
      </c>
      <c r="X494" t="s">
        <v>86</v>
      </c>
      <c r="Y494" t="s">
        <v>4922</v>
      </c>
      <c r="Z494" t="b">
        <v>0</v>
      </c>
      <c r="AA494">
        <v>1670.9511568123389</v>
      </c>
      <c r="AN494" t="e">
        <f>100*(1-E494/AL494)</f>
        <v>#DIV/0!</v>
      </c>
    </row>
    <row r="495" spans="1:40" x14ac:dyDescent="0.3">
      <c r="A495" t="s">
        <v>59</v>
      </c>
      <c r="B495" t="s">
        <v>4917</v>
      </c>
      <c r="C495" t="s">
        <v>4917</v>
      </c>
      <c r="D495" s="4">
        <v>45994</v>
      </c>
      <c r="E495">
        <v>39000</v>
      </c>
      <c r="F495" t="s">
        <v>4918</v>
      </c>
      <c r="G495" t="s">
        <v>173</v>
      </c>
      <c r="H495" t="s">
        <v>111</v>
      </c>
      <c r="I495" t="s">
        <v>174</v>
      </c>
      <c r="J495" t="s">
        <v>175</v>
      </c>
      <c r="K495" t="s">
        <v>4919</v>
      </c>
      <c r="L495" t="s">
        <v>44</v>
      </c>
      <c r="M495" t="s">
        <v>4920</v>
      </c>
      <c r="N495">
        <v>34100</v>
      </c>
      <c r="O495" t="s">
        <v>50</v>
      </c>
      <c r="P495" t="s">
        <v>176</v>
      </c>
      <c r="Q495" t="s">
        <v>55</v>
      </c>
      <c r="R495">
        <v>1988</v>
      </c>
      <c r="S495">
        <v>23.34</v>
      </c>
      <c r="T495">
        <v>0</v>
      </c>
      <c r="U495">
        <v>0</v>
      </c>
      <c r="V495" t="s">
        <v>4921</v>
      </c>
      <c r="W495">
        <v>58610818</v>
      </c>
      <c r="X495" t="s">
        <v>86</v>
      </c>
      <c r="Y495" t="s">
        <v>4922</v>
      </c>
      <c r="Z495" t="b">
        <v>0</v>
      </c>
      <c r="AA495">
        <v>1670.9511568123389</v>
      </c>
      <c r="AN495" t="e">
        <f>100*(1-E495/AL495)</f>
        <v>#DIV/0!</v>
      </c>
    </row>
    <row r="496" spans="1:40" x14ac:dyDescent="0.3">
      <c r="A496" t="s">
        <v>59</v>
      </c>
      <c r="B496" t="s">
        <v>5046</v>
      </c>
      <c r="C496" t="s">
        <v>5046</v>
      </c>
      <c r="D496" s="4">
        <v>45994</v>
      </c>
      <c r="E496">
        <v>217000</v>
      </c>
      <c r="F496" t="s">
        <v>5047</v>
      </c>
      <c r="G496" t="s">
        <v>5048</v>
      </c>
      <c r="H496" t="s">
        <v>111</v>
      </c>
      <c r="I496" t="s">
        <v>5049</v>
      </c>
      <c r="J496" t="s">
        <v>175</v>
      </c>
      <c r="K496" t="s">
        <v>5050</v>
      </c>
      <c r="L496" t="s">
        <v>44</v>
      </c>
      <c r="M496" t="s">
        <v>5051</v>
      </c>
      <c r="N496">
        <v>34007</v>
      </c>
      <c r="O496" t="s">
        <v>45</v>
      </c>
      <c r="P496" t="s">
        <v>81</v>
      </c>
      <c r="Q496" t="s">
        <v>52</v>
      </c>
      <c r="R496">
        <v>1990</v>
      </c>
      <c r="S496">
        <v>90.11</v>
      </c>
      <c r="T496">
        <v>0</v>
      </c>
      <c r="U496">
        <v>0</v>
      </c>
      <c r="V496" t="s">
        <v>5052</v>
      </c>
      <c r="W496" t="s">
        <v>5053</v>
      </c>
      <c r="X496" t="s">
        <v>49</v>
      </c>
      <c r="Y496" t="s">
        <v>5054</v>
      </c>
      <c r="Z496" t="b">
        <v>0</v>
      </c>
      <c r="AA496">
        <v>2408.1677949173231</v>
      </c>
      <c r="AN496" t="e">
        <f>100*(1-E496/AL496)</f>
        <v>#DIV/0!</v>
      </c>
    </row>
    <row r="497" spans="1:40" x14ac:dyDescent="0.3">
      <c r="A497" t="s">
        <v>59</v>
      </c>
      <c r="B497" t="s">
        <v>5055</v>
      </c>
      <c r="C497" t="s">
        <v>5055</v>
      </c>
      <c r="D497" s="4">
        <v>45994</v>
      </c>
      <c r="E497">
        <v>90000</v>
      </c>
      <c r="F497" t="s">
        <v>167</v>
      </c>
      <c r="G497" t="s">
        <v>141</v>
      </c>
      <c r="H497" t="s">
        <v>67</v>
      </c>
      <c r="I497" t="s">
        <v>142</v>
      </c>
      <c r="J497" t="s">
        <v>67</v>
      </c>
      <c r="K497" t="s">
        <v>5056</v>
      </c>
      <c r="L497" t="s">
        <v>44</v>
      </c>
      <c r="M497" t="s">
        <v>5057</v>
      </c>
      <c r="N497">
        <v>13674</v>
      </c>
      <c r="O497" t="s">
        <v>45</v>
      </c>
      <c r="P497" t="s">
        <v>54</v>
      </c>
      <c r="Q497" t="s">
        <v>85</v>
      </c>
      <c r="R497">
        <v>1990</v>
      </c>
      <c r="S497">
        <v>80</v>
      </c>
      <c r="T497">
        <v>0</v>
      </c>
      <c r="U497">
        <v>0</v>
      </c>
      <c r="V497" t="s">
        <v>5058</v>
      </c>
      <c r="W497">
        <v>37345060</v>
      </c>
      <c r="X497" t="s">
        <v>49</v>
      </c>
      <c r="Y497" t="s">
        <v>5059</v>
      </c>
      <c r="Z497" t="b">
        <v>0</v>
      </c>
      <c r="AA497">
        <v>1125</v>
      </c>
      <c r="AN497" t="e">
        <f>100*(1-E497/AL497)</f>
        <v>#DIV/0!</v>
      </c>
    </row>
    <row r="498" spans="1:40" x14ac:dyDescent="0.3">
      <c r="A498" t="s">
        <v>59</v>
      </c>
      <c r="B498" t="s">
        <v>5207</v>
      </c>
      <c r="C498" t="s">
        <v>5207</v>
      </c>
      <c r="D498" s="4">
        <v>45994</v>
      </c>
      <c r="E498">
        <v>66000</v>
      </c>
      <c r="F498" t="s">
        <v>219</v>
      </c>
      <c r="G498" t="s">
        <v>5208</v>
      </c>
      <c r="H498" t="s">
        <v>62</v>
      </c>
      <c r="I498" t="s">
        <v>2323</v>
      </c>
      <c r="J498" t="s">
        <v>204</v>
      </c>
      <c r="K498" t="s">
        <v>5209</v>
      </c>
      <c r="L498" t="s">
        <v>44</v>
      </c>
      <c r="M498" t="s">
        <v>5210</v>
      </c>
      <c r="N498">
        <v>62300</v>
      </c>
      <c r="O498" t="s">
        <v>45</v>
      </c>
      <c r="P498" t="s">
        <v>54</v>
      </c>
      <c r="Q498" t="s">
        <v>1321</v>
      </c>
      <c r="R498">
        <v>1992</v>
      </c>
      <c r="S498">
        <v>101</v>
      </c>
      <c r="T498">
        <v>0</v>
      </c>
      <c r="U498">
        <v>0</v>
      </c>
      <c r="V498" t="s">
        <v>5211</v>
      </c>
      <c r="W498">
        <v>100310080</v>
      </c>
      <c r="X498" t="s">
        <v>49</v>
      </c>
      <c r="Y498" t="s">
        <v>5212</v>
      </c>
      <c r="Z498" t="b">
        <v>0</v>
      </c>
      <c r="AA498">
        <v>653.46534653465346</v>
      </c>
      <c r="AN498" t="e">
        <f>100*(1-E498/AL498)</f>
        <v>#DIV/0!</v>
      </c>
    </row>
    <row r="499" spans="1:40" x14ac:dyDescent="0.3">
      <c r="A499" t="s">
        <v>166</v>
      </c>
      <c r="B499" t="s">
        <v>5274</v>
      </c>
      <c r="C499" t="s">
        <v>5274</v>
      </c>
      <c r="D499" s="4">
        <v>45994</v>
      </c>
      <c r="E499">
        <v>212000</v>
      </c>
      <c r="F499" t="s">
        <v>247</v>
      </c>
      <c r="G499" t="s">
        <v>115</v>
      </c>
      <c r="H499" t="s">
        <v>67</v>
      </c>
      <c r="I499" t="s">
        <v>116</v>
      </c>
      <c r="J499" t="s">
        <v>67</v>
      </c>
      <c r="K499" t="s">
        <v>5275</v>
      </c>
      <c r="L499" t="s">
        <v>44</v>
      </c>
      <c r="M499" t="s">
        <v>5276</v>
      </c>
      <c r="N499">
        <v>11855</v>
      </c>
      <c r="O499" t="s">
        <v>45</v>
      </c>
      <c r="P499" t="s">
        <v>54</v>
      </c>
      <c r="Q499" t="s">
        <v>64</v>
      </c>
      <c r="R499">
        <v>1994</v>
      </c>
      <c r="S499">
        <v>122.65</v>
      </c>
      <c r="T499">
        <v>0</v>
      </c>
      <c r="U499">
        <v>0</v>
      </c>
      <c r="V499" t="s">
        <v>5277</v>
      </c>
      <c r="W499">
        <v>43498589</v>
      </c>
      <c r="X499" t="s">
        <v>86</v>
      </c>
      <c r="Y499" t="s">
        <v>5278</v>
      </c>
      <c r="Z499" t="b">
        <v>0</v>
      </c>
      <c r="AA499">
        <v>1728.495719527109</v>
      </c>
      <c r="AN499" t="e">
        <f>100*(1-E499/AL499)</f>
        <v>#DIV/0!</v>
      </c>
    </row>
    <row r="500" spans="1:40" x14ac:dyDescent="0.3">
      <c r="A500" t="s">
        <v>166</v>
      </c>
      <c r="B500" t="s">
        <v>5279</v>
      </c>
      <c r="C500" t="s">
        <v>5279</v>
      </c>
      <c r="D500" s="4">
        <v>45994</v>
      </c>
      <c r="E500">
        <v>325500</v>
      </c>
      <c r="F500" t="s">
        <v>5280</v>
      </c>
      <c r="G500" t="s">
        <v>3882</v>
      </c>
      <c r="H500" t="s">
        <v>67</v>
      </c>
      <c r="I500" t="s">
        <v>3883</v>
      </c>
      <c r="J500" t="s">
        <v>67</v>
      </c>
      <c r="K500" t="s">
        <v>5281</v>
      </c>
      <c r="L500" t="s">
        <v>44</v>
      </c>
      <c r="M500" t="s">
        <v>5282</v>
      </c>
      <c r="N500">
        <v>19300</v>
      </c>
      <c r="O500" t="s">
        <v>50</v>
      </c>
      <c r="P500" t="s">
        <v>186</v>
      </c>
      <c r="Q500">
        <v>0</v>
      </c>
      <c r="R500">
        <v>1994</v>
      </c>
      <c r="S500">
        <v>2759.15</v>
      </c>
      <c r="T500">
        <v>0</v>
      </c>
      <c r="U500">
        <v>0</v>
      </c>
      <c r="V500" t="s">
        <v>5283</v>
      </c>
      <c r="W500">
        <v>999213233</v>
      </c>
      <c r="X500" t="s">
        <v>49</v>
      </c>
      <c r="Y500" t="s">
        <v>5284</v>
      </c>
      <c r="Z500" t="b">
        <v>0</v>
      </c>
      <c r="AA500">
        <v>117.97111429244509</v>
      </c>
      <c r="AN500" t="e">
        <f>100*(1-E500/AL500)</f>
        <v>#DIV/0!</v>
      </c>
    </row>
    <row r="501" spans="1:40" x14ac:dyDescent="0.3">
      <c r="A501" t="s">
        <v>59</v>
      </c>
      <c r="B501" t="s">
        <v>5351</v>
      </c>
      <c r="C501" t="s">
        <v>5351</v>
      </c>
      <c r="D501" s="4">
        <v>45994</v>
      </c>
      <c r="E501">
        <v>69500</v>
      </c>
      <c r="F501" t="s">
        <v>5352</v>
      </c>
      <c r="G501" t="s">
        <v>320</v>
      </c>
      <c r="H501" t="s">
        <v>156</v>
      </c>
      <c r="I501" t="s">
        <v>321</v>
      </c>
      <c r="J501" t="s">
        <v>322</v>
      </c>
      <c r="K501" t="s">
        <v>5353</v>
      </c>
      <c r="L501" t="s">
        <v>44</v>
      </c>
      <c r="M501" t="s">
        <v>5354</v>
      </c>
      <c r="N501">
        <v>28100</v>
      </c>
      <c r="O501" t="s">
        <v>45</v>
      </c>
      <c r="P501" t="s">
        <v>81</v>
      </c>
      <c r="Q501" t="s">
        <v>52</v>
      </c>
      <c r="R501">
        <v>1995</v>
      </c>
      <c r="S501">
        <v>227.68</v>
      </c>
      <c r="T501" t="s">
        <v>161</v>
      </c>
      <c r="U501">
        <v>50</v>
      </c>
      <c r="V501" t="s">
        <v>5355</v>
      </c>
      <c r="W501">
        <v>68125439</v>
      </c>
      <c r="X501" t="s">
        <v>49</v>
      </c>
      <c r="Y501">
        <v>250481144007</v>
      </c>
      <c r="Z501" t="b">
        <v>0</v>
      </c>
      <c r="AA501">
        <v>305.25298664792689</v>
      </c>
      <c r="AN501" t="e">
        <f>100*(1-E501/AL501)</f>
        <v>#DIV/0!</v>
      </c>
    </row>
    <row r="502" spans="1:40" x14ac:dyDescent="0.3">
      <c r="A502" t="s">
        <v>166</v>
      </c>
      <c r="B502" t="s">
        <v>5356</v>
      </c>
      <c r="C502" t="s">
        <v>5356</v>
      </c>
      <c r="D502" s="4">
        <v>45994</v>
      </c>
      <c r="E502">
        <v>57100</v>
      </c>
      <c r="F502" t="s">
        <v>5357</v>
      </c>
      <c r="G502" t="s">
        <v>446</v>
      </c>
      <c r="H502" t="s">
        <v>67</v>
      </c>
      <c r="I502" t="s">
        <v>447</v>
      </c>
      <c r="J502" t="s">
        <v>67</v>
      </c>
      <c r="K502" t="s">
        <v>5358</v>
      </c>
      <c r="L502" t="s">
        <v>44</v>
      </c>
      <c r="M502" t="s">
        <v>5359</v>
      </c>
      <c r="N502">
        <v>15771</v>
      </c>
      <c r="O502" t="s">
        <v>45</v>
      </c>
      <c r="P502" t="s">
        <v>54</v>
      </c>
      <c r="Q502" t="s">
        <v>64</v>
      </c>
      <c r="R502">
        <v>1995</v>
      </c>
      <c r="S502">
        <v>82</v>
      </c>
      <c r="T502" t="s">
        <v>48</v>
      </c>
      <c r="U502">
        <v>30</v>
      </c>
      <c r="V502" t="s">
        <v>5360</v>
      </c>
      <c r="W502">
        <v>16590850</v>
      </c>
      <c r="X502" t="s">
        <v>49</v>
      </c>
      <c r="Y502" t="s">
        <v>5361</v>
      </c>
      <c r="Z502" t="b">
        <v>0</v>
      </c>
      <c r="AA502">
        <v>696.34146341463418</v>
      </c>
      <c r="AN502" t="e">
        <f>100*(1-E502/AL502)</f>
        <v>#DIV/0!</v>
      </c>
    </row>
    <row r="503" spans="1:40" x14ac:dyDescent="0.3">
      <c r="A503" t="s">
        <v>39</v>
      </c>
      <c r="B503" t="s">
        <v>5401</v>
      </c>
      <c r="C503" t="s">
        <v>5401</v>
      </c>
      <c r="D503" s="4">
        <v>45994</v>
      </c>
      <c r="E503">
        <v>112000</v>
      </c>
      <c r="F503" t="s">
        <v>82</v>
      </c>
      <c r="G503" t="s">
        <v>404</v>
      </c>
      <c r="H503" t="s">
        <v>124</v>
      </c>
      <c r="I503" t="s">
        <v>405</v>
      </c>
      <c r="J503" t="s">
        <v>126</v>
      </c>
      <c r="K503" t="s">
        <v>5402</v>
      </c>
      <c r="L503" t="s">
        <v>44</v>
      </c>
      <c r="M503" t="s">
        <v>5403</v>
      </c>
      <c r="N503">
        <v>26221</v>
      </c>
      <c r="O503" t="s">
        <v>45</v>
      </c>
      <c r="P503" t="s">
        <v>54</v>
      </c>
      <c r="Q503" t="s">
        <v>100</v>
      </c>
      <c r="R503">
        <v>1996</v>
      </c>
      <c r="S503">
        <v>101.8</v>
      </c>
      <c r="T503">
        <v>0</v>
      </c>
      <c r="U503">
        <v>0</v>
      </c>
      <c r="V503" t="s">
        <v>5404</v>
      </c>
      <c r="W503">
        <v>43645281</v>
      </c>
      <c r="X503" t="s">
        <v>49</v>
      </c>
      <c r="Y503" t="s">
        <v>5405</v>
      </c>
      <c r="Z503" t="b">
        <v>0</v>
      </c>
      <c r="AA503">
        <v>1100.1964636542241</v>
      </c>
      <c r="AN503" t="e">
        <f>100*(1-E503/AL503)</f>
        <v>#DIV/0!</v>
      </c>
    </row>
    <row r="504" spans="1:40" x14ac:dyDescent="0.3">
      <c r="A504" t="s">
        <v>166</v>
      </c>
      <c r="B504" t="s">
        <v>5447</v>
      </c>
      <c r="C504" t="s">
        <v>5447</v>
      </c>
      <c r="D504" s="4">
        <v>45994</v>
      </c>
      <c r="E504">
        <v>81000</v>
      </c>
      <c r="F504" t="s">
        <v>99</v>
      </c>
      <c r="G504" t="s">
        <v>106</v>
      </c>
      <c r="H504" t="s">
        <v>62</v>
      </c>
      <c r="I504" t="s">
        <v>107</v>
      </c>
      <c r="J504" t="s">
        <v>108</v>
      </c>
      <c r="K504" t="s">
        <v>5448</v>
      </c>
      <c r="L504" t="s">
        <v>44</v>
      </c>
      <c r="M504" t="s">
        <v>5449</v>
      </c>
      <c r="N504">
        <v>59132</v>
      </c>
      <c r="O504" t="s">
        <v>45</v>
      </c>
      <c r="P504" t="s">
        <v>54</v>
      </c>
      <c r="Q504" t="s">
        <v>85</v>
      </c>
      <c r="R504">
        <v>1998</v>
      </c>
      <c r="S504">
        <v>67.98</v>
      </c>
      <c r="T504">
        <v>0</v>
      </c>
      <c r="U504">
        <v>0</v>
      </c>
      <c r="V504" t="s">
        <v>5450</v>
      </c>
      <c r="W504">
        <v>50121820</v>
      </c>
      <c r="X504" t="s">
        <v>86</v>
      </c>
      <c r="Y504" t="s">
        <v>5451</v>
      </c>
      <c r="Z504" t="b">
        <v>0</v>
      </c>
      <c r="AA504">
        <v>1191.5269196822589</v>
      </c>
      <c r="AN504" t="e">
        <f>100*(1-E504/AL504)</f>
        <v>#DIV/0!</v>
      </c>
    </row>
    <row r="505" spans="1:40" x14ac:dyDescent="0.3">
      <c r="A505" t="s">
        <v>139</v>
      </c>
      <c r="B505" t="s">
        <v>5452</v>
      </c>
      <c r="C505" t="s">
        <v>5452</v>
      </c>
      <c r="D505" s="4">
        <v>45994</v>
      </c>
      <c r="E505">
        <v>51000</v>
      </c>
      <c r="F505" t="s">
        <v>290</v>
      </c>
      <c r="G505" t="s">
        <v>110</v>
      </c>
      <c r="H505" t="s">
        <v>111</v>
      </c>
      <c r="I505" t="s">
        <v>112</v>
      </c>
      <c r="J505" t="s">
        <v>113</v>
      </c>
      <c r="K505" t="s">
        <v>5453</v>
      </c>
      <c r="L505" t="s">
        <v>44</v>
      </c>
      <c r="M505" t="s">
        <v>5454</v>
      </c>
      <c r="N505">
        <v>35100</v>
      </c>
      <c r="O505" t="s">
        <v>45</v>
      </c>
      <c r="P505" t="s">
        <v>54</v>
      </c>
      <c r="Q505" t="s">
        <v>55</v>
      </c>
      <c r="R505">
        <v>1998</v>
      </c>
      <c r="S505">
        <v>60</v>
      </c>
      <c r="T505">
        <v>0</v>
      </c>
      <c r="U505">
        <v>0</v>
      </c>
      <c r="V505" t="s">
        <v>5455</v>
      </c>
      <c r="W505">
        <v>51848219</v>
      </c>
      <c r="X505" t="s">
        <v>86</v>
      </c>
      <c r="Y505" t="s">
        <v>5456</v>
      </c>
      <c r="Z505" t="b">
        <v>0</v>
      </c>
      <c r="AA505">
        <v>850</v>
      </c>
      <c r="AN505" t="e">
        <f>100*(1-E505/AL505)</f>
        <v>#DIV/0!</v>
      </c>
    </row>
    <row r="506" spans="1:40" x14ac:dyDescent="0.3">
      <c r="A506" t="s">
        <v>59</v>
      </c>
      <c r="B506" t="s">
        <v>5499</v>
      </c>
      <c r="C506" t="s">
        <v>5499</v>
      </c>
      <c r="D506" s="4">
        <v>45994</v>
      </c>
      <c r="E506">
        <v>143000</v>
      </c>
      <c r="F506" t="s">
        <v>424</v>
      </c>
      <c r="G506" t="s">
        <v>5500</v>
      </c>
      <c r="H506" t="s">
        <v>67</v>
      </c>
      <c r="I506" t="s">
        <v>351</v>
      </c>
      <c r="J506" t="s">
        <v>67</v>
      </c>
      <c r="K506" t="s">
        <v>5501</v>
      </c>
      <c r="L506" t="s">
        <v>44</v>
      </c>
      <c r="M506" t="s">
        <v>5502</v>
      </c>
      <c r="N506">
        <v>13451</v>
      </c>
      <c r="O506" t="s">
        <v>45</v>
      </c>
      <c r="P506" t="s">
        <v>54</v>
      </c>
      <c r="Q506" t="s">
        <v>85</v>
      </c>
      <c r="R506">
        <v>1999</v>
      </c>
      <c r="S506">
        <v>88.07</v>
      </c>
      <c r="T506">
        <v>0</v>
      </c>
      <c r="U506">
        <v>0</v>
      </c>
      <c r="V506" t="s">
        <v>5503</v>
      </c>
      <c r="W506">
        <v>75417684</v>
      </c>
      <c r="X506" t="s">
        <v>49</v>
      </c>
      <c r="Y506" t="s">
        <v>5504</v>
      </c>
      <c r="Z506" t="b">
        <v>0</v>
      </c>
      <c r="AA506">
        <v>1623.708413761781</v>
      </c>
      <c r="AN506" t="e">
        <f>100*(1-E506/AL506)</f>
        <v>#DIV/0!</v>
      </c>
    </row>
    <row r="507" spans="1:40" x14ac:dyDescent="0.3">
      <c r="A507" t="s">
        <v>139</v>
      </c>
      <c r="B507" t="s">
        <v>5560</v>
      </c>
      <c r="C507" t="s">
        <v>5560</v>
      </c>
      <c r="D507" s="4">
        <v>45994</v>
      </c>
      <c r="E507">
        <v>133038</v>
      </c>
      <c r="F507" t="s">
        <v>483</v>
      </c>
      <c r="G507" t="s">
        <v>494</v>
      </c>
      <c r="H507" t="s">
        <v>62</v>
      </c>
      <c r="I507" t="s">
        <v>495</v>
      </c>
      <c r="J507" t="s">
        <v>389</v>
      </c>
      <c r="K507" t="s">
        <v>5561</v>
      </c>
      <c r="L507" t="s">
        <v>44</v>
      </c>
      <c r="M507" t="s">
        <v>5562</v>
      </c>
      <c r="N507">
        <v>63100</v>
      </c>
      <c r="O507" t="s">
        <v>45</v>
      </c>
      <c r="P507" t="s">
        <v>54</v>
      </c>
      <c r="Q507" t="s">
        <v>100</v>
      </c>
      <c r="R507">
        <v>2000</v>
      </c>
      <c r="S507">
        <v>78.5</v>
      </c>
      <c r="T507">
        <v>0</v>
      </c>
      <c r="U507">
        <v>0</v>
      </c>
      <c r="V507" t="s">
        <v>5563</v>
      </c>
      <c r="W507" t="s">
        <v>5564</v>
      </c>
      <c r="X507" t="s">
        <v>86</v>
      </c>
      <c r="Y507" t="s">
        <v>5565</v>
      </c>
      <c r="Z507" t="b">
        <v>0</v>
      </c>
      <c r="AA507">
        <v>1694.751592356688</v>
      </c>
      <c r="AN507" t="e">
        <f>100*(1-E507/AL507)</f>
        <v>#DIV/0!</v>
      </c>
    </row>
    <row r="508" spans="1:40" x14ac:dyDescent="0.3">
      <c r="A508" t="s">
        <v>71</v>
      </c>
      <c r="B508" t="s">
        <v>5566</v>
      </c>
      <c r="C508" t="s">
        <v>5566</v>
      </c>
      <c r="D508" s="4">
        <v>45994</v>
      </c>
      <c r="E508">
        <v>110250</v>
      </c>
      <c r="F508" t="s">
        <v>5567</v>
      </c>
      <c r="G508" t="s">
        <v>284</v>
      </c>
      <c r="H508" t="s">
        <v>67</v>
      </c>
      <c r="I508" t="s">
        <v>285</v>
      </c>
      <c r="J508" t="s">
        <v>67</v>
      </c>
      <c r="K508" t="s">
        <v>5568</v>
      </c>
      <c r="L508" t="s">
        <v>44</v>
      </c>
      <c r="M508" t="s">
        <v>5569</v>
      </c>
      <c r="N508">
        <v>19400</v>
      </c>
      <c r="O508" t="s">
        <v>45</v>
      </c>
      <c r="P508" t="s">
        <v>81</v>
      </c>
      <c r="Q508" t="s">
        <v>55</v>
      </c>
      <c r="R508">
        <v>2000</v>
      </c>
      <c r="S508">
        <v>144</v>
      </c>
      <c r="T508" t="s">
        <v>48</v>
      </c>
      <c r="U508">
        <v>50</v>
      </c>
      <c r="V508" t="s">
        <v>5570</v>
      </c>
      <c r="W508">
        <v>50197088</v>
      </c>
      <c r="X508" t="s">
        <v>86</v>
      </c>
      <c r="Y508" t="s">
        <v>5571</v>
      </c>
      <c r="Z508" t="b">
        <v>0</v>
      </c>
      <c r="AA508">
        <v>765.625</v>
      </c>
      <c r="AN508" t="e">
        <f>100*(1-E508/AL508)</f>
        <v>#DIV/0!</v>
      </c>
    </row>
    <row r="509" spans="1:40" x14ac:dyDescent="0.3">
      <c r="A509" t="s">
        <v>71</v>
      </c>
      <c r="B509" t="s">
        <v>5566</v>
      </c>
      <c r="C509" t="s">
        <v>5566</v>
      </c>
      <c r="D509" s="4">
        <v>45994</v>
      </c>
      <c r="E509">
        <v>110250</v>
      </c>
      <c r="F509" t="s">
        <v>5567</v>
      </c>
      <c r="G509" t="s">
        <v>284</v>
      </c>
      <c r="H509" t="s">
        <v>67</v>
      </c>
      <c r="I509" t="s">
        <v>285</v>
      </c>
      <c r="J509" t="s">
        <v>67</v>
      </c>
      <c r="K509" t="s">
        <v>5568</v>
      </c>
      <c r="L509" t="s">
        <v>44</v>
      </c>
      <c r="M509" t="s">
        <v>5569</v>
      </c>
      <c r="N509">
        <v>19400</v>
      </c>
      <c r="O509" t="s">
        <v>45</v>
      </c>
      <c r="P509" t="s">
        <v>81</v>
      </c>
      <c r="Q509" t="s">
        <v>55</v>
      </c>
      <c r="R509">
        <v>2000</v>
      </c>
      <c r="S509">
        <v>144</v>
      </c>
      <c r="T509" t="s">
        <v>48</v>
      </c>
      <c r="U509">
        <v>50</v>
      </c>
      <c r="V509" t="s">
        <v>5570</v>
      </c>
      <c r="W509">
        <v>50197088</v>
      </c>
      <c r="X509" t="s">
        <v>86</v>
      </c>
      <c r="Y509" t="s">
        <v>5571</v>
      </c>
      <c r="Z509" t="b">
        <v>0</v>
      </c>
      <c r="AA509">
        <v>765.625</v>
      </c>
      <c r="AN509" t="e">
        <f>100*(1-E509/AL509)</f>
        <v>#DIV/0!</v>
      </c>
    </row>
    <row r="510" spans="1:40" x14ac:dyDescent="0.3">
      <c r="A510" t="s">
        <v>166</v>
      </c>
      <c r="B510" t="s">
        <v>5572</v>
      </c>
      <c r="C510" t="s">
        <v>5572</v>
      </c>
      <c r="D510" s="4">
        <v>45994</v>
      </c>
      <c r="E510">
        <v>54250</v>
      </c>
      <c r="F510" t="s">
        <v>5573</v>
      </c>
      <c r="G510" t="s">
        <v>5574</v>
      </c>
      <c r="H510" t="s">
        <v>62</v>
      </c>
      <c r="I510" t="s">
        <v>73</v>
      </c>
      <c r="J510" t="s">
        <v>63</v>
      </c>
      <c r="K510" t="s">
        <v>5575</v>
      </c>
      <c r="L510" t="s">
        <v>44</v>
      </c>
      <c r="M510" t="s">
        <v>5576</v>
      </c>
      <c r="N510">
        <v>57010</v>
      </c>
      <c r="O510" t="s">
        <v>45</v>
      </c>
      <c r="P510" t="s">
        <v>288</v>
      </c>
      <c r="Q510" t="s">
        <v>55</v>
      </c>
      <c r="R510">
        <v>2000</v>
      </c>
      <c r="S510">
        <v>186</v>
      </c>
      <c r="T510" t="s">
        <v>48</v>
      </c>
      <c r="U510">
        <v>50</v>
      </c>
      <c r="V510" t="s">
        <v>5577</v>
      </c>
      <c r="W510">
        <v>41352728</v>
      </c>
      <c r="X510" t="s">
        <v>49</v>
      </c>
      <c r="Y510" t="s">
        <v>5578</v>
      </c>
      <c r="Z510" t="b">
        <v>0</v>
      </c>
      <c r="AA510">
        <v>291.66666666666669</v>
      </c>
      <c r="AN510" t="e">
        <f>100*(1-E510/AL510)</f>
        <v>#DIV/0!</v>
      </c>
    </row>
    <row r="511" spans="1:40" x14ac:dyDescent="0.3">
      <c r="A511" t="s">
        <v>39</v>
      </c>
      <c r="B511" t="s">
        <v>5579</v>
      </c>
      <c r="C511" t="s">
        <v>5580</v>
      </c>
      <c r="D511" s="4">
        <v>45994</v>
      </c>
      <c r="E511">
        <v>39000</v>
      </c>
      <c r="F511" t="s">
        <v>3376</v>
      </c>
      <c r="G511" t="s">
        <v>404</v>
      </c>
      <c r="H511" t="s">
        <v>124</v>
      </c>
      <c r="I511" t="s">
        <v>405</v>
      </c>
      <c r="J511" t="s">
        <v>126</v>
      </c>
      <c r="K511" t="s">
        <v>5581</v>
      </c>
      <c r="L511" t="s">
        <v>44</v>
      </c>
      <c r="M511" t="s">
        <v>5582</v>
      </c>
      <c r="N511">
        <v>26222</v>
      </c>
      <c r="O511" t="s">
        <v>45</v>
      </c>
      <c r="P511" t="s">
        <v>54</v>
      </c>
      <c r="Q511" t="s">
        <v>52</v>
      </c>
      <c r="R511">
        <v>2000</v>
      </c>
      <c r="S511">
        <v>30.19</v>
      </c>
      <c r="T511">
        <v>0</v>
      </c>
      <c r="U511">
        <v>0</v>
      </c>
      <c r="V511" t="s">
        <v>5583</v>
      </c>
      <c r="W511" t="s">
        <v>5584</v>
      </c>
      <c r="X511" t="s">
        <v>49</v>
      </c>
      <c r="Y511" t="s">
        <v>5585</v>
      </c>
      <c r="Z511" t="b">
        <v>0</v>
      </c>
      <c r="AA511">
        <v>1291.818482941371</v>
      </c>
      <c r="AN511" t="e">
        <f>100*(1-E511/AL511)</f>
        <v>#DIV/0!</v>
      </c>
    </row>
    <row r="512" spans="1:40" x14ac:dyDescent="0.3">
      <c r="A512" t="s">
        <v>59</v>
      </c>
      <c r="B512" t="s">
        <v>5586</v>
      </c>
      <c r="C512" t="s">
        <v>5586</v>
      </c>
      <c r="D512" s="4">
        <v>45994</v>
      </c>
      <c r="E512">
        <v>200000</v>
      </c>
      <c r="F512" t="s">
        <v>5587</v>
      </c>
      <c r="G512" t="s">
        <v>5588</v>
      </c>
      <c r="H512" t="s">
        <v>62</v>
      </c>
      <c r="I512" t="s">
        <v>73</v>
      </c>
      <c r="J512" t="s">
        <v>63</v>
      </c>
      <c r="K512" t="s">
        <v>5589</v>
      </c>
      <c r="L512" t="s">
        <v>44</v>
      </c>
      <c r="M512" t="s">
        <v>5590</v>
      </c>
      <c r="N512">
        <v>57010</v>
      </c>
      <c r="O512" t="s">
        <v>45</v>
      </c>
      <c r="P512" t="s">
        <v>288</v>
      </c>
      <c r="Q512" t="s">
        <v>55</v>
      </c>
      <c r="R512">
        <v>2000</v>
      </c>
      <c r="S512">
        <v>195.46</v>
      </c>
      <c r="T512">
        <v>0</v>
      </c>
      <c r="U512">
        <v>0</v>
      </c>
      <c r="V512" t="s">
        <v>5591</v>
      </c>
      <c r="W512">
        <v>102103000</v>
      </c>
      <c r="X512" t="s">
        <v>86</v>
      </c>
      <c r="Y512" t="s">
        <v>5592</v>
      </c>
      <c r="Z512" t="b">
        <v>0</v>
      </c>
      <c r="AA512">
        <v>1023.2272587741739</v>
      </c>
      <c r="AN512" t="e">
        <f>100*(1-E512/AL512)</f>
        <v>#DIV/0!</v>
      </c>
    </row>
    <row r="513" spans="1:40" x14ac:dyDescent="0.3">
      <c r="A513" t="s">
        <v>39</v>
      </c>
      <c r="B513" t="s">
        <v>5593</v>
      </c>
      <c r="C513" t="s">
        <v>5593</v>
      </c>
      <c r="D513" s="4">
        <v>45994</v>
      </c>
      <c r="E513">
        <v>82000</v>
      </c>
      <c r="F513" t="s">
        <v>418</v>
      </c>
      <c r="G513" t="s">
        <v>353</v>
      </c>
      <c r="H513" t="s">
        <v>62</v>
      </c>
      <c r="I513" t="s">
        <v>354</v>
      </c>
      <c r="J513" t="s">
        <v>88</v>
      </c>
      <c r="K513" t="s">
        <v>5594</v>
      </c>
      <c r="L513" t="s">
        <v>44</v>
      </c>
      <c r="M513" t="s">
        <v>5595</v>
      </c>
      <c r="N513">
        <v>58400</v>
      </c>
      <c r="O513" t="s">
        <v>45</v>
      </c>
      <c r="P513" t="s">
        <v>54</v>
      </c>
      <c r="Q513" t="s">
        <v>100</v>
      </c>
      <c r="R513">
        <v>2000</v>
      </c>
      <c r="S513">
        <v>86.09</v>
      </c>
      <c r="T513">
        <v>0</v>
      </c>
      <c r="U513">
        <v>0</v>
      </c>
      <c r="V513" t="s">
        <v>5596</v>
      </c>
      <c r="W513" t="s">
        <v>5597</v>
      </c>
      <c r="X513" t="s">
        <v>49</v>
      </c>
      <c r="Y513" t="s">
        <v>5598</v>
      </c>
      <c r="Z513" t="b">
        <v>0</v>
      </c>
      <c r="AA513">
        <v>952.49157858055514</v>
      </c>
      <c r="AN513" t="e">
        <f>100*(1-E513/AL513)</f>
        <v>#DIV/0!</v>
      </c>
    </row>
    <row r="514" spans="1:40" x14ac:dyDescent="0.3">
      <c r="A514" t="s">
        <v>39</v>
      </c>
      <c r="B514" t="s">
        <v>5685</v>
      </c>
      <c r="C514" t="s">
        <v>5580</v>
      </c>
      <c r="D514" s="4">
        <v>45994</v>
      </c>
      <c r="E514">
        <v>30000</v>
      </c>
      <c r="F514" t="s">
        <v>5686</v>
      </c>
      <c r="G514" t="s">
        <v>5687</v>
      </c>
      <c r="H514" t="s">
        <v>124</v>
      </c>
      <c r="I514" t="s">
        <v>405</v>
      </c>
      <c r="J514" t="s">
        <v>126</v>
      </c>
      <c r="K514" t="s">
        <v>5688</v>
      </c>
      <c r="L514" t="s">
        <v>44</v>
      </c>
      <c r="M514" t="s">
        <v>5689</v>
      </c>
      <c r="N514">
        <v>26441</v>
      </c>
      <c r="O514" t="s">
        <v>50</v>
      </c>
      <c r="P514" t="s">
        <v>51</v>
      </c>
      <c r="Q514" t="s">
        <v>52</v>
      </c>
      <c r="R514">
        <v>2001</v>
      </c>
      <c r="S514">
        <v>32.11</v>
      </c>
      <c r="T514">
        <v>0</v>
      </c>
      <c r="U514">
        <v>0</v>
      </c>
      <c r="V514" t="s">
        <v>5583</v>
      </c>
      <c r="W514" t="s">
        <v>5584</v>
      </c>
      <c r="X514" t="s">
        <v>49</v>
      </c>
      <c r="Y514" t="s">
        <v>5690</v>
      </c>
      <c r="Z514" t="b">
        <v>0</v>
      </c>
      <c r="AA514">
        <v>934.28838368109621</v>
      </c>
      <c r="AN514" t="e">
        <f>100*(1-E514/AL514)</f>
        <v>#DIV/0!</v>
      </c>
    </row>
    <row r="515" spans="1:40" x14ac:dyDescent="0.3">
      <c r="A515" t="s">
        <v>59</v>
      </c>
      <c r="B515" t="s">
        <v>5726</v>
      </c>
      <c r="C515" t="s">
        <v>5726</v>
      </c>
      <c r="D515" s="4">
        <v>45994</v>
      </c>
      <c r="E515">
        <v>166000</v>
      </c>
      <c r="F515" t="s">
        <v>5727</v>
      </c>
      <c r="G515" t="s">
        <v>250</v>
      </c>
      <c r="H515" t="s">
        <v>67</v>
      </c>
      <c r="I515" t="s">
        <v>251</v>
      </c>
      <c r="J515" t="s">
        <v>67</v>
      </c>
      <c r="K515" t="s">
        <v>5728</v>
      </c>
      <c r="L515" t="s">
        <v>44</v>
      </c>
      <c r="M515" t="s">
        <v>5729</v>
      </c>
      <c r="N515">
        <v>19002</v>
      </c>
      <c r="O515" t="s">
        <v>45</v>
      </c>
      <c r="P515" t="s">
        <v>81</v>
      </c>
      <c r="Q515" t="s">
        <v>52</v>
      </c>
      <c r="R515">
        <v>2002</v>
      </c>
      <c r="S515">
        <v>187.7</v>
      </c>
      <c r="T515">
        <v>0</v>
      </c>
      <c r="U515">
        <v>0</v>
      </c>
      <c r="V515" t="s">
        <v>5730</v>
      </c>
      <c r="W515">
        <v>33143469</v>
      </c>
      <c r="X515" t="s">
        <v>86</v>
      </c>
      <c r="Y515" t="s">
        <v>5731</v>
      </c>
      <c r="Z515" t="b">
        <v>0</v>
      </c>
      <c r="AA515">
        <v>884.3899840170485</v>
      </c>
      <c r="AN515" t="e">
        <f>100*(1-E515/AL515)</f>
        <v>#DIV/0!</v>
      </c>
    </row>
    <row r="516" spans="1:40" x14ac:dyDescent="0.3">
      <c r="A516" t="s">
        <v>166</v>
      </c>
      <c r="B516" t="s">
        <v>5820</v>
      </c>
      <c r="C516" t="s">
        <v>5820</v>
      </c>
      <c r="D516" s="4">
        <v>45994</v>
      </c>
      <c r="E516">
        <v>140000</v>
      </c>
      <c r="F516" t="s">
        <v>5821</v>
      </c>
      <c r="G516" t="s">
        <v>5114</v>
      </c>
      <c r="H516" t="s">
        <v>62</v>
      </c>
      <c r="I516" t="s">
        <v>335</v>
      </c>
      <c r="J516" t="s">
        <v>63</v>
      </c>
      <c r="K516" t="s">
        <v>5822</v>
      </c>
      <c r="L516" t="s">
        <v>44</v>
      </c>
      <c r="M516" t="s">
        <v>5823</v>
      </c>
      <c r="N516">
        <v>57004</v>
      </c>
      <c r="O516" t="s">
        <v>45</v>
      </c>
      <c r="P516" t="s">
        <v>288</v>
      </c>
      <c r="Q516" t="s">
        <v>55</v>
      </c>
      <c r="R516">
        <v>2003</v>
      </c>
      <c r="S516">
        <v>168.5</v>
      </c>
      <c r="T516">
        <v>0</v>
      </c>
      <c r="U516">
        <v>0</v>
      </c>
      <c r="V516" t="s">
        <v>5824</v>
      </c>
      <c r="W516">
        <v>25468320</v>
      </c>
      <c r="X516" t="s">
        <v>86</v>
      </c>
      <c r="Y516" t="s">
        <v>5825</v>
      </c>
      <c r="Z516" t="b">
        <v>0</v>
      </c>
      <c r="AA516">
        <v>830.86053412462911</v>
      </c>
      <c r="AN516" t="e">
        <f>100*(1-E516/AL516)</f>
        <v>#DIV/0!</v>
      </c>
    </row>
    <row r="517" spans="1:40" x14ac:dyDescent="0.3">
      <c r="A517" t="s">
        <v>166</v>
      </c>
      <c r="B517" t="s">
        <v>5826</v>
      </c>
      <c r="C517" t="s">
        <v>5826</v>
      </c>
      <c r="D517" s="4">
        <v>45994</v>
      </c>
      <c r="E517">
        <v>103000</v>
      </c>
      <c r="F517" t="s">
        <v>5827</v>
      </c>
      <c r="G517" t="s">
        <v>390</v>
      </c>
      <c r="H517" t="s">
        <v>62</v>
      </c>
      <c r="I517" t="s">
        <v>391</v>
      </c>
      <c r="J517" t="s">
        <v>63</v>
      </c>
      <c r="K517" t="s">
        <v>5828</v>
      </c>
      <c r="L517" t="s">
        <v>44</v>
      </c>
      <c r="M517" t="s">
        <v>5754</v>
      </c>
      <c r="N517">
        <v>56532</v>
      </c>
      <c r="O517" t="s">
        <v>45</v>
      </c>
      <c r="P517" t="s">
        <v>54</v>
      </c>
      <c r="Q517" t="s">
        <v>85</v>
      </c>
      <c r="R517">
        <v>2003</v>
      </c>
      <c r="S517">
        <v>59.06</v>
      </c>
      <c r="T517">
        <v>0</v>
      </c>
      <c r="U517">
        <v>0</v>
      </c>
      <c r="V517" t="s">
        <v>5829</v>
      </c>
      <c r="W517">
        <v>130941465</v>
      </c>
      <c r="X517" t="s">
        <v>86</v>
      </c>
      <c r="Y517" t="s">
        <v>5830</v>
      </c>
      <c r="Z517" t="b">
        <v>0</v>
      </c>
      <c r="AA517">
        <v>1743.989163562479</v>
      </c>
      <c r="AN517" t="e">
        <f>100*(1-E517/AL517)</f>
        <v>#DIV/0!</v>
      </c>
    </row>
    <row r="518" spans="1:40" x14ac:dyDescent="0.3">
      <c r="A518" t="s">
        <v>278</v>
      </c>
      <c r="B518" t="s">
        <v>5831</v>
      </c>
      <c r="C518" t="s">
        <v>5831</v>
      </c>
      <c r="D518" s="4">
        <v>45994</v>
      </c>
      <c r="E518">
        <v>63719</v>
      </c>
      <c r="F518" t="s">
        <v>5832</v>
      </c>
      <c r="G518" t="s">
        <v>74</v>
      </c>
      <c r="H518" t="s">
        <v>62</v>
      </c>
      <c r="I518" t="s">
        <v>75</v>
      </c>
      <c r="J518" t="s">
        <v>63</v>
      </c>
      <c r="K518" t="s">
        <v>5833</v>
      </c>
      <c r="L518" t="s">
        <v>44</v>
      </c>
      <c r="M518" t="s">
        <v>5834</v>
      </c>
      <c r="N518">
        <v>56224</v>
      </c>
      <c r="O518" t="s">
        <v>45</v>
      </c>
      <c r="P518" t="s">
        <v>54</v>
      </c>
      <c r="Q518" t="s">
        <v>291</v>
      </c>
      <c r="R518">
        <v>2003</v>
      </c>
      <c r="S518">
        <v>63.4</v>
      </c>
      <c r="T518" t="s">
        <v>48</v>
      </c>
      <c r="U518">
        <v>50</v>
      </c>
      <c r="V518" t="s">
        <v>5835</v>
      </c>
      <c r="W518">
        <v>67643480</v>
      </c>
      <c r="X518" t="s">
        <v>86</v>
      </c>
      <c r="Y518" t="s">
        <v>5836</v>
      </c>
      <c r="Z518" t="b">
        <v>0</v>
      </c>
      <c r="AA518">
        <v>1005.031545741325</v>
      </c>
      <c r="AN518" t="e">
        <f>100*(1-E518/AL518)</f>
        <v>#DIV/0!</v>
      </c>
    </row>
    <row r="519" spans="1:40" x14ac:dyDescent="0.3">
      <c r="A519" t="s">
        <v>278</v>
      </c>
      <c r="B519" t="s">
        <v>5831</v>
      </c>
      <c r="C519" t="s">
        <v>5831</v>
      </c>
      <c r="D519" s="4">
        <v>45994</v>
      </c>
      <c r="E519">
        <v>63719</v>
      </c>
      <c r="F519" t="s">
        <v>5832</v>
      </c>
      <c r="G519" t="s">
        <v>74</v>
      </c>
      <c r="H519" t="s">
        <v>62</v>
      </c>
      <c r="I519" t="s">
        <v>75</v>
      </c>
      <c r="J519" t="s">
        <v>63</v>
      </c>
      <c r="K519" t="s">
        <v>5833</v>
      </c>
      <c r="L519" t="s">
        <v>44</v>
      </c>
      <c r="M519" t="s">
        <v>5834</v>
      </c>
      <c r="N519">
        <v>56224</v>
      </c>
      <c r="O519" t="s">
        <v>45</v>
      </c>
      <c r="P519" t="s">
        <v>54</v>
      </c>
      <c r="Q519" t="s">
        <v>291</v>
      </c>
      <c r="R519">
        <v>2003</v>
      </c>
      <c r="S519">
        <v>63.4</v>
      </c>
      <c r="T519" t="s">
        <v>48</v>
      </c>
      <c r="U519">
        <v>50</v>
      </c>
      <c r="V519" t="s">
        <v>5835</v>
      </c>
      <c r="W519">
        <v>67643480</v>
      </c>
      <c r="X519" t="s">
        <v>86</v>
      </c>
      <c r="Y519" t="s">
        <v>5836</v>
      </c>
      <c r="Z519" t="b">
        <v>0</v>
      </c>
      <c r="AA519">
        <v>1005.031545741325</v>
      </c>
      <c r="AN519" t="e">
        <f>100*(1-E519/AL519)</f>
        <v>#DIV/0!</v>
      </c>
    </row>
    <row r="520" spans="1:40" x14ac:dyDescent="0.3">
      <c r="A520" t="s">
        <v>139</v>
      </c>
      <c r="B520" t="s">
        <v>5837</v>
      </c>
      <c r="C520" t="s">
        <v>5837</v>
      </c>
      <c r="D520" s="4">
        <v>45994</v>
      </c>
      <c r="E520">
        <v>67000</v>
      </c>
      <c r="F520" t="s">
        <v>496</v>
      </c>
      <c r="G520" t="s">
        <v>5838</v>
      </c>
      <c r="H520" t="s">
        <v>62</v>
      </c>
      <c r="I520" t="s">
        <v>586</v>
      </c>
      <c r="J520" t="s">
        <v>63</v>
      </c>
      <c r="K520" t="s">
        <v>5839</v>
      </c>
      <c r="L520" t="s">
        <v>44</v>
      </c>
      <c r="M520" t="s">
        <v>5840</v>
      </c>
      <c r="N520">
        <v>57008</v>
      </c>
      <c r="O520" t="s">
        <v>45</v>
      </c>
      <c r="P520" t="s">
        <v>54</v>
      </c>
      <c r="Q520">
        <v>0</v>
      </c>
      <c r="R520">
        <v>2003</v>
      </c>
      <c r="S520">
        <v>51.21</v>
      </c>
      <c r="T520">
        <v>0</v>
      </c>
      <c r="U520">
        <v>0</v>
      </c>
      <c r="V520" t="s">
        <v>5841</v>
      </c>
      <c r="W520" t="s">
        <v>5842</v>
      </c>
      <c r="X520" t="s">
        <v>86</v>
      </c>
      <c r="Y520" t="s">
        <v>5843</v>
      </c>
      <c r="Z520" t="b">
        <v>0</v>
      </c>
      <c r="AA520">
        <v>1308.3382151923449</v>
      </c>
      <c r="AN520" t="e">
        <f>100*(1-E520/AL520)</f>
        <v>#DIV/0!</v>
      </c>
    </row>
    <row r="521" spans="1:40" x14ac:dyDescent="0.3">
      <c r="A521" t="s">
        <v>39</v>
      </c>
      <c r="B521" t="s">
        <v>5844</v>
      </c>
      <c r="C521" t="s">
        <v>5844</v>
      </c>
      <c r="D521" s="4">
        <v>45994</v>
      </c>
      <c r="E521">
        <v>146000</v>
      </c>
      <c r="F521" t="s">
        <v>5845</v>
      </c>
      <c r="G521" t="s">
        <v>404</v>
      </c>
      <c r="H521" t="s">
        <v>124</v>
      </c>
      <c r="I521" t="s">
        <v>405</v>
      </c>
      <c r="J521" t="s">
        <v>126</v>
      </c>
      <c r="K521" t="s">
        <v>5846</v>
      </c>
      <c r="L521" t="s">
        <v>44</v>
      </c>
      <c r="M521" t="s">
        <v>5847</v>
      </c>
      <c r="N521">
        <v>26226</v>
      </c>
      <c r="O521" t="s">
        <v>45</v>
      </c>
      <c r="P521" t="s">
        <v>288</v>
      </c>
      <c r="Q521" t="s">
        <v>85</v>
      </c>
      <c r="R521">
        <v>2003</v>
      </c>
      <c r="S521">
        <v>154.68</v>
      </c>
      <c r="T521">
        <v>0</v>
      </c>
      <c r="U521">
        <v>0</v>
      </c>
      <c r="V521" t="s">
        <v>5848</v>
      </c>
      <c r="W521">
        <v>65394425</v>
      </c>
      <c r="X521" t="s">
        <v>49</v>
      </c>
      <c r="Y521" t="s">
        <v>5849</v>
      </c>
      <c r="Z521" t="b">
        <v>0</v>
      </c>
      <c r="AA521">
        <v>943.88414791828291</v>
      </c>
      <c r="AN521" t="e">
        <f>100*(1-E521/AL521)</f>
        <v>#DIV/0!</v>
      </c>
    </row>
    <row r="522" spans="1:40" x14ac:dyDescent="0.3">
      <c r="A522" t="s">
        <v>59</v>
      </c>
      <c r="B522" t="s">
        <v>5850</v>
      </c>
      <c r="C522" t="s">
        <v>5850</v>
      </c>
      <c r="D522" s="4">
        <v>45994</v>
      </c>
      <c r="E522">
        <v>152000</v>
      </c>
      <c r="F522" t="s">
        <v>5851</v>
      </c>
      <c r="G522" t="s">
        <v>404</v>
      </c>
      <c r="H522" t="s">
        <v>124</v>
      </c>
      <c r="I522" t="s">
        <v>405</v>
      </c>
      <c r="J522" t="s">
        <v>126</v>
      </c>
      <c r="K522" t="s">
        <v>5852</v>
      </c>
      <c r="L522" t="s">
        <v>44</v>
      </c>
      <c r="M522" t="s">
        <v>5853</v>
      </c>
      <c r="N522">
        <v>26334</v>
      </c>
      <c r="O522" t="s">
        <v>45</v>
      </c>
      <c r="P522" t="s">
        <v>288</v>
      </c>
      <c r="Q522" t="s">
        <v>85</v>
      </c>
      <c r="R522">
        <v>2003</v>
      </c>
      <c r="S522">
        <v>91.43</v>
      </c>
      <c r="T522">
        <v>0</v>
      </c>
      <c r="U522">
        <v>0</v>
      </c>
      <c r="V522" t="s">
        <v>5854</v>
      </c>
      <c r="W522">
        <v>121054080</v>
      </c>
      <c r="X522" t="s">
        <v>49</v>
      </c>
      <c r="Y522" t="s">
        <v>5855</v>
      </c>
      <c r="Z522" t="b">
        <v>0</v>
      </c>
      <c r="AA522">
        <v>1662.4740238433769</v>
      </c>
      <c r="AN522" t="e">
        <f>100*(1-E522/AL522)</f>
        <v>#DIV/0!</v>
      </c>
    </row>
    <row r="523" spans="1:40" x14ac:dyDescent="0.3">
      <c r="A523" t="s">
        <v>59</v>
      </c>
      <c r="B523" t="s">
        <v>5856</v>
      </c>
      <c r="C523" t="s">
        <v>5856</v>
      </c>
      <c r="D523" s="4">
        <v>45994</v>
      </c>
      <c r="E523">
        <v>91700</v>
      </c>
      <c r="F523" t="s">
        <v>739</v>
      </c>
      <c r="G523" t="s">
        <v>115</v>
      </c>
      <c r="H523" t="s">
        <v>67</v>
      </c>
      <c r="I523" t="s">
        <v>116</v>
      </c>
      <c r="J523" t="s">
        <v>67</v>
      </c>
      <c r="K523" t="s">
        <v>5857</v>
      </c>
      <c r="L523" t="s">
        <v>44</v>
      </c>
      <c r="M523" t="s">
        <v>5858</v>
      </c>
      <c r="N523">
        <v>11855</v>
      </c>
      <c r="O523" t="s">
        <v>45</v>
      </c>
      <c r="P523" t="s">
        <v>54</v>
      </c>
      <c r="Q523" t="s">
        <v>55</v>
      </c>
      <c r="R523">
        <v>2003</v>
      </c>
      <c r="S523">
        <v>53</v>
      </c>
      <c r="T523">
        <v>0</v>
      </c>
      <c r="U523">
        <v>0</v>
      </c>
      <c r="V523" t="s">
        <v>5859</v>
      </c>
      <c r="W523">
        <v>69120073</v>
      </c>
      <c r="X523" t="s">
        <v>49</v>
      </c>
      <c r="Y523" t="s">
        <v>5860</v>
      </c>
      <c r="Z523" t="b">
        <v>0</v>
      </c>
      <c r="AA523">
        <v>1730.1886792452831</v>
      </c>
      <c r="AN523" t="e">
        <f>100*(1-E523/AL523)</f>
        <v>#DIV/0!</v>
      </c>
    </row>
    <row r="524" spans="1:40" x14ac:dyDescent="0.3">
      <c r="A524" t="s">
        <v>59</v>
      </c>
      <c r="B524" t="s">
        <v>5931</v>
      </c>
      <c r="C524" t="s">
        <v>5931</v>
      </c>
      <c r="D524" s="4">
        <v>45994</v>
      </c>
      <c r="E524">
        <v>46000</v>
      </c>
      <c r="F524" t="s">
        <v>5932</v>
      </c>
      <c r="G524" t="s">
        <v>5933</v>
      </c>
      <c r="H524" t="s">
        <v>124</v>
      </c>
      <c r="I524" t="s">
        <v>364</v>
      </c>
      <c r="J524" t="s">
        <v>256</v>
      </c>
      <c r="K524" t="s">
        <v>5934</v>
      </c>
      <c r="L524" t="s">
        <v>44</v>
      </c>
      <c r="M524" t="s">
        <v>5933</v>
      </c>
      <c r="N524">
        <v>30014</v>
      </c>
      <c r="O524" t="s">
        <v>45</v>
      </c>
      <c r="P524" t="s">
        <v>81</v>
      </c>
      <c r="Q524" t="s">
        <v>52</v>
      </c>
      <c r="R524">
        <v>2004</v>
      </c>
      <c r="S524">
        <v>127.72</v>
      </c>
      <c r="T524">
        <v>0</v>
      </c>
      <c r="U524">
        <v>0</v>
      </c>
      <c r="V524" t="s">
        <v>5935</v>
      </c>
      <c r="W524">
        <v>51511997</v>
      </c>
      <c r="X524" t="s">
        <v>86</v>
      </c>
      <c r="Y524" t="s">
        <v>5936</v>
      </c>
      <c r="Z524" t="b">
        <v>0</v>
      </c>
      <c r="AA524">
        <v>360.1628562480426</v>
      </c>
      <c r="AN524" t="e">
        <f>100*(1-E524/AL524)</f>
        <v>#DIV/0!</v>
      </c>
    </row>
    <row r="525" spans="1:40" x14ac:dyDescent="0.3">
      <c r="A525" t="s">
        <v>39</v>
      </c>
      <c r="B525" t="s">
        <v>5937</v>
      </c>
      <c r="C525" t="s">
        <v>5937</v>
      </c>
      <c r="D525" s="4">
        <v>45994</v>
      </c>
      <c r="E525">
        <v>167026</v>
      </c>
      <c r="F525" t="s">
        <v>99</v>
      </c>
      <c r="G525" t="s">
        <v>1276</v>
      </c>
      <c r="H525" t="s">
        <v>62</v>
      </c>
      <c r="I525" t="s">
        <v>73</v>
      </c>
      <c r="J525" t="s">
        <v>63</v>
      </c>
      <c r="K525" t="s">
        <v>5938</v>
      </c>
      <c r="L525" t="s">
        <v>44</v>
      </c>
      <c r="M525" t="s">
        <v>389</v>
      </c>
      <c r="N525">
        <v>55535</v>
      </c>
      <c r="O525" t="s">
        <v>45</v>
      </c>
      <c r="P525" t="s">
        <v>54</v>
      </c>
      <c r="Q525" t="s">
        <v>55</v>
      </c>
      <c r="R525">
        <v>2004</v>
      </c>
      <c r="S525">
        <v>67.86</v>
      </c>
      <c r="T525">
        <v>0</v>
      </c>
      <c r="U525">
        <v>0</v>
      </c>
      <c r="V525" t="s">
        <v>5939</v>
      </c>
      <c r="W525">
        <v>65009423</v>
      </c>
      <c r="X525" t="s">
        <v>86</v>
      </c>
      <c r="Y525" t="s">
        <v>5940</v>
      </c>
      <c r="Z525" t="b">
        <v>0</v>
      </c>
      <c r="AA525">
        <v>2461.3321544356031</v>
      </c>
      <c r="AN525" t="e">
        <f>100*(1-E525/AL525)</f>
        <v>#DIV/0!</v>
      </c>
    </row>
    <row r="526" spans="1:40" x14ac:dyDescent="0.3">
      <c r="A526" t="s">
        <v>166</v>
      </c>
      <c r="B526" t="s">
        <v>5941</v>
      </c>
      <c r="C526" t="s">
        <v>5942</v>
      </c>
      <c r="D526" s="4">
        <v>45994</v>
      </c>
      <c r="E526">
        <v>145500</v>
      </c>
      <c r="F526" t="s">
        <v>5943</v>
      </c>
      <c r="G526" t="s">
        <v>384</v>
      </c>
      <c r="H526" t="s">
        <v>67</v>
      </c>
      <c r="I526" t="s">
        <v>384</v>
      </c>
      <c r="J526" t="s">
        <v>67</v>
      </c>
      <c r="K526" t="s">
        <v>5944</v>
      </c>
      <c r="L526" t="s">
        <v>44</v>
      </c>
      <c r="M526" t="s">
        <v>5945</v>
      </c>
      <c r="N526">
        <v>12242</v>
      </c>
      <c r="O526" t="s">
        <v>45</v>
      </c>
      <c r="P526" t="s">
        <v>54</v>
      </c>
      <c r="Q526" t="s">
        <v>64</v>
      </c>
      <c r="R526">
        <v>2004</v>
      </c>
      <c r="S526">
        <v>63</v>
      </c>
      <c r="T526">
        <v>0</v>
      </c>
      <c r="U526">
        <v>0</v>
      </c>
      <c r="V526" t="s">
        <v>5946</v>
      </c>
      <c r="W526">
        <v>45025665</v>
      </c>
      <c r="X526" t="s">
        <v>49</v>
      </c>
      <c r="Y526" t="s">
        <v>5947</v>
      </c>
      <c r="Z526" t="b">
        <v>0</v>
      </c>
      <c r="AA526">
        <v>2309.5238095238101</v>
      </c>
      <c r="AN526" t="e">
        <f>100*(1-E526/AL526)</f>
        <v>#DIV/0!</v>
      </c>
    </row>
    <row r="527" spans="1:40" x14ac:dyDescent="0.3">
      <c r="A527" t="s">
        <v>166</v>
      </c>
      <c r="B527" t="s">
        <v>5948</v>
      </c>
      <c r="C527" t="s">
        <v>5942</v>
      </c>
      <c r="D527" s="4">
        <v>45994</v>
      </c>
      <c r="E527">
        <v>3000</v>
      </c>
      <c r="F527" t="s">
        <v>342</v>
      </c>
      <c r="G527" t="s">
        <v>384</v>
      </c>
      <c r="H527" t="s">
        <v>67</v>
      </c>
      <c r="I527" t="s">
        <v>384</v>
      </c>
      <c r="J527" t="s">
        <v>67</v>
      </c>
      <c r="K527" t="s">
        <v>5944</v>
      </c>
      <c r="L527" t="s">
        <v>44</v>
      </c>
      <c r="M527" t="s">
        <v>5945</v>
      </c>
      <c r="N527">
        <v>12242</v>
      </c>
      <c r="O527" t="s">
        <v>45</v>
      </c>
      <c r="P527" t="s">
        <v>46</v>
      </c>
      <c r="Q527" t="s">
        <v>47</v>
      </c>
      <c r="R527">
        <v>2004</v>
      </c>
      <c r="S527">
        <v>7.5</v>
      </c>
      <c r="T527">
        <v>0</v>
      </c>
      <c r="U527">
        <v>0</v>
      </c>
      <c r="V527" t="s">
        <v>5946</v>
      </c>
      <c r="W527">
        <v>45025665</v>
      </c>
      <c r="X527" t="s">
        <v>49</v>
      </c>
      <c r="Y527" t="s">
        <v>5949</v>
      </c>
      <c r="Z527" t="b">
        <v>0</v>
      </c>
      <c r="AA527">
        <v>400</v>
      </c>
      <c r="AN527" t="e">
        <f>100*(1-E527/AL527)</f>
        <v>#DIV/0!</v>
      </c>
    </row>
    <row r="528" spans="1:40" x14ac:dyDescent="0.3">
      <c r="A528" t="s">
        <v>166</v>
      </c>
      <c r="B528" t="s">
        <v>6049</v>
      </c>
      <c r="C528" t="s">
        <v>6049</v>
      </c>
      <c r="D528" s="4">
        <v>45994</v>
      </c>
      <c r="E528">
        <v>55000</v>
      </c>
      <c r="F528" t="s">
        <v>314</v>
      </c>
      <c r="G528" t="s">
        <v>1134</v>
      </c>
      <c r="H528" t="s">
        <v>111</v>
      </c>
      <c r="I528" t="s">
        <v>174</v>
      </c>
      <c r="J528" t="s">
        <v>175</v>
      </c>
      <c r="K528" t="s">
        <v>6050</v>
      </c>
      <c r="L528" t="s">
        <v>44</v>
      </c>
      <c r="M528" t="s">
        <v>6051</v>
      </c>
      <c r="N528">
        <v>34600</v>
      </c>
      <c r="O528" t="s">
        <v>45</v>
      </c>
      <c r="P528" t="s">
        <v>54</v>
      </c>
      <c r="Q528" t="s">
        <v>52</v>
      </c>
      <c r="R528">
        <v>2005</v>
      </c>
      <c r="S528">
        <v>52.18</v>
      </c>
      <c r="T528">
        <v>0</v>
      </c>
      <c r="U528">
        <v>0</v>
      </c>
      <c r="V528" t="s">
        <v>6052</v>
      </c>
      <c r="W528">
        <v>71468042</v>
      </c>
      <c r="X528" t="s">
        <v>86</v>
      </c>
      <c r="Y528" t="s">
        <v>6053</v>
      </c>
      <c r="Z528" t="b">
        <v>0</v>
      </c>
      <c r="AA528">
        <v>1054.043694902261</v>
      </c>
      <c r="AN528" t="e">
        <f>100*(1-E528/AL528)</f>
        <v>#DIV/0!</v>
      </c>
    </row>
    <row r="529" spans="1:40" x14ac:dyDescent="0.3">
      <c r="A529" t="s">
        <v>183</v>
      </c>
      <c r="B529" t="s">
        <v>6054</v>
      </c>
      <c r="C529" t="s">
        <v>6054</v>
      </c>
      <c r="D529" s="4">
        <v>45994</v>
      </c>
      <c r="E529">
        <v>127000</v>
      </c>
      <c r="F529" t="s">
        <v>6055</v>
      </c>
      <c r="G529" t="s">
        <v>442</v>
      </c>
      <c r="H529" t="s">
        <v>111</v>
      </c>
      <c r="I529" t="s">
        <v>443</v>
      </c>
      <c r="J529" t="s">
        <v>165</v>
      </c>
      <c r="K529" t="s">
        <v>6056</v>
      </c>
      <c r="L529" t="s">
        <v>44</v>
      </c>
      <c r="M529" t="s">
        <v>6057</v>
      </c>
      <c r="N529">
        <v>32010</v>
      </c>
      <c r="O529" t="s">
        <v>45</v>
      </c>
      <c r="P529" t="s">
        <v>54</v>
      </c>
      <c r="Q529" t="s">
        <v>55</v>
      </c>
      <c r="R529">
        <v>2005</v>
      </c>
      <c r="S529">
        <v>169.39</v>
      </c>
      <c r="T529">
        <v>0</v>
      </c>
      <c r="U529">
        <v>0</v>
      </c>
      <c r="V529" t="s">
        <v>6058</v>
      </c>
      <c r="W529">
        <v>116860060</v>
      </c>
      <c r="X529" t="s">
        <v>86</v>
      </c>
      <c r="Y529" t="s">
        <v>6059</v>
      </c>
      <c r="Z529" t="b">
        <v>0</v>
      </c>
      <c r="AA529">
        <v>749.7490997107268</v>
      </c>
      <c r="AN529" t="e">
        <f>100*(1-E529/AL529)</f>
        <v>#DIV/0!</v>
      </c>
    </row>
    <row r="530" spans="1:40" x14ac:dyDescent="0.3">
      <c r="A530" t="s">
        <v>183</v>
      </c>
      <c r="B530" t="s">
        <v>6054</v>
      </c>
      <c r="C530" t="s">
        <v>6054</v>
      </c>
      <c r="D530" s="4">
        <v>45994</v>
      </c>
      <c r="E530">
        <v>127000</v>
      </c>
      <c r="F530" t="s">
        <v>6055</v>
      </c>
      <c r="G530" t="s">
        <v>442</v>
      </c>
      <c r="H530" t="s">
        <v>111</v>
      </c>
      <c r="I530" t="s">
        <v>443</v>
      </c>
      <c r="J530" t="s">
        <v>165</v>
      </c>
      <c r="K530" t="s">
        <v>6056</v>
      </c>
      <c r="L530" t="s">
        <v>44</v>
      </c>
      <c r="M530" t="s">
        <v>6057</v>
      </c>
      <c r="N530">
        <v>32010</v>
      </c>
      <c r="O530" t="s">
        <v>45</v>
      </c>
      <c r="P530" t="s">
        <v>54</v>
      </c>
      <c r="Q530" t="s">
        <v>55</v>
      </c>
      <c r="R530">
        <v>2005</v>
      </c>
      <c r="S530">
        <v>169.39</v>
      </c>
      <c r="T530">
        <v>0</v>
      </c>
      <c r="U530">
        <v>0</v>
      </c>
      <c r="V530" t="s">
        <v>6058</v>
      </c>
      <c r="W530">
        <v>116860060</v>
      </c>
      <c r="X530" t="s">
        <v>86</v>
      </c>
      <c r="Y530" t="s">
        <v>6059</v>
      </c>
      <c r="Z530" t="b">
        <v>0</v>
      </c>
      <c r="AA530">
        <v>749.7490997107268</v>
      </c>
      <c r="AN530" t="e">
        <f>100*(1-E530/AL530)</f>
        <v>#DIV/0!</v>
      </c>
    </row>
    <row r="531" spans="1:40" x14ac:dyDescent="0.3">
      <c r="A531" t="s">
        <v>183</v>
      </c>
      <c r="B531" t="s">
        <v>6054</v>
      </c>
      <c r="C531" t="s">
        <v>6054</v>
      </c>
      <c r="D531" s="4">
        <v>45994</v>
      </c>
      <c r="E531">
        <v>127000</v>
      </c>
      <c r="F531" t="s">
        <v>6055</v>
      </c>
      <c r="G531" t="s">
        <v>442</v>
      </c>
      <c r="H531" t="s">
        <v>111</v>
      </c>
      <c r="I531" t="s">
        <v>443</v>
      </c>
      <c r="J531" t="s">
        <v>165</v>
      </c>
      <c r="K531" t="s">
        <v>6056</v>
      </c>
      <c r="L531" t="s">
        <v>44</v>
      </c>
      <c r="M531" t="s">
        <v>6057</v>
      </c>
      <c r="N531">
        <v>32010</v>
      </c>
      <c r="O531" t="s">
        <v>45</v>
      </c>
      <c r="P531" t="s">
        <v>54</v>
      </c>
      <c r="Q531" t="s">
        <v>55</v>
      </c>
      <c r="R531">
        <v>2005</v>
      </c>
      <c r="S531">
        <v>169.39</v>
      </c>
      <c r="T531">
        <v>0</v>
      </c>
      <c r="U531">
        <v>0</v>
      </c>
      <c r="V531" t="s">
        <v>6058</v>
      </c>
      <c r="W531">
        <v>116860060</v>
      </c>
      <c r="X531" t="s">
        <v>86</v>
      </c>
      <c r="Y531" t="s">
        <v>6059</v>
      </c>
      <c r="Z531" t="b">
        <v>0</v>
      </c>
      <c r="AA531">
        <v>749.7490997107268</v>
      </c>
      <c r="AN531" t="e">
        <f>100*(1-E531/AL531)</f>
        <v>#DIV/0!</v>
      </c>
    </row>
    <row r="532" spans="1:40" x14ac:dyDescent="0.3">
      <c r="A532" t="s">
        <v>183</v>
      </c>
      <c r="B532" t="s">
        <v>6054</v>
      </c>
      <c r="C532" t="s">
        <v>6054</v>
      </c>
      <c r="D532" s="4">
        <v>45994</v>
      </c>
      <c r="E532">
        <v>127000</v>
      </c>
      <c r="F532" t="s">
        <v>6055</v>
      </c>
      <c r="G532" t="s">
        <v>442</v>
      </c>
      <c r="H532" t="s">
        <v>111</v>
      </c>
      <c r="I532" t="s">
        <v>443</v>
      </c>
      <c r="J532" t="s">
        <v>165</v>
      </c>
      <c r="K532" t="s">
        <v>6056</v>
      </c>
      <c r="L532" t="s">
        <v>44</v>
      </c>
      <c r="M532" t="s">
        <v>6057</v>
      </c>
      <c r="N532">
        <v>32010</v>
      </c>
      <c r="O532" t="s">
        <v>45</v>
      </c>
      <c r="P532" t="s">
        <v>54</v>
      </c>
      <c r="Q532" t="s">
        <v>55</v>
      </c>
      <c r="R532">
        <v>2005</v>
      </c>
      <c r="S532">
        <v>169.39</v>
      </c>
      <c r="T532">
        <v>0</v>
      </c>
      <c r="U532">
        <v>0</v>
      </c>
      <c r="V532" t="s">
        <v>6058</v>
      </c>
      <c r="W532">
        <v>116860060</v>
      </c>
      <c r="X532" t="s">
        <v>86</v>
      </c>
      <c r="Y532" t="s">
        <v>6059</v>
      </c>
      <c r="Z532" t="b">
        <v>0</v>
      </c>
      <c r="AA532">
        <v>749.7490997107268</v>
      </c>
      <c r="AN532" t="e">
        <f>100*(1-E532/AL532)</f>
        <v>#DIV/0!</v>
      </c>
    </row>
    <row r="533" spans="1:40" x14ac:dyDescent="0.3">
      <c r="A533" t="s">
        <v>71</v>
      </c>
      <c r="B533" t="s">
        <v>6060</v>
      </c>
      <c r="C533" t="s">
        <v>6060</v>
      </c>
      <c r="D533" s="4">
        <v>45994</v>
      </c>
      <c r="E533">
        <v>110000</v>
      </c>
      <c r="F533" t="s">
        <v>5987</v>
      </c>
      <c r="G533" t="s">
        <v>141</v>
      </c>
      <c r="H533" t="s">
        <v>67</v>
      </c>
      <c r="I533" t="s">
        <v>142</v>
      </c>
      <c r="J533" t="s">
        <v>67</v>
      </c>
      <c r="K533" t="s">
        <v>6061</v>
      </c>
      <c r="L533" t="s">
        <v>44</v>
      </c>
      <c r="M533" t="s">
        <v>6062</v>
      </c>
      <c r="N533">
        <v>13671</v>
      </c>
      <c r="O533" t="s">
        <v>45</v>
      </c>
      <c r="P533" t="s">
        <v>54</v>
      </c>
      <c r="Q533" t="s">
        <v>85</v>
      </c>
      <c r="R533">
        <v>2005</v>
      </c>
      <c r="S533">
        <v>70.180000000000007</v>
      </c>
      <c r="T533">
        <v>0</v>
      </c>
      <c r="U533">
        <v>0</v>
      </c>
      <c r="V533" t="s">
        <v>6063</v>
      </c>
      <c r="W533" t="s">
        <v>6064</v>
      </c>
      <c r="X533" t="s">
        <v>49</v>
      </c>
      <c r="Y533" t="s">
        <v>6065</v>
      </c>
      <c r="Z533" t="b">
        <v>0</v>
      </c>
      <c r="AA533">
        <v>1567.398119122257</v>
      </c>
      <c r="AN533" t="e">
        <f>100*(1-E533/AL533)</f>
        <v>#DIV/0!</v>
      </c>
    </row>
    <row r="534" spans="1:40" x14ac:dyDescent="0.3">
      <c r="A534" t="s">
        <v>139</v>
      </c>
      <c r="B534" t="s">
        <v>6066</v>
      </c>
      <c r="C534" t="s">
        <v>6066</v>
      </c>
      <c r="D534" s="4">
        <v>45994</v>
      </c>
      <c r="E534">
        <v>47500</v>
      </c>
      <c r="F534" t="s">
        <v>6067</v>
      </c>
      <c r="G534" t="s">
        <v>1646</v>
      </c>
      <c r="H534" t="s">
        <v>67</v>
      </c>
      <c r="I534" t="s">
        <v>275</v>
      </c>
      <c r="J534" t="s">
        <v>67</v>
      </c>
      <c r="K534" t="s">
        <v>6068</v>
      </c>
      <c r="L534" t="s">
        <v>44</v>
      </c>
      <c r="M534" t="s">
        <v>6069</v>
      </c>
      <c r="N534">
        <v>13451</v>
      </c>
      <c r="O534" t="s">
        <v>45</v>
      </c>
      <c r="P534" t="s">
        <v>81</v>
      </c>
      <c r="Q534" t="s">
        <v>52</v>
      </c>
      <c r="R534">
        <v>2005</v>
      </c>
      <c r="S534">
        <v>78</v>
      </c>
      <c r="T534">
        <v>0</v>
      </c>
      <c r="U534">
        <v>0</v>
      </c>
      <c r="V534" t="s">
        <v>6070</v>
      </c>
      <c r="W534">
        <v>100358707</v>
      </c>
      <c r="X534" t="s">
        <v>49</v>
      </c>
      <c r="Y534" t="s">
        <v>6071</v>
      </c>
      <c r="Z534" t="b">
        <v>0</v>
      </c>
      <c r="AA534">
        <v>608.97435897435901</v>
      </c>
      <c r="AN534" t="e">
        <f>100*(1-E534/AL534)</f>
        <v>#DIV/0!</v>
      </c>
    </row>
    <row r="535" spans="1:40" x14ac:dyDescent="0.3">
      <c r="A535" t="s">
        <v>166</v>
      </c>
      <c r="B535" t="s">
        <v>6072</v>
      </c>
      <c r="C535" t="s">
        <v>6072</v>
      </c>
      <c r="D535" s="4">
        <v>45994</v>
      </c>
      <c r="E535">
        <v>67500</v>
      </c>
      <c r="F535" t="s">
        <v>6073</v>
      </c>
      <c r="G535" t="s">
        <v>6074</v>
      </c>
      <c r="H535" t="s">
        <v>62</v>
      </c>
      <c r="I535" t="s">
        <v>498</v>
      </c>
      <c r="J535" t="s">
        <v>63</v>
      </c>
      <c r="K535" t="s">
        <v>6075</v>
      </c>
      <c r="L535" t="s">
        <v>44</v>
      </c>
      <c r="M535" t="s">
        <v>6076</v>
      </c>
      <c r="N535">
        <v>54628</v>
      </c>
      <c r="O535" t="s">
        <v>45</v>
      </c>
      <c r="P535" t="s">
        <v>54</v>
      </c>
      <c r="Q535" t="s">
        <v>100</v>
      </c>
      <c r="R535">
        <v>2005</v>
      </c>
      <c r="S535">
        <v>34.590000000000003</v>
      </c>
      <c r="T535">
        <v>0</v>
      </c>
      <c r="U535">
        <v>0</v>
      </c>
      <c r="V535" t="s">
        <v>6077</v>
      </c>
      <c r="W535">
        <v>61547295</v>
      </c>
      <c r="X535" t="s">
        <v>49</v>
      </c>
      <c r="Y535" t="s">
        <v>6078</v>
      </c>
      <c r="Z535" t="b">
        <v>0</v>
      </c>
      <c r="AA535">
        <v>1951.431049436253</v>
      </c>
      <c r="AN535" t="e">
        <f>100*(1-E535/AL535)</f>
        <v>#DIV/0!</v>
      </c>
    </row>
    <row r="536" spans="1:40" x14ac:dyDescent="0.3">
      <c r="A536" t="s">
        <v>139</v>
      </c>
      <c r="B536" t="s">
        <v>6079</v>
      </c>
      <c r="C536" t="s">
        <v>6079</v>
      </c>
      <c r="D536" s="4">
        <v>45994</v>
      </c>
      <c r="E536">
        <v>169000</v>
      </c>
      <c r="F536" t="s">
        <v>6080</v>
      </c>
      <c r="G536" t="s">
        <v>3915</v>
      </c>
      <c r="H536" t="s">
        <v>152</v>
      </c>
      <c r="I536" t="s">
        <v>3916</v>
      </c>
      <c r="J536" t="s">
        <v>1996</v>
      </c>
      <c r="K536" t="s">
        <v>6081</v>
      </c>
      <c r="L536" t="s">
        <v>44</v>
      </c>
      <c r="M536" t="s">
        <v>6082</v>
      </c>
      <c r="N536">
        <v>23200</v>
      </c>
      <c r="O536" t="s">
        <v>45</v>
      </c>
      <c r="P536" t="s">
        <v>81</v>
      </c>
      <c r="Q536" t="s">
        <v>55</v>
      </c>
      <c r="R536">
        <v>2005</v>
      </c>
      <c r="S536">
        <v>149.66</v>
      </c>
      <c r="T536">
        <v>0</v>
      </c>
      <c r="U536">
        <v>0</v>
      </c>
      <c r="V536" t="s">
        <v>6083</v>
      </c>
      <c r="W536">
        <v>300466854</v>
      </c>
      <c r="X536" t="s">
        <v>49</v>
      </c>
      <c r="Y536" t="s">
        <v>6084</v>
      </c>
      <c r="Z536" t="b">
        <v>0</v>
      </c>
      <c r="AA536">
        <v>1129.226246157958</v>
      </c>
      <c r="AN536" t="e">
        <f>100*(1-E536/AL536)</f>
        <v>#DIV/0!</v>
      </c>
    </row>
    <row r="537" spans="1:40" x14ac:dyDescent="0.3">
      <c r="A537" t="s">
        <v>71</v>
      </c>
      <c r="B537" t="s">
        <v>6201</v>
      </c>
      <c r="C537" t="s">
        <v>6201</v>
      </c>
      <c r="D537" s="4">
        <v>45994</v>
      </c>
      <c r="E537">
        <v>61400</v>
      </c>
      <c r="F537" t="s">
        <v>6202</v>
      </c>
      <c r="G537" t="s">
        <v>141</v>
      </c>
      <c r="H537" t="s">
        <v>67</v>
      </c>
      <c r="I537" t="s">
        <v>142</v>
      </c>
      <c r="J537" t="s">
        <v>67</v>
      </c>
      <c r="K537" t="s">
        <v>6203</v>
      </c>
      <c r="L537" t="s">
        <v>44</v>
      </c>
      <c r="M537" t="s">
        <v>6204</v>
      </c>
      <c r="N537">
        <v>13674</v>
      </c>
      <c r="O537" t="s">
        <v>45</v>
      </c>
      <c r="P537" t="s">
        <v>54</v>
      </c>
      <c r="Q537" t="s">
        <v>55</v>
      </c>
      <c r="R537">
        <v>2006</v>
      </c>
      <c r="S537">
        <v>65.61</v>
      </c>
      <c r="T537">
        <v>0</v>
      </c>
      <c r="U537">
        <v>0</v>
      </c>
      <c r="V537" t="s">
        <v>6205</v>
      </c>
      <c r="W537">
        <v>53729515</v>
      </c>
      <c r="X537" t="s">
        <v>86</v>
      </c>
      <c r="Y537" t="s">
        <v>6206</v>
      </c>
      <c r="Z537" t="b">
        <v>0</v>
      </c>
      <c r="AA537">
        <v>935.8329522938576</v>
      </c>
      <c r="AN537" t="e">
        <f>100*(1-E537/AL537)</f>
        <v>#DIV/0!</v>
      </c>
    </row>
    <row r="538" spans="1:40" x14ac:dyDescent="0.3">
      <c r="A538" t="s">
        <v>59</v>
      </c>
      <c r="B538" t="s">
        <v>6207</v>
      </c>
      <c r="C538" t="s">
        <v>6207</v>
      </c>
      <c r="D538" s="4">
        <v>45994</v>
      </c>
      <c r="E538">
        <v>83500</v>
      </c>
      <c r="F538" t="s">
        <v>6208</v>
      </c>
      <c r="G538" t="s">
        <v>5574</v>
      </c>
      <c r="H538" t="s">
        <v>62</v>
      </c>
      <c r="I538" t="s">
        <v>73</v>
      </c>
      <c r="J538" t="s">
        <v>63</v>
      </c>
      <c r="K538" t="s">
        <v>6209</v>
      </c>
      <c r="L538" t="s">
        <v>44</v>
      </c>
      <c r="M538" t="s">
        <v>6210</v>
      </c>
      <c r="N538">
        <v>57010</v>
      </c>
      <c r="O538" t="s">
        <v>45</v>
      </c>
      <c r="P538" t="s">
        <v>288</v>
      </c>
      <c r="Q538" t="s">
        <v>55</v>
      </c>
      <c r="R538">
        <v>2006</v>
      </c>
      <c r="S538">
        <v>114.11</v>
      </c>
      <c r="T538">
        <v>0</v>
      </c>
      <c r="U538">
        <v>0</v>
      </c>
      <c r="V538" t="s">
        <v>6211</v>
      </c>
      <c r="W538">
        <v>145964322</v>
      </c>
      <c r="X538" t="s">
        <v>86</v>
      </c>
      <c r="Y538" t="s">
        <v>6212</v>
      </c>
      <c r="Z538" t="b">
        <v>0</v>
      </c>
      <c r="AA538">
        <v>731.75006572605378</v>
      </c>
      <c r="AN538" t="e">
        <f>100*(1-E538/AL538)</f>
        <v>#DIV/0!</v>
      </c>
    </row>
    <row r="539" spans="1:40" x14ac:dyDescent="0.3">
      <c r="A539" t="s">
        <v>150</v>
      </c>
      <c r="B539" t="s">
        <v>6331</v>
      </c>
      <c r="C539" t="s">
        <v>6331</v>
      </c>
      <c r="D539" s="4">
        <v>45994</v>
      </c>
      <c r="E539">
        <v>93000</v>
      </c>
      <c r="F539" t="s">
        <v>6332</v>
      </c>
      <c r="G539" t="s">
        <v>238</v>
      </c>
      <c r="H539" t="s">
        <v>62</v>
      </c>
      <c r="I539" t="s">
        <v>238</v>
      </c>
      <c r="J539" t="s">
        <v>238</v>
      </c>
      <c r="K539" t="s">
        <v>6333</v>
      </c>
      <c r="L539" t="s">
        <v>44</v>
      </c>
      <c r="M539" t="s">
        <v>6334</v>
      </c>
      <c r="N539">
        <v>61100</v>
      </c>
      <c r="O539" t="s">
        <v>45</v>
      </c>
      <c r="P539" t="s">
        <v>54</v>
      </c>
      <c r="Q539" t="s">
        <v>55</v>
      </c>
      <c r="R539">
        <v>2007</v>
      </c>
      <c r="S539">
        <v>93.16</v>
      </c>
      <c r="T539">
        <v>0</v>
      </c>
      <c r="U539">
        <v>0</v>
      </c>
      <c r="V539" t="s">
        <v>6335</v>
      </c>
      <c r="W539" t="s">
        <v>6336</v>
      </c>
      <c r="X539" t="s">
        <v>86</v>
      </c>
      <c r="Y539" t="s">
        <v>6337</v>
      </c>
      <c r="Z539" t="b">
        <v>0</v>
      </c>
      <c r="AA539">
        <v>998.28252468870767</v>
      </c>
      <c r="AN539" t="e">
        <f>100*(1-E539/AL539)</f>
        <v>#DIV/0!</v>
      </c>
    </row>
    <row r="540" spans="1:40" x14ac:dyDescent="0.3">
      <c r="A540" t="s">
        <v>139</v>
      </c>
      <c r="B540" t="s">
        <v>6338</v>
      </c>
      <c r="C540" t="s">
        <v>6338</v>
      </c>
      <c r="D540" s="4">
        <v>45994</v>
      </c>
      <c r="E540">
        <v>97200</v>
      </c>
      <c r="F540" t="s">
        <v>6339</v>
      </c>
      <c r="G540" t="s">
        <v>1239</v>
      </c>
      <c r="H540" t="s">
        <v>67</v>
      </c>
      <c r="I540" t="s">
        <v>295</v>
      </c>
      <c r="J540" t="s">
        <v>67</v>
      </c>
      <c r="K540" t="s">
        <v>6340</v>
      </c>
      <c r="L540" t="s">
        <v>44</v>
      </c>
      <c r="M540" t="s">
        <v>6341</v>
      </c>
      <c r="N540">
        <v>19015</v>
      </c>
      <c r="O540" t="s">
        <v>45</v>
      </c>
      <c r="P540" t="s">
        <v>288</v>
      </c>
      <c r="Q540" t="s">
        <v>52</v>
      </c>
      <c r="R540">
        <v>2007</v>
      </c>
      <c r="S540">
        <v>98.82</v>
      </c>
      <c r="T540">
        <v>0</v>
      </c>
      <c r="U540">
        <v>0</v>
      </c>
      <c r="V540" t="s">
        <v>6342</v>
      </c>
      <c r="W540">
        <v>78803750</v>
      </c>
      <c r="X540" t="s">
        <v>86</v>
      </c>
      <c r="Y540" t="s">
        <v>6343</v>
      </c>
      <c r="Z540" t="b">
        <v>0</v>
      </c>
      <c r="AA540">
        <v>983.60655737704928</v>
      </c>
      <c r="AN540" t="e">
        <f>100*(1-E540/AL540)</f>
        <v>#DIV/0!</v>
      </c>
    </row>
    <row r="541" spans="1:40" x14ac:dyDescent="0.3">
      <c r="A541" t="s">
        <v>139</v>
      </c>
      <c r="B541" t="s">
        <v>6344</v>
      </c>
      <c r="C541" t="s">
        <v>6344</v>
      </c>
      <c r="D541" s="4">
        <v>45994</v>
      </c>
      <c r="E541">
        <v>83671</v>
      </c>
      <c r="F541" t="s">
        <v>6345</v>
      </c>
      <c r="G541" t="s">
        <v>425</v>
      </c>
      <c r="H541" t="s">
        <v>230</v>
      </c>
      <c r="I541" t="s">
        <v>426</v>
      </c>
      <c r="J541" t="s">
        <v>426</v>
      </c>
      <c r="K541" t="s">
        <v>6346</v>
      </c>
      <c r="L541" t="s">
        <v>44</v>
      </c>
      <c r="M541" t="s">
        <v>6347</v>
      </c>
      <c r="N541">
        <v>67100</v>
      </c>
      <c r="O541" t="s">
        <v>45</v>
      </c>
      <c r="P541" t="s">
        <v>54</v>
      </c>
      <c r="Q541" t="s">
        <v>100</v>
      </c>
      <c r="R541">
        <v>2007</v>
      </c>
      <c r="S541">
        <v>47.84</v>
      </c>
      <c r="T541">
        <v>0</v>
      </c>
      <c r="U541">
        <v>0</v>
      </c>
      <c r="V541" t="s">
        <v>6348</v>
      </c>
      <c r="W541">
        <v>47922901</v>
      </c>
      <c r="X541" t="s">
        <v>49</v>
      </c>
      <c r="Y541" t="s">
        <v>6349</v>
      </c>
      <c r="Z541" t="b">
        <v>0</v>
      </c>
      <c r="AA541">
        <v>1748.975752508361</v>
      </c>
      <c r="AN541" t="e">
        <f>100*(1-E541/AL541)</f>
        <v>#DIV/0!</v>
      </c>
    </row>
    <row r="542" spans="1:40" x14ac:dyDescent="0.3">
      <c r="A542" t="s">
        <v>166</v>
      </c>
      <c r="B542" t="s">
        <v>6350</v>
      </c>
      <c r="C542" t="s">
        <v>6351</v>
      </c>
      <c r="D542" s="4">
        <v>45994</v>
      </c>
      <c r="E542">
        <v>51500</v>
      </c>
      <c r="F542" t="s">
        <v>6352</v>
      </c>
      <c r="G542" t="s">
        <v>6353</v>
      </c>
      <c r="H542" t="s">
        <v>136</v>
      </c>
      <c r="I542" t="s">
        <v>148</v>
      </c>
      <c r="J542" t="s">
        <v>149</v>
      </c>
      <c r="K542" t="s">
        <v>6354</v>
      </c>
      <c r="L542" t="s">
        <v>44</v>
      </c>
      <c r="M542" t="s">
        <v>6355</v>
      </c>
      <c r="N542">
        <v>41500</v>
      </c>
      <c r="O542" t="s">
        <v>50</v>
      </c>
      <c r="P542" t="s">
        <v>51</v>
      </c>
      <c r="Q542" t="s">
        <v>52</v>
      </c>
      <c r="R542">
        <v>2007</v>
      </c>
      <c r="S542">
        <v>82.99</v>
      </c>
      <c r="T542">
        <v>0</v>
      </c>
      <c r="U542">
        <v>0</v>
      </c>
      <c r="V542" t="s">
        <v>6356</v>
      </c>
      <c r="W542" t="s">
        <v>6357</v>
      </c>
      <c r="X542" t="s">
        <v>49</v>
      </c>
      <c r="Y542" t="s">
        <v>6358</v>
      </c>
      <c r="Z542" t="b">
        <v>0</v>
      </c>
      <c r="AA542">
        <v>620.55669357753948</v>
      </c>
      <c r="AN542" t="e">
        <f>100*(1-E542/AL542)</f>
        <v>#DIV/0!</v>
      </c>
    </row>
    <row r="543" spans="1:40" x14ac:dyDescent="0.3">
      <c r="A543" t="s">
        <v>166</v>
      </c>
      <c r="B543" t="s">
        <v>6359</v>
      </c>
      <c r="C543" t="s">
        <v>6351</v>
      </c>
      <c r="D543" s="4">
        <v>45994</v>
      </c>
      <c r="E543">
        <v>10500</v>
      </c>
      <c r="F543" t="s">
        <v>6360</v>
      </c>
      <c r="G543" t="s">
        <v>6353</v>
      </c>
      <c r="H543" t="s">
        <v>136</v>
      </c>
      <c r="I543" t="s">
        <v>148</v>
      </c>
      <c r="J543" t="s">
        <v>149</v>
      </c>
      <c r="K543" t="s">
        <v>6354</v>
      </c>
      <c r="L543" t="s">
        <v>44</v>
      </c>
      <c r="M543" t="s">
        <v>6355</v>
      </c>
      <c r="N543">
        <v>41500</v>
      </c>
      <c r="O543" t="s">
        <v>50</v>
      </c>
      <c r="P543" t="s">
        <v>46</v>
      </c>
      <c r="Q543">
        <v>0</v>
      </c>
      <c r="R543">
        <v>2007</v>
      </c>
      <c r="S543">
        <v>85.97</v>
      </c>
      <c r="T543">
        <v>0</v>
      </c>
      <c r="U543">
        <v>0</v>
      </c>
      <c r="V543" t="s">
        <v>6356</v>
      </c>
      <c r="W543" t="s">
        <v>6357</v>
      </c>
      <c r="X543" t="s">
        <v>49</v>
      </c>
      <c r="Y543" t="s">
        <v>6361</v>
      </c>
      <c r="Z543" t="b">
        <v>0</v>
      </c>
      <c r="AA543">
        <v>122.1356287076887</v>
      </c>
      <c r="AN543" t="e">
        <f>100*(1-E543/AL543)</f>
        <v>#DIV/0!</v>
      </c>
    </row>
    <row r="544" spans="1:40" x14ac:dyDescent="0.3">
      <c r="A544" t="s">
        <v>166</v>
      </c>
      <c r="B544" t="s">
        <v>6362</v>
      </c>
      <c r="C544" t="s">
        <v>6362</v>
      </c>
      <c r="D544" s="4">
        <v>45994</v>
      </c>
      <c r="E544">
        <v>302500</v>
      </c>
      <c r="F544" t="s">
        <v>6363</v>
      </c>
      <c r="G544" t="s">
        <v>6364</v>
      </c>
      <c r="H544" t="s">
        <v>62</v>
      </c>
      <c r="I544" t="s">
        <v>477</v>
      </c>
      <c r="J544" t="s">
        <v>63</v>
      </c>
      <c r="K544" t="s">
        <v>6365</v>
      </c>
      <c r="L544" t="s">
        <v>44</v>
      </c>
      <c r="M544" t="s">
        <v>6364</v>
      </c>
      <c r="N544">
        <v>57500</v>
      </c>
      <c r="O544" t="s">
        <v>45</v>
      </c>
      <c r="P544" t="s">
        <v>81</v>
      </c>
      <c r="Q544" t="s">
        <v>55</v>
      </c>
      <c r="R544">
        <v>2007</v>
      </c>
      <c r="S544">
        <v>245.22</v>
      </c>
      <c r="T544">
        <v>0</v>
      </c>
      <c r="U544">
        <v>0</v>
      </c>
      <c r="V544" t="s">
        <v>6366</v>
      </c>
      <c r="W544">
        <v>35696902</v>
      </c>
      <c r="X544" t="s">
        <v>49</v>
      </c>
      <c r="Y544" t="s">
        <v>6367</v>
      </c>
      <c r="Z544" t="b">
        <v>0</v>
      </c>
      <c r="AA544">
        <v>1233.586167523041</v>
      </c>
      <c r="AN544" t="e">
        <f>100*(1-E544/AL544)</f>
        <v>#DIV/0!</v>
      </c>
    </row>
    <row r="545" spans="1:40" x14ac:dyDescent="0.3">
      <c r="A545" t="s">
        <v>59</v>
      </c>
      <c r="B545" t="s">
        <v>6368</v>
      </c>
      <c r="C545" t="s">
        <v>6368</v>
      </c>
      <c r="D545" s="4">
        <v>45994</v>
      </c>
      <c r="E545">
        <v>40300</v>
      </c>
      <c r="F545" t="s">
        <v>6369</v>
      </c>
      <c r="G545" t="s">
        <v>6370</v>
      </c>
      <c r="H545" t="s">
        <v>62</v>
      </c>
      <c r="I545" t="s">
        <v>348</v>
      </c>
      <c r="J545" t="s">
        <v>238</v>
      </c>
      <c r="K545" t="s">
        <v>6371</v>
      </c>
      <c r="L545" t="s">
        <v>44</v>
      </c>
      <c r="M545" t="s">
        <v>6372</v>
      </c>
      <c r="N545">
        <v>61200</v>
      </c>
      <c r="O545" t="s">
        <v>50</v>
      </c>
      <c r="P545" t="s">
        <v>51</v>
      </c>
      <c r="Q545" t="s">
        <v>52</v>
      </c>
      <c r="R545">
        <v>2007</v>
      </c>
      <c r="S545">
        <v>70.56</v>
      </c>
      <c r="T545">
        <v>0</v>
      </c>
      <c r="U545">
        <v>0</v>
      </c>
      <c r="V545" t="s">
        <v>6373</v>
      </c>
      <c r="W545" t="s">
        <v>6374</v>
      </c>
      <c r="X545" t="s">
        <v>49</v>
      </c>
      <c r="Y545" t="s">
        <v>6375</v>
      </c>
      <c r="Z545" t="b">
        <v>0</v>
      </c>
      <c r="AA545">
        <v>571.14512471655325</v>
      </c>
      <c r="AN545" t="e">
        <f>100*(1-E545/AL545)</f>
        <v>#DIV/0!</v>
      </c>
    </row>
    <row r="546" spans="1:40" x14ac:dyDescent="0.3">
      <c r="A546" t="s">
        <v>183</v>
      </c>
      <c r="B546" t="s">
        <v>6461</v>
      </c>
      <c r="C546" t="s">
        <v>6461</v>
      </c>
      <c r="D546" s="4">
        <v>45994</v>
      </c>
      <c r="E546">
        <v>451000</v>
      </c>
      <c r="F546" t="s">
        <v>6462</v>
      </c>
      <c r="G546" t="s">
        <v>1301</v>
      </c>
      <c r="H546" t="s">
        <v>67</v>
      </c>
      <c r="I546" t="s">
        <v>1302</v>
      </c>
      <c r="J546" t="s">
        <v>67</v>
      </c>
      <c r="K546" t="s">
        <v>6463</v>
      </c>
      <c r="L546" t="s">
        <v>44</v>
      </c>
      <c r="M546" t="s">
        <v>6464</v>
      </c>
      <c r="N546">
        <v>11146</v>
      </c>
      <c r="O546" t="s">
        <v>45</v>
      </c>
      <c r="P546" t="s">
        <v>288</v>
      </c>
      <c r="Q546" t="s">
        <v>100</v>
      </c>
      <c r="R546">
        <v>2008</v>
      </c>
      <c r="S546">
        <v>245.18</v>
      </c>
      <c r="T546">
        <v>0</v>
      </c>
      <c r="U546">
        <v>0</v>
      </c>
      <c r="V546" t="s">
        <v>6465</v>
      </c>
      <c r="W546" t="s">
        <v>6466</v>
      </c>
      <c r="X546" t="s">
        <v>86</v>
      </c>
      <c r="Y546" t="s">
        <v>6467</v>
      </c>
      <c r="Z546" t="b">
        <v>0</v>
      </c>
      <c r="AA546">
        <v>1839.4648829431439</v>
      </c>
      <c r="AN546" t="e">
        <f>100*(1-E546/AL546)</f>
        <v>#DIV/0!</v>
      </c>
    </row>
    <row r="547" spans="1:40" x14ac:dyDescent="0.3">
      <c r="A547" t="s">
        <v>183</v>
      </c>
      <c r="B547" t="s">
        <v>6468</v>
      </c>
      <c r="C547" t="s">
        <v>6468</v>
      </c>
      <c r="D547" s="4">
        <v>45994</v>
      </c>
      <c r="E547">
        <v>600475</v>
      </c>
      <c r="F547" t="s">
        <v>6469</v>
      </c>
      <c r="G547" t="s">
        <v>6470</v>
      </c>
      <c r="H547" t="s">
        <v>94</v>
      </c>
      <c r="I547" t="s">
        <v>465</v>
      </c>
      <c r="J547" t="s">
        <v>105</v>
      </c>
      <c r="K547" t="s">
        <v>6471</v>
      </c>
      <c r="L547" t="s">
        <v>44</v>
      </c>
      <c r="M547" t="s">
        <v>6472</v>
      </c>
      <c r="N547">
        <v>73008</v>
      </c>
      <c r="O547" t="s">
        <v>45</v>
      </c>
      <c r="P547" t="s">
        <v>288</v>
      </c>
      <c r="Q547" t="s">
        <v>55</v>
      </c>
      <c r="R547">
        <v>2008</v>
      </c>
      <c r="S547">
        <v>427.71</v>
      </c>
      <c r="T547">
        <v>0</v>
      </c>
      <c r="U547">
        <v>0</v>
      </c>
      <c r="V547" t="s">
        <v>6473</v>
      </c>
      <c r="W547" t="s">
        <v>6474</v>
      </c>
      <c r="X547" t="s">
        <v>49</v>
      </c>
      <c r="Y547">
        <v>0</v>
      </c>
      <c r="Z547" t="b">
        <v>0</v>
      </c>
      <c r="AA547">
        <v>1403.930233101868</v>
      </c>
      <c r="AN547" t="e">
        <f>100*(1-E547/AL547)</f>
        <v>#DIV/0!</v>
      </c>
    </row>
    <row r="548" spans="1:40" x14ac:dyDescent="0.3">
      <c r="A548" t="s">
        <v>59</v>
      </c>
      <c r="B548" t="s">
        <v>6475</v>
      </c>
      <c r="C548" t="s">
        <v>1408</v>
      </c>
      <c r="D548" s="4">
        <v>45994</v>
      </c>
      <c r="E548">
        <v>106000</v>
      </c>
      <c r="F548" t="s">
        <v>6476</v>
      </c>
      <c r="G548" t="s">
        <v>1410</v>
      </c>
      <c r="H548" t="s">
        <v>230</v>
      </c>
      <c r="I548" t="s">
        <v>475</v>
      </c>
      <c r="J548" t="s">
        <v>464</v>
      </c>
      <c r="K548" t="s">
        <v>6477</v>
      </c>
      <c r="L548" t="s">
        <v>44</v>
      </c>
      <c r="M548" t="s">
        <v>1410</v>
      </c>
      <c r="N548">
        <v>68001</v>
      </c>
      <c r="O548" t="s">
        <v>50</v>
      </c>
      <c r="P548" t="s">
        <v>289</v>
      </c>
      <c r="Q548" t="s">
        <v>52</v>
      </c>
      <c r="R548">
        <v>2008</v>
      </c>
      <c r="S548">
        <v>692.5</v>
      </c>
      <c r="T548">
        <v>0</v>
      </c>
      <c r="U548">
        <v>0</v>
      </c>
      <c r="V548" t="s">
        <v>4367</v>
      </c>
      <c r="W548">
        <v>117293487</v>
      </c>
      <c r="X548" t="s">
        <v>49</v>
      </c>
      <c r="Y548" t="s">
        <v>6478</v>
      </c>
      <c r="Z548" t="b">
        <v>0</v>
      </c>
      <c r="AA548">
        <v>153.06859205776169</v>
      </c>
      <c r="AN548" t="e">
        <f>100*(1-E548/AL548)</f>
        <v>#DIV/0!</v>
      </c>
    </row>
    <row r="549" spans="1:40" x14ac:dyDescent="0.3">
      <c r="A549" t="s">
        <v>59</v>
      </c>
      <c r="B549" t="s">
        <v>6479</v>
      </c>
      <c r="C549" t="s">
        <v>6479</v>
      </c>
      <c r="D549" s="4">
        <v>45994</v>
      </c>
      <c r="E549">
        <v>352000</v>
      </c>
      <c r="F549" t="s">
        <v>6480</v>
      </c>
      <c r="G549" t="s">
        <v>5048</v>
      </c>
      <c r="H549" t="s">
        <v>111</v>
      </c>
      <c r="I549" t="s">
        <v>5049</v>
      </c>
      <c r="J549" t="s">
        <v>175</v>
      </c>
      <c r="K549" t="s">
        <v>6481</v>
      </c>
      <c r="L549" t="s">
        <v>44</v>
      </c>
      <c r="M549" t="s">
        <v>6482</v>
      </c>
      <c r="N549">
        <v>34007</v>
      </c>
      <c r="O549" t="s">
        <v>45</v>
      </c>
      <c r="P549" t="s">
        <v>182</v>
      </c>
      <c r="Q549" t="s">
        <v>55</v>
      </c>
      <c r="R549">
        <v>2008</v>
      </c>
      <c r="S549">
        <v>249.9</v>
      </c>
      <c r="T549">
        <v>0</v>
      </c>
      <c r="U549">
        <v>0</v>
      </c>
      <c r="V549" t="s">
        <v>6483</v>
      </c>
      <c r="W549">
        <v>64371506</v>
      </c>
      <c r="X549" t="s">
        <v>49</v>
      </c>
      <c r="Y549" t="s">
        <v>6484</v>
      </c>
      <c r="Z549" t="b">
        <v>0</v>
      </c>
      <c r="AA549">
        <v>1408.563425370148</v>
      </c>
      <c r="AN549" t="e">
        <f>100*(1-E549/AL549)</f>
        <v>#DIV/0!</v>
      </c>
    </row>
    <row r="550" spans="1:40" x14ac:dyDescent="0.3">
      <c r="A550" t="s">
        <v>215</v>
      </c>
      <c r="B550" t="s">
        <v>1581</v>
      </c>
      <c r="C550" t="s">
        <v>1581</v>
      </c>
      <c r="D550" s="4">
        <v>45995</v>
      </c>
      <c r="E550">
        <v>40000</v>
      </c>
      <c r="F550" t="s">
        <v>1582</v>
      </c>
      <c r="G550" t="s">
        <v>263</v>
      </c>
      <c r="H550" t="s">
        <v>67</v>
      </c>
      <c r="I550" t="s">
        <v>264</v>
      </c>
      <c r="J550" t="s">
        <v>67</v>
      </c>
      <c r="K550" t="s">
        <v>1583</v>
      </c>
      <c r="L550" t="s">
        <v>44</v>
      </c>
      <c r="M550" t="s">
        <v>1584</v>
      </c>
      <c r="N550">
        <v>15125</v>
      </c>
      <c r="O550" t="s">
        <v>50</v>
      </c>
      <c r="P550" t="s">
        <v>51</v>
      </c>
      <c r="Q550" t="s">
        <v>52</v>
      </c>
      <c r="R550">
        <v>0</v>
      </c>
      <c r="S550">
        <v>13</v>
      </c>
      <c r="T550">
        <v>0</v>
      </c>
      <c r="U550">
        <v>0</v>
      </c>
      <c r="V550" t="s">
        <v>1585</v>
      </c>
      <c r="W550">
        <v>44787011</v>
      </c>
      <c r="X550" t="s">
        <v>86</v>
      </c>
      <c r="Y550" t="s">
        <v>1586</v>
      </c>
      <c r="Z550" t="b">
        <v>0</v>
      </c>
      <c r="AA550">
        <v>3076.9230769230771</v>
      </c>
      <c r="AN550" t="e">
        <f>100*(1-E550/AL550)</f>
        <v>#DIV/0!</v>
      </c>
    </row>
    <row r="551" spans="1:40" x14ac:dyDescent="0.3">
      <c r="A551" t="s">
        <v>71</v>
      </c>
      <c r="B551" t="s">
        <v>1587</v>
      </c>
      <c r="C551" t="s">
        <v>1587</v>
      </c>
      <c r="D551" s="4">
        <v>45995</v>
      </c>
      <c r="E551">
        <v>18000</v>
      </c>
      <c r="F551" t="s">
        <v>1588</v>
      </c>
      <c r="G551" t="s">
        <v>844</v>
      </c>
      <c r="H551" t="s">
        <v>152</v>
      </c>
      <c r="I551" t="s">
        <v>845</v>
      </c>
      <c r="J551" t="s">
        <v>154</v>
      </c>
      <c r="K551" t="s">
        <v>1589</v>
      </c>
      <c r="L551" t="s">
        <v>44</v>
      </c>
      <c r="M551" t="s">
        <v>1590</v>
      </c>
      <c r="N551">
        <v>24200</v>
      </c>
      <c r="O551" t="s">
        <v>97</v>
      </c>
      <c r="P551" t="s">
        <v>118</v>
      </c>
      <c r="Q551">
        <v>0</v>
      </c>
      <c r="R551">
        <v>0</v>
      </c>
      <c r="S551">
        <v>6000</v>
      </c>
      <c r="T551">
        <v>0</v>
      </c>
      <c r="U551">
        <v>0</v>
      </c>
      <c r="V551" t="s">
        <v>1591</v>
      </c>
      <c r="W551">
        <v>39407301</v>
      </c>
      <c r="X551" t="s">
        <v>49</v>
      </c>
      <c r="Y551" t="s">
        <v>1592</v>
      </c>
      <c r="Z551" t="b">
        <v>0</v>
      </c>
      <c r="AA551">
        <v>3</v>
      </c>
      <c r="AN551" t="e">
        <f>100*(1-E551/AL551)</f>
        <v>#DIV/0!</v>
      </c>
    </row>
    <row r="552" spans="1:40" x14ac:dyDescent="0.3">
      <c r="A552" t="s">
        <v>166</v>
      </c>
      <c r="B552" t="s">
        <v>3611</v>
      </c>
      <c r="C552" t="s">
        <v>3611</v>
      </c>
      <c r="D552" s="4">
        <v>45995</v>
      </c>
      <c r="E552">
        <v>107000</v>
      </c>
      <c r="F552" t="s">
        <v>461</v>
      </c>
      <c r="G552" t="s">
        <v>115</v>
      </c>
      <c r="H552" t="s">
        <v>67</v>
      </c>
      <c r="I552" t="s">
        <v>116</v>
      </c>
      <c r="J552" t="s">
        <v>67</v>
      </c>
      <c r="K552" t="s">
        <v>3612</v>
      </c>
      <c r="L552" t="s">
        <v>44</v>
      </c>
      <c r="M552" t="s">
        <v>3613</v>
      </c>
      <c r="N552">
        <v>11252</v>
      </c>
      <c r="O552" t="s">
        <v>45</v>
      </c>
      <c r="P552" t="s">
        <v>54</v>
      </c>
      <c r="Q552" t="s">
        <v>100</v>
      </c>
      <c r="R552">
        <v>1965</v>
      </c>
      <c r="S552">
        <v>94.62</v>
      </c>
      <c r="T552">
        <v>0</v>
      </c>
      <c r="U552">
        <v>0</v>
      </c>
      <c r="V552" t="s">
        <v>3614</v>
      </c>
      <c r="W552">
        <v>67932983</v>
      </c>
      <c r="X552" t="s">
        <v>49</v>
      </c>
      <c r="Y552" t="s">
        <v>3615</v>
      </c>
      <c r="Z552" t="b">
        <v>0</v>
      </c>
      <c r="AA552">
        <v>1130.839146057916</v>
      </c>
      <c r="AN552" t="e">
        <f>100*(1-E552/AL552)</f>
        <v>#DIV/0!</v>
      </c>
    </row>
    <row r="553" spans="1:40" x14ac:dyDescent="0.3">
      <c r="A553" t="s">
        <v>120</v>
      </c>
      <c r="B553" t="s">
        <v>3970</v>
      </c>
      <c r="C553" t="s">
        <v>3970</v>
      </c>
      <c r="D553" s="4">
        <v>45995</v>
      </c>
      <c r="E553">
        <v>23000</v>
      </c>
      <c r="F553" t="s">
        <v>3971</v>
      </c>
      <c r="G553" t="s">
        <v>115</v>
      </c>
      <c r="H553" t="s">
        <v>67</v>
      </c>
      <c r="I553" t="s">
        <v>116</v>
      </c>
      <c r="J553" t="s">
        <v>67</v>
      </c>
      <c r="K553" t="s">
        <v>3972</v>
      </c>
      <c r="L553" t="s">
        <v>44</v>
      </c>
      <c r="M553" t="s">
        <v>3973</v>
      </c>
      <c r="N553">
        <v>10678</v>
      </c>
      <c r="O553" t="s">
        <v>50</v>
      </c>
      <c r="P553" t="s">
        <v>176</v>
      </c>
      <c r="Q553" t="s">
        <v>55</v>
      </c>
      <c r="R553">
        <v>1973</v>
      </c>
      <c r="S553">
        <v>24</v>
      </c>
      <c r="T553">
        <v>0</v>
      </c>
      <c r="U553">
        <v>0</v>
      </c>
      <c r="V553" t="s">
        <v>3974</v>
      </c>
      <c r="W553">
        <v>94320185</v>
      </c>
      <c r="X553" t="s">
        <v>49</v>
      </c>
      <c r="Y553" t="s">
        <v>3975</v>
      </c>
      <c r="Z553" t="b">
        <v>0</v>
      </c>
      <c r="AA553">
        <v>958.33333333333337</v>
      </c>
      <c r="AN553" t="e">
        <f>100*(1-E553/AL553)</f>
        <v>#DIV/0!</v>
      </c>
    </row>
    <row r="554" spans="1:40" x14ac:dyDescent="0.3">
      <c r="A554" t="s">
        <v>139</v>
      </c>
      <c r="B554" t="s">
        <v>3705</v>
      </c>
      <c r="C554" t="s">
        <v>3705</v>
      </c>
      <c r="D554" s="4">
        <v>45996</v>
      </c>
      <c r="E554">
        <v>67000</v>
      </c>
      <c r="F554" t="s">
        <v>290</v>
      </c>
      <c r="G554" t="s">
        <v>384</v>
      </c>
      <c r="H554" t="s">
        <v>67</v>
      </c>
      <c r="I554" t="s">
        <v>384</v>
      </c>
      <c r="J554" t="s">
        <v>67</v>
      </c>
      <c r="K554" t="s">
        <v>3706</v>
      </c>
      <c r="L554" t="s">
        <v>44</v>
      </c>
      <c r="M554" t="s">
        <v>3707</v>
      </c>
      <c r="N554">
        <v>12243</v>
      </c>
      <c r="O554" t="s">
        <v>45</v>
      </c>
      <c r="P554" t="s">
        <v>54</v>
      </c>
      <c r="Q554" t="s">
        <v>55</v>
      </c>
      <c r="R554">
        <v>1968</v>
      </c>
      <c r="S554">
        <v>60</v>
      </c>
      <c r="T554">
        <v>0</v>
      </c>
      <c r="U554">
        <v>0</v>
      </c>
      <c r="V554" t="s">
        <v>3708</v>
      </c>
      <c r="W554">
        <v>44433896</v>
      </c>
      <c r="X554" t="s">
        <v>86</v>
      </c>
      <c r="Y554" t="s">
        <v>3709</v>
      </c>
      <c r="Z554" t="b">
        <v>0</v>
      </c>
      <c r="AA554">
        <v>1116.666666666667</v>
      </c>
      <c r="AN554" t="e">
        <f>100*(1-E554/AL554)</f>
        <v>#DIV/0!</v>
      </c>
    </row>
    <row r="555" spans="1:40" x14ac:dyDescent="0.3">
      <c r="A555" t="s">
        <v>139</v>
      </c>
      <c r="B555" t="s">
        <v>1593</v>
      </c>
      <c r="C555" t="s">
        <v>1594</v>
      </c>
      <c r="D555" s="4">
        <v>46001</v>
      </c>
      <c r="E555">
        <v>3500</v>
      </c>
      <c r="F555" t="s">
        <v>365</v>
      </c>
      <c r="G555" t="s">
        <v>1595</v>
      </c>
      <c r="H555" t="s">
        <v>67</v>
      </c>
      <c r="I555" t="s">
        <v>275</v>
      </c>
      <c r="J555" t="s">
        <v>67</v>
      </c>
      <c r="K555" t="s">
        <v>1596</v>
      </c>
      <c r="L555" t="s">
        <v>44</v>
      </c>
      <c r="M555" t="s">
        <v>1597</v>
      </c>
      <c r="N555">
        <v>13345</v>
      </c>
      <c r="O555" t="s">
        <v>76</v>
      </c>
      <c r="P555" t="s">
        <v>133</v>
      </c>
      <c r="Q555">
        <v>0</v>
      </c>
      <c r="R555">
        <v>0</v>
      </c>
      <c r="S555">
        <v>10.130000000000001</v>
      </c>
      <c r="T555">
        <v>0</v>
      </c>
      <c r="U555">
        <v>0</v>
      </c>
      <c r="V555" t="s">
        <v>1598</v>
      </c>
      <c r="W555">
        <v>112897583</v>
      </c>
      <c r="X555" t="s">
        <v>49</v>
      </c>
      <c r="Y555" t="s">
        <v>1599</v>
      </c>
      <c r="Z555" t="b">
        <v>0</v>
      </c>
      <c r="AA555">
        <v>345.50839091806512</v>
      </c>
      <c r="AN555" t="e">
        <f>100*(1-E555/AL555)</f>
        <v>#DIV/0!</v>
      </c>
    </row>
    <row r="556" spans="1:40" x14ac:dyDescent="0.3">
      <c r="A556" t="s">
        <v>166</v>
      </c>
      <c r="B556" t="s">
        <v>1600</v>
      </c>
      <c r="C556" t="s">
        <v>1600</v>
      </c>
      <c r="D556" s="4">
        <v>46001</v>
      </c>
      <c r="E556">
        <v>62000</v>
      </c>
      <c r="F556" t="s">
        <v>1601</v>
      </c>
      <c r="G556" t="s">
        <v>320</v>
      </c>
      <c r="H556" t="s">
        <v>156</v>
      </c>
      <c r="I556" t="s">
        <v>321</v>
      </c>
      <c r="J556" t="s">
        <v>322</v>
      </c>
      <c r="K556" t="s">
        <v>1602</v>
      </c>
      <c r="L556" t="s">
        <v>44</v>
      </c>
      <c r="M556" t="s">
        <v>1603</v>
      </c>
      <c r="N556">
        <v>28100</v>
      </c>
      <c r="O556" t="s">
        <v>50</v>
      </c>
      <c r="P556" t="s">
        <v>51</v>
      </c>
      <c r="Q556" t="s">
        <v>52</v>
      </c>
      <c r="R556">
        <v>0</v>
      </c>
      <c r="S556">
        <v>38.299999999999997</v>
      </c>
      <c r="T556">
        <v>0</v>
      </c>
      <c r="U556">
        <v>0</v>
      </c>
      <c r="V556" t="s">
        <v>1604</v>
      </c>
      <c r="W556">
        <v>55251897</v>
      </c>
      <c r="X556" t="s">
        <v>49</v>
      </c>
      <c r="Y556" t="s">
        <v>1605</v>
      </c>
      <c r="Z556" t="b">
        <v>0</v>
      </c>
      <c r="AA556">
        <v>1618.7989556135769</v>
      </c>
      <c r="AN556" t="e">
        <f>100*(1-E556/AL556)</f>
        <v>#DIV/0!</v>
      </c>
    </row>
    <row r="557" spans="1:40" x14ac:dyDescent="0.3">
      <c r="A557" t="s">
        <v>71</v>
      </c>
      <c r="B557" t="s">
        <v>1606</v>
      </c>
      <c r="C557" t="s">
        <v>1606</v>
      </c>
      <c r="D557" s="4">
        <v>46001</v>
      </c>
      <c r="E557">
        <v>43000</v>
      </c>
      <c r="F557" t="s">
        <v>1607</v>
      </c>
      <c r="G557" t="s">
        <v>320</v>
      </c>
      <c r="H557" t="s">
        <v>156</v>
      </c>
      <c r="I557" t="s">
        <v>321</v>
      </c>
      <c r="J557" t="s">
        <v>322</v>
      </c>
      <c r="K557" t="s">
        <v>1608</v>
      </c>
      <c r="L557" t="s">
        <v>44</v>
      </c>
      <c r="M557" t="s">
        <v>1609</v>
      </c>
      <c r="N557">
        <v>28100</v>
      </c>
      <c r="O557" t="s">
        <v>97</v>
      </c>
      <c r="P557" t="s">
        <v>98</v>
      </c>
      <c r="Q557">
        <v>0</v>
      </c>
      <c r="R557">
        <v>0</v>
      </c>
      <c r="S557">
        <v>714.12</v>
      </c>
      <c r="T557">
        <v>0</v>
      </c>
      <c r="U557">
        <v>0</v>
      </c>
      <c r="V557" t="s">
        <v>1610</v>
      </c>
      <c r="W557">
        <v>56836848</v>
      </c>
      <c r="X557" t="s">
        <v>49</v>
      </c>
      <c r="Y557">
        <v>0</v>
      </c>
      <c r="Z557" t="b">
        <v>0</v>
      </c>
      <c r="AA557">
        <v>60.213969640956712</v>
      </c>
      <c r="AN557" t="e">
        <f>100*(1-E557/AL557)</f>
        <v>#DIV/0!</v>
      </c>
    </row>
    <row r="558" spans="1:40" x14ac:dyDescent="0.3">
      <c r="A558" t="s">
        <v>166</v>
      </c>
      <c r="B558" t="s">
        <v>1611</v>
      </c>
      <c r="C558" t="s">
        <v>1611</v>
      </c>
      <c r="D558" s="4">
        <v>46001</v>
      </c>
      <c r="E558">
        <v>75150</v>
      </c>
      <c r="F558" t="s">
        <v>461</v>
      </c>
      <c r="G558" t="s">
        <v>284</v>
      </c>
      <c r="H558" t="s">
        <v>67</v>
      </c>
      <c r="I558" t="s">
        <v>285</v>
      </c>
      <c r="J558" t="s">
        <v>67</v>
      </c>
      <c r="K558" t="s">
        <v>1612</v>
      </c>
      <c r="L558" t="s">
        <v>44</v>
      </c>
      <c r="M558" t="s">
        <v>1613</v>
      </c>
      <c r="N558">
        <v>19400</v>
      </c>
      <c r="O558" t="s">
        <v>45</v>
      </c>
      <c r="P558" t="s">
        <v>54</v>
      </c>
      <c r="Q558" t="s">
        <v>55</v>
      </c>
      <c r="R558">
        <v>0</v>
      </c>
      <c r="S558">
        <v>94.8</v>
      </c>
      <c r="T558">
        <v>0</v>
      </c>
      <c r="U558">
        <v>0</v>
      </c>
      <c r="V558" t="s">
        <v>1614</v>
      </c>
      <c r="W558">
        <v>47592108</v>
      </c>
      <c r="X558" t="s">
        <v>49</v>
      </c>
      <c r="Y558" t="s">
        <v>1615</v>
      </c>
      <c r="Z558" t="b">
        <v>0</v>
      </c>
      <c r="AA558">
        <v>792.72151898734182</v>
      </c>
      <c r="AN558" t="e">
        <f>100*(1-E558/AL558)</f>
        <v>#DIV/0!</v>
      </c>
    </row>
    <row r="559" spans="1:40" x14ac:dyDescent="0.3">
      <c r="A559" t="s">
        <v>166</v>
      </c>
      <c r="B559" t="s">
        <v>1616</v>
      </c>
      <c r="C559" t="s">
        <v>1616</v>
      </c>
      <c r="D559" s="4">
        <v>46001</v>
      </c>
      <c r="E559">
        <v>5000</v>
      </c>
      <c r="F559" t="s">
        <v>1617</v>
      </c>
      <c r="G559" t="s">
        <v>210</v>
      </c>
      <c r="H559" t="s">
        <v>67</v>
      </c>
      <c r="I559" t="s">
        <v>211</v>
      </c>
      <c r="J559" t="s">
        <v>67</v>
      </c>
      <c r="K559" t="s">
        <v>1618</v>
      </c>
      <c r="L559" t="s">
        <v>44</v>
      </c>
      <c r="M559" t="s">
        <v>1619</v>
      </c>
      <c r="N559">
        <v>18863</v>
      </c>
      <c r="O559" t="s">
        <v>45</v>
      </c>
      <c r="P559" t="s">
        <v>56</v>
      </c>
      <c r="Q559">
        <v>0</v>
      </c>
      <c r="R559">
        <v>0</v>
      </c>
      <c r="S559">
        <v>0</v>
      </c>
      <c r="T559" t="s">
        <v>92</v>
      </c>
      <c r="U559">
        <v>100</v>
      </c>
      <c r="V559" t="s">
        <v>1620</v>
      </c>
      <c r="W559">
        <v>43857216</v>
      </c>
      <c r="X559" t="s">
        <v>49</v>
      </c>
      <c r="Y559" t="s">
        <v>1621</v>
      </c>
      <c r="Z559" t="b">
        <v>0</v>
      </c>
      <c r="AA559" t="s">
        <v>58</v>
      </c>
      <c r="AN559" t="e">
        <f>100*(1-E559/AL559)</f>
        <v>#DIV/0!</v>
      </c>
    </row>
    <row r="560" spans="1:40" x14ac:dyDescent="0.3">
      <c r="A560" t="s">
        <v>71</v>
      </c>
      <c r="B560" t="s">
        <v>1622</v>
      </c>
      <c r="C560" t="s">
        <v>1622</v>
      </c>
      <c r="D560" s="4">
        <v>46001</v>
      </c>
      <c r="E560">
        <v>13342</v>
      </c>
      <c r="F560" t="s">
        <v>710</v>
      </c>
      <c r="G560" t="s">
        <v>494</v>
      </c>
      <c r="H560" t="s">
        <v>62</v>
      </c>
      <c r="I560" t="s">
        <v>495</v>
      </c>
      <c r="J560" t="s">
        <v>389</v>
      </c>
      <c r="K560" t="s">
        <v>1623</v>
      </c>
      <c r="L560" t="s">
        <v>44</v>
      </c>
      <c r="M560" t="s">
        <v>1624</v>
      </c>
      <c r="N560">
        <v>63100</v>
      </c>
      <c r="O560" t="s">
        <v>97</v>
      </c>
      <c r="P560" t="s">
        <v>118</v>
      </c>
      <c r="Q560">
        <v>0</v>
      </c>
      <c r="R560">
        <v>0</v>
      </c>
      <c r="S560">
        <v>4002.8</v>
      </c>
      <c r="T560">
        <v>0</v>
      </c>
      <c r="U560">
        <v>0</v>
      </c>
      <c r="V560" t="s">
        <v>1625</v>
      </c>
      <c r="W560">
        <v>42706164</v>
      </c>
      <c r="X560" t="s">
        <v>49</v>
      </c>
      <c r="Y560">
        <v>490700209039</v>
      </c>
      <c r="Z560" t="b">
        <v>0</v>
      </c>
      <c r="AA560">
        <v>3.3331667832517242</v>
      </c>
      <c r="AN560" t="e">
        <f>100*(1-E560/AL560)</f>
        <v>#DIV/0!</v>
      </c>
    </row>
    <row r="561" spans="1:40" x14ac:dyDescent="0.3">
      <c r="A561" t="s">
        <v>59</v>
      </c>
      <c r="B561" t="s">
        <v>1626</v>
      </c>
      <c r="C561" t="s">
        <v>1626</v>
      </c>
      <c r="D561" s="4">
        <v>46001</v>
      </c>
      <c r="E561">
        <v>103000</v>
      </c>
      <c r="F561" t="s">
        <v>1627</v>
      </c>
      <c r="G561" t="s">
        <v>173</v>
      </c>
      <c r="H561" t="s">
        <v>111</v>
      </c>
      <c r="I561" t="s">
        <v>174</v>
      </c>
      <c r="J561" t="s">
        <v>175</v>
      </c>
      <c r="K561" t="s">
        <v>1628</v>
      </c>
      <c r="L561" t="s">
        <v>44</v>
      </c>
      <c r="M561" t="s">
        <v>1629</v>
      </c>
      <c r="N561">
        <v>34100</v>
      </c>
      <c r="O561" t="s">
        <v>45</v>
      </c>
      <c r="P561" t="s">
        <v>54</v>
      </c>
      <c r="Q561" t="s">
        <v>85</v>
      </c>
      <c r="R561">
        <v>0</v>
      </c>
      <c r="S561">
        <v>84.7</v>
      </c>
      <c r="T561">
        <v>0</v>
      </c>
      <c r="U561">
        <v>0</v>
      </c>
      <c r="V561" t="s">
        <v>1630</v>
      </c>
      <c r="W561">
        <v>36916396</v>
      </c>
      <c r="X561" t="s">
        <v>86</v>
      </c>
      <c r="Y561" t="s">
        <v>1631</v>
      </c>
      <c r="Z561" t="b">
        <v>0</v>
      </c>
      <c r="AA561">
        <v>1216.056670602125</v>
      </c>
      <c r="AN561" t="e">
        <f>100*(1-E561/AL561)</f>
        <v>#DIV/0!</v>
      </c>
    </row>
    <row r="562" spans="1:40" x14ac:dyDescent="0.3">
      <c r="A562" t="s">
        <v>59</v>
      </c>
      <c r="B562" t="s">
        <v>1626</v>
      </c>
      <c r="C562" t="s">
        <v>1626</v>
      </c>
      <c r="D562" s="4">
        <v>46001</v>
      </c>
      <c r="E562">
        <v>103000</v>
      </c>
      <c r="F562" t="s">
        <v>1627</v>
      </c>
      <c r="G562" t="s">
        <v>173</v>
      </c>
      <c r="H562" t="s">
        <v>111</v>
      </c>
      <c r="I562" t="s">
        <v>174</v>
      </c>
      <c r="J562" t="s">
        <v>175</v>
      </c>
      <c r="K562" t="s">
        <v>1628</v>
      </c>
      <c r="L562" t="s">
        <v>44</v>
      </c>
      <c r="M562" t="s">
        <v>1629</v>
      </c>
      <c r="N562">
        <v>34100</v>
      </c>
      <c r="O562" t="s">
        <v>45</v>
      </c>
      <c r="P562" t="s">
        <v>54</v>
      </c>
      <c r="Q562" t="s">
        <v>85</v>
      </c>
      <c r="R562">
        <v>0</v>
      </c>
      <c r="S562">
        <v>84.7</v>
      </c>
      <c r="T562">
        <v>0</v>
      </c>
      <c r="U562">
        <v>0</v>
      </c>
      <c r="V562" t="s">
        <v>1630</v>
      </c>
      <c r="W562">
        <v>36916396</v>
      </c>
      <c r="X562" t="s">
        <v>86</v>
      </c>
      <c r="Y562" t="s">
        <v>1631</v>
      </c>
      <c r="Z562" t="b">
        <v>0</v>
      </c>
      <c r="AA562">
        <v>1216.056670602125</v>
      </c>
      <c r="AN562" t="e">
        <f>100*(1-E562/AL562)</f>
        <v>#DIV/0!</v>
      </c>
    </row>
    <row r="563" spans="1:40" x14ac:dyDescent="0.3">
      <c r="A563" t="s">
        <v>71</v>
      </c>
      <c r="B563" t="s">
        <v>1632</v>
      </c>
      <c r="C563" t="s">
        <v>1632</v>
      </c>
      <c r="D563" s="4">
        <v>46001</v>
      </c>
      <c r="E563">
        <v>76100</v>
      </c>
      <c r="F563" t="s">
        <v>1633</v>
      </c>
      <c r="G563" t="s">
        <v>419</v>
      </c>
      <c r="H563" t="s">
        <v>152</v>
      </c>
      <c r="I563" t="s">
        <v>153</v>
      </c>
      <c r="J563" t="s">
        <v>154</v>
      </c>
      <c r="K563" t="s">
        <v>1634</v>
      </c>
      <c r="L563" t="s">
        <v>44</v>
      </c>
      <c r="M563" t="s">
        <v>1635</v>
      </c>
      <c r="N563">
        <v>24100</v>
      </c>
      <c r="O563" t="s">
        <v>50</v>
      </c>
      <c r="P563" t="s">
        <v>51</v>
      </c>
      <c r="Q563" t="s">
        <v>52</v>
      </c>
      <c r="R563">
        <v>0</v>
      </c>
      <c r="S563">
        <v>61.42</v>
      </c>
      <c r="T563">
        <v>0</v>
      </c>
      <c r="U563">
        <v>0</v>
      </c>
      <c r="V563" t="s">
        <v>1636</v>
      </c>
      <c r="W563">
        <v>33441645</v>
      </c>
      <c r="X563" t="s">
        <v>86</v>
      </c>
      <c r="Y563" t="s">
        <v>1637</v>
      </c>
      <c r="Z563" t="b">
        <v>0</v>
      </c>
      <c r="AA563">
        <v>1239.010094431781</v>
      </c>
      <c r="AN563" t="e">
        <f>100*(1-E563/AL563)</f>
        <v>#DIV/0!</v>
      </c>
    </row>
    <row r="564" spans="1:40" x14ac:dyDescent="0.3">
      <c r="A564" t="s">
        <v>71</v>
      </c>
      <c r="B564" t="s">
        <v>1632</v>
      </c>
      <c r="C564" t="s">
        <v>1632</v>
      </c>
      <c r="D564" s="4">
        <v>46001</v>
      </c>
      <c r="E564">
        <v>76100</v>
      </c>
      <c r="F564" t="s">
        <v>1633</v>
      </c>
      <c r="G564" t="s">
        <v>419</v>
      </c>
      <c r="H564" t="s">
        <v>152</v>
      </c>
      <c r="I564" t="s">
        <v>153</v>
      </c>
      <c r="J564" t="s">
        <v>154</v>
      </c>
      <c r="K564" t="s">
        <v>1634</v>
      </c>
      <c r="L564" t="s">
        <v>44</v>
      </c>
      <c r="M564" t="s">
        <v>1635</v>
      </c>
      <c r="N564">
        <v>24100</v>
      </c>
      <c r="O564" t="s">
        <v>50</v>
      </c>
      <c r="P564" t="s">
        <v>51</v>
      </c>
      <c r="Q564" t="s">
        <v>52</v>
      </c>
      <c r="R564">
        <v>0</v>
      </c>
      <c r="S564">
        <v>61.42</v>
      </c>
      <c r="T564">
        <v>0</v>
      </c>
      <c r="U564">
        <v>0</v>
      </c>
      <c r="V564" t="s">
        <v>1636</v>
      </c>
      <c r="W564">
        <v>33441645</v>
      </c>
      <c r="X564" t="s">
        <v>86</v>
      </c>
      <c r="Y564" t="s">
        <v>1637</v>
      </c>
      <c r="Z564" t="b">
        <v>0</v>
      </c>
      <c r="AA564">
        <v>1239.010094431781</v>
      </c>
      <c r="AN564" t="e">
        <f>100*(1-E564/AL564)</f>
        <v>#DIV/0!</v>
      </c>
    </row>
    <row r="565" spans="1:40" x14ac:dyDescent="0.3">
      <c r="A565" t="s">
        <v>71</v>
      </c>
      <c r="B565" t="s">
        <v>1632</v>
      </c>
      <c r="C565" t="s">
        <v>1632</v>
      </c>
      <c r="D565" s="4">
        <v>46001</v>
      </c>
      <c r="E565">
        <v>76100</v>
      </c>
      <c r="F565" t="s">
        <v>1633</v>
      </c>
      <c r="G565" t="s">
        <v>419</v>
      </c>
      <c r="H565" t="s">
        <v>152</v>
      </c>
      <c r="I565" t="s">
        <v>153</v>
      </c>
      <c r="J565" t="s">
        <v>154</v>
      </c>
      <c r="K565" t="s">
        <v>1634</v>
      </c>
      <c r="L565" t="s">
        <v>44</v>
      </c>
      <c r="M565" t="s">
        <v>1635</v>
      </c>
      <c r="N565">
        <v>24100</v>
      </c>
      <c r="O565" t="s">
        <v>50</v>
      </c>
      <c r="P565" t="s">
        <v>51</v>
      </c>
      <c r="Q565" t="s">
        <v>52</v>
      </c>
      <c r="R565">
        <v>0</v>
      </c>
      <c r="S565">
        <v>61.42</v>
      </c>
      <c r="T565">
        <v>0</v>
      </c>
      <c r="U565">
        <v>0</v>
      </c>
      <c r="V565" t="s">
        <v>1636</v>
      </c>
      <c r="W565">
        <v>33441645</v>
      </c>
      <c r="X565" t="s">
        <v>86</v>
      </c>
      <c r="Y565" t="s">
        <v>1637</v>
      </c>
      <c r="Z565" t="b">
        <v>0</v>
      </c>
      <c r="AA565">
        <v>1239.010094431781</v>
      </c>
      <c r="AN565" t="e">
        <f>100*(1-E565/AL565)</f>
        <v>#DIV/0!</v>
      </c>
    </row>
    <row r="566" spans="1:40" x14ac:dyDescent="0.3">
      <c r="A566" t="s">
        <v>39</v>
      </c>
      <c r="B566" t="s">
        <v>1638</v>
      </c>
      <c r="C566" t="s">
        <v>1638</v>
      </c>
      <c r="D566" s="4">
        <v>46001</v>
      </c>
      <c r="E566">
        <v>108782</v>
      </c>
      <c r="F566" t="s">
        <v>1639</v>
      </c>
      <c r="G566" t="s">
        <v>238</v>
      </c>
      <c r="H566" t="s">
        <v>62</v>
      </c>
      <c r="I566" t="s">
        <v>238</v>
      </c>
      <c r="J566" t="s">
        <v>238</v>
      </c>
      <c r="K566" t="s">
        <v>1640</v>
      </c>
      <c r="L566" t="s">
        <v>44</v>
      </c>
      <c r="M566" t="s">
        <v>1641</v>
      </c>
      <c r="N566">
        <v>61100</v>
      </c>
      <c r="O566" t="s">
        <v>50</v>
      </c>
      <c r="P566" t="s">
        <v>51</v>
      </c>
      <c r="Q566" t="s">
        <v>52</v>
      </c>
      <c r="R566">
        <v>0</v>
      </c>
      <c r="S566">
        <v>176.99</v>
      </c>
      <c r="T566">
        <v>0</v>
      </c>
      <c r="U566">
        <v>0</v>
      </c>
      <c r="V566" t="s">
        <v>1642</v>
      </c>
      <c r="W566">
        <v>18178222</v>
      </c>
      <c r="X566" t="s">
        <v>86</v>
      </c>
      <c r="Y566" t="s">
        <v>1643</v>
      </c>
      <c r="Z566" t="b">
        <v>0</v>
      </c>
      <c r="AA566">
        <v>614.62229504491779</v>
      </c>
      <c r="AN566" t="e">
        <f>100*(1-E566/AL566)</f>
        <v>#DIV/0!</v>
      </c>
    </row>
    <row r="567" spans="1:40" x14ac:dyDescent="0.3">
      <c r="A567" t="s">
        <v>183</v>
      </c>
      <c r="B567" t="s">
        <v>1644</v>
      </c>
      <c r="C567" t="s">
        <v>1644</v>
      </c>
      <c r="D567" s="4">
        <v>46001</v>
      </c>
      <c r="E567">
        <v>138000</v>
      </c>
      <c r="F567" t="s">
        <v>1645</v>
      </c>
      <c r="G567" t="s">
        <v>1646</v>
      </c>
      <c r="H567" t="s">
        <v>67</v>
      </c>
      <c r="I567" t="s">
        <v>275</v>
      </c>
      <c r="J567" t="s">
        <v>67</v>
      </c>
      <c r="K567" t="s">
        <v>1647</v>
      </c>
      <c r="L567" t="s">
        <v>44</v>
      </c>
      <c r="M567" t="s">
        <v>1648</v>
      </c>
      <c r="N567">
        <v>13451</v>
      </c>
      <c r="O567" t="s">
        <v>97</v>
      </c>
      <c r="P567" t="s">
        <v>98</v>
      </c>
      <c r="Q567">
        <v>0</v>
      </c>
      <c r="R567">
        <v>0</v>
      </c>
      <c r="S567">
        <v>1357</v>
      </c>
      <c r="T567">
        <v>0</v>
      </c>
      <c r="U567">
        <v>0</v>
      </c>
      <c r="V567" t="s">
        <v>1649</v>
      </c>
      <c r="W567">
        <v>82137836</v>
      </c>
      <c r="X567" t="s">
        <v>86</v>
      </c>
      <c r="Y567" t="s">
        <v>1650</v>
      </c>
      <c r="Z567" t="b">
        <v>0</v>
      </c>
      <c r="AA567">
        <v>101.6949152542373</v>
      </c>
      <c r="AN567" t="e">
        <f>100*(1-E567/AL567)</f>
        <v>#DIV/0!</v>
      </c>
    </row>
    <row r="568" spans="1:40" x14ac:dyDescent="0.3">
      <c r="A568" t="s">
        <v>39</v>
      </c>
      <c r="B568" t="s">
        <v>1651</v>
      </c>
      <c r="C568" t="s">
        <v>1651</v>
      </c>
      <c r="D568" s="4">
        <v>46001</v>
      </c>
      <c r="E568">
        <v>70000</v>
      </c>
      <c r="F568" t="s">
        <v>1652</v>
      </c>
      <c r="G568" t="s">
        <v>90</v>
      </c>
      <c r="H568" t="s">
        <v>67</v>
      </c>
      <c r="I568" t="s">
        <v>91</v>
      </c>
      <c r="J568" t="s">
        <v>67</v>
      </c>
      <c r="K568" t="s">
        <v>1653</v>
      </c>
      <c r="L568" t="s">
        <v>44</v>
      </c>
      <c r="M568" t="s">
        <v>1654</v>
      </c>
      <c r="N568">
        <v>17673</v>
      </c>
      <c r="O568" t="s">
        <v>50</v>
      </c>
      <c r="P568" t="s">
        <v>51</v>
      </c>
      <c r="Q568" t="s">
        <v>52</v>
      </c>
      <c r="R568">
        <v>0</v>
      </c>
      <c r="S568">
        <v>63.5</v>
      </c>
      <c r="T568">
        <v>0</v>
      </c>
      <c r="U568">
        <v>0</v>
      </c>
      <c r="V568" t="s">
        <v>1655</v>
      </c>
      <c r="W568">
        <v>42858713</v>
      </c>
      <c r="X568" t="s">
        <v>86</v>
      </c>
      <c r="Y568" t="s">
        <v>1656</v>
      </c>
      <c r="Z568" t="b">
        <v>0</v>
      </c>
      <c r="AA568">
        <v>1102.3622047244089</v>
      </c>
      <c r="AN568" t="e">
        <f>100*(1-E568/AL568)</f>
        <v>#DIV/0!</v>
      </c>
    </row>
    <row r="569" spans="1:40" x14ac:dyDescent="0.3">
      <c r="A569" t="s">
        <v>59</v>
      </c>
      <c r="B569" t="s">
        <v>1626</v>
      </c>
      <c r="C569" t="s">
        <v>1626</v>
      </c>
      <c r="D569" s="4">
        <v>46001</v>
      </c>
      <c r="E569">
        <v>103000</v>
      </c>
      <c r="F569" t="s">
        <v>1627</v>
      </c>
      <c r="G569" t="s">
        <v>173</v>
      </c>
      <c r="H569" t="s">
        <v>111</v>
      </c>
      <c r="I569" t="s">
        <v>174</v>
      </c>
      <c r="J569" t="s">
        <v>175</v>
      </c>
      <c r="K569" t="s">
        <v>1628</v>
      </c>
      <c r="L569" t="s">
        <v>44</v>
      </c>
      <c r="M569" t="s">
        <v>1629</v>
      </c>
      <c r="N569">
        <v>34100</v>
      </c>
      <c r="O569" t="s">
        <v>45</v>
      </c>
      <c r="P569" t="s">
        <v>54</v>
      </c>
      <c r="Q569" t="s">
        <v>85</v>
      </c>
      <c r="R569">
        <v>0</v>
      </c>
      <c r="S569">
        <v>84.7</v>
      </c>
      <c r="T569">
        <v>0</v>
      </c>
      <c r="U569">
        <v>0</v>
      </c>
      <c r="V569" t="s">
        <v>1630</v>
      </c>
      <c r="W569">
        <v>36916396</v>
      </c>
      <c r="X569" t="s">
        <v>86</v>
      </c>
      <c r="Y569" t="s">
        <v>1631</v>
      </c>
      <c r="Z569" t="b">
        <v>0</v>
      </c>
      <c r="AA569">
        <v>1216.056670602125</v>
      </c>
      <c r="AN569" t="e">
        <f>100*(1-E569/AL569)</f>
        <v>#DIV/0!</v>
      </c>
    </row>
    <row r="570" spans="1:40" x14ac:dyDescent="0.3">
      <c r="A570" t="s">
        <v>39</v>
      </c>
      <c r="B570" t="s">
        <v>1651</v>
      </c>
      <c r="C570" t="s">
        <v>1651</v>
      </c>
      <c r="D570" s="4">
        <v>46001</v>
      </c>
      <c r="E570">
        <v>70000</v>
      </c>
      <c r="F570" t="s">
        <v>1652</v>
      </c>
      <c r="G570" t="s">
        <v>90</v>
      </c>
      <c r="H570" t="s">
        <v>67</v>
      </c>
      <c r="I570" t="s">
        <v>91</v>
      </c>
      <c r="J570" t="s">
        <v>67</v>
      </c>
      <c r="K570" t="s">
        <v>1653</v>
      </c>
      <c r="L570" t="s">
        <v>44</v>
      </c>
      <c r="M570" t="s">
        <v>1654</v>
      </c>
      <c r="N570">
        <v>17673</v>
      </c>
      <c r="O570" t="s">
        <v>50</v>
      </c>
      <c r="P570" t="s">
        <v>51</v>
      </c>
      <c r="Q570" t="s">
        <v>52</v>
      </c>
      <c r="R570">
        <v>0</v>
      </c>
      <c r="S570">
        <v>63.5</v>
      </c>
      <c r="T570">
        <v>0</v>
      </c>
      <c r="U570">
        <v>0</v>
      </c>
      <c r="V570" t="s">
        <v>1655</v>
      </c>
      <c r="W570">
        <v>42858713</v>
      </c>
      <c r="X570" t="s">
        <v>86</v>
      </c>
      <c r="Y570" t="s">
        <v>1656</v>
      </c>
      <c r="Z570" t="b">
        <v>0</v>
      </c>
      <c r="AA570">
        <v>1102.3622047244089</v>
      </c>
      <c r="AN570" t="e">
        <f>100*(1-E570/AL570)</f>
        <v>#DIV/0!</v>
      </c>
    </row>
    <row r="571" spans="1:40" x14ac:dyDescent="0.3">
      <c r="A571" t="s">
        <v>59</v>
      </c>
      <c r="B571" t="s">
        <v>1657</v>
      </c>
      <c r="C571" t="s">
        <v>1657</v>
      </c>
      <c r="D571" s="4">
        <v>46001</v>
      </c>
      <c r="E571">
        <v>68000</v>
      </c>
      <c r="F571" t="s">
        <v>1658</v>
      </c>
      <c r="G571" t="s">
        <v>1659</v>
      </c>
      <c r="H571" t="s">
        <v>111</v>
      </c>
      <c r="I571" t="s">
        <v>174</v>
      </c>
      <c r="J571" t="s">
        <v>175</v>
      </c>
      <c r="K571" t="s">
        <v>1660</v>
      </c>
      <c r="L571" t="s">
        <v>44</v>
      </c>
      <c r="M571" t="s">
        <v>1661</v>
      </c>
      <c r="N571">
        <v>34150</v>
      </c>
      <c r="O571" t="s">
        <v>97</v>
      </c>
      <c r="P571" t="s">
        <v>118</v>
      </c>
      <c r="Q571">
        <v>0</v>
      </c>
      <c r="R571">
        <v>0</v>
      </c>
      <c r="S571">
        <v>7592</v>
      </c>
      <c r="T571">
        <v>0</v>
      </c>
      <c r="U571">
        <v>0</v>
      </c>
      <c r="V571" t="s">
        <v>1662</v>
      </c>
      <c r="W571">
        <v>31482982</v>
      </c>
      <c r="X571" t="s">
        <v>86</v>
      </c>
      <c r="Y571" t="s">
        <v>1663</v>
      </c>
      <c r="Z571" t="b">
        <v>0</v>
      </c>
      <c r="AA571">
        <v>8.9567966280295046</v>
      </c>
      <c r="AN571" t="e">
        <f>100*(1-E571/AL571)</f>
        <v>#DIV/0!</v>
      </c>
    </row>
    <row r="572" spans="1:40" x14ac:dyDescent="0.3">
      <c r="A572" t="s">
        <v>71</v>
      </c>
      <c r="B572" t="s">
        <v>1664</v>
      </c>
      <c r="C572" t="s">
        <v>1664</v>
      </c>
      <c r="D572" s="4">
        <v>46001</v>
      </c>
      <c r="E572">
        <v>128000</v>
      </c>
      <c r="F572" t="s">
        <v>1665</v>
      </c>
      <c r="G572" t="s">
        <v>194</v>
      </c>
      <c r="H572" t="s">
        <v>67</v>
      </c>
      <c r="I572" t="s">
        <v>195</v>
      </c>
      <c r="J572" t="s">
        <v>67</v>
      </c>
      <c r="K572" t="s">
        <v>1666</v>
      </c>
      <c r="L572" t="s">
        <v>44</v>
      </c>
      <c r="M572" t="s">
        <v>1667</v>
      </c>
      <c r="N572">
        <v>18541</v>
      </c>
      <c r="O572" t="s">
        <v>45</v>
      </c>
      <c r="P572" t="s">
        <v>54</v>
      </c>
      <c r="Q572" t="s">
        <v>85</v>
      </c>
      <c r="R572">
        <v>0</v>
      </c>
      <c r="S572">
        <v>80.63</v>
      </c>
      <c r="T572">
        <v>0</v>
      </c>
      <c r="U572">
        <v>0</v>
      </c>
      <c r="V572" t="s">
        <v>1668</v>
      </c>
      <c r="W572">
        <v>69078179</v>
      </c>
      <c r="X572" t="s">
        <v>86</v>
      </c>
      <c r="Y572" t="s">
        <v>1669</v>
      </c>
      <c r="Z572" t="b">
        <v>0</v>
      </c>
      <c r="AA572">
        <v>1587.498449708545</v>
      </c>
      <c r="AN572" t="e">
        <f>100*(1-E572/AL572)</f>
        <v>#DIV/0!</v>
      </c>
    </row>
    <row r="573" spans="1:40" x14ac:dyDescent="0.3">
      <c r="A573" t="s">
        <v>166</v>
      </c>
      <c r="B573" t="s">
        <v>1670</v>
      </c>
      <c r="C573" t="s">
        <v>1670</v>
      </c>
      <c r="D573" s="4">
        <v>46001</v>
      </c>
      <c r="E573">
        <v>95000</v>
      </c>
      <c r="F573" t="s">
        <v>1671</v>
      </c>
      <c r="G573" t="s">
        <v>90</v>
      </c>
      <c r="H573" t="s">
        <v>67</v>
      </c>
      <c r="I573" t="s">
        <v>91</v>
      </c>
      <c r="J573" t="s">
        <v>67</v>
      </c>
      <c r="K573" t="s">
        <v>1672</v>
      </c>
      <c r="L573" t="s">
        <v>44</v>
      </c>
      <c r="M573" t="s">
        <v>1673</v>
      </c>
      <c r="N573">
        <v>17673</v>
      </c>
      <c r="O573" t="s">
        <v>45</v>
      </c>
      <c r="P573" t="s">
        <v>54</v>
      </c>
      <c r="Q573" t="s">
        <v>64</v>
      </c>
      <c r="R573">
        <v>0</v>
      </c>
      <c r="S573">
        <v>57</v>
      </c>
      <c r="T573">
        <v>0</v>
      </c>
      <c r="U573">
        <v>0</v>
      </c>
      <c r="V573" t="s">
        <v>1674</v>
      </c>
      <c r="W573">
        <v>101207896</v>
      </c>
      <c r="X573" t="s">
        <v>86</v>
      </c>
      <c r="Y573" t="s">
        <v>1675</v>
      </c>
      <c r="Z573" t="b">
        <v>0</v>
      </c>
      <c r="AA573">
        <v>1666.666666666667</v>
      </c>
      <c r="AN573" t="e">
        <f>100*(1-E573/AL573)</f>
        <v>#DIV/0!</v>
      </c>
    </row>
    <row r="574" spans="1:40" x14ac:dyDescent="0.3">
      <c r="A574" t="s">
        <v>59</v>
      </c>
      <c r="B574" t="s">
        <v>1676</v>
      </c>
      <c r="C574" t="s">
        <v>1676</v>
      </c>
      <c r="D574" s="4">
        <v>46001</v>
      </c>
      <c r="E574">
        <v>194000</v>
      </c>
      <c r="F574" t="s">
        <v>167</v>
      </c>
      <c r="G574" t="s">
        <v>1677</v>
      </c>
      <c r="H574" t="s">
        <v>67</v>
      </c>
      <c r="I574" t="s">
        <v>1678</v>
      </c>
      <c r="J574" t="s">
        <v>67</v>
      </c>
      <c r="K574" t="s">
        <v>1679</v>
      </c>
      <c r="L574" t="s">
        <v>44</v>
      </c>
      <c r="M574" t="s">
        <v>1680</v>
      </c>
      <c r="N574">
        <v>17561</v>
      </c>
      <c r="O574" t="s">
        <v>45</v>
      </c>
      <c r="P574" t="s">
        <v>54</v>
      </c>
      <c r="Q574" t="s">
        <v>100</v>
      </c>
      <c r="R574">
        <v>0</v>
      </c>
      <c r="S574">
        <v>79.8</v>
      </c>
      <c r="T574">
        <v>0</v>
      </c>
      <c r="U574">
        <v>0</v>
      </c>
      <c r="V574" t="s">
        <v>1681</v>
      </c>
      <c r="W574">
        <v>112199098</v>
      </c>
      <c r="X574" t="s">
        <v>86</v>
      </c>
      <c r="Y574" t="s">
        <v>1682</v>
      </c>
      <c r="Z574" t="b">
        <v>0</v>
      </c>
      <c r="AA574">
        <v>2431.0776942355892</v>
      </c>
      <c r="AN574" t="e">
        <f>100*(1-E574/AL574)</f>
        <v>#DIV/0!</v>
      </c>
    </row>
    <row r="575" spans="1:40" x14ac:dyDescent="0.3">
      <c r="A575" t="s">
        <v>166</v>
      </c>
      <c r="B575" t="s">
        <v>1683</v>
      </c>
      <c r="C575" t="s">
        <v>1683</v>
      </c>
      <c r="D575" s="4">
        <v>46001</v>
      </c>
      <c r="E575">
        <v>66000</v>
      </c>
      <c r="F575" t="s">
        <v>1684</v>
      </c>
      <c r="G575" t="s">
        <v>90</v>
      </c>
      <c r="H575" t="s">
        <v>67</v>
      </c>
      <c r="I575" t="s">
        <v>91</v>
      </c>
      <c r="J575" t="s">
        <v>67</v>
      </c>
      <c r="K575" t="s">
        <v>1685</v>
      </c>
      <c r="L575" t="s">
        <v>44</v>
      </c>
      <c r="M575" t="s">
        <v>1686</v>
      </c>
      <c r="N575">
        <v>17672</v>
      </c>
      <c r="O575" t="s">
        <v>45</v>
      </c>
      <c r="P575" t="s">
        <v>54</v>
      </c>
      <c r="Q575" t="s">
        <v>100</v>
      </c>
      <c r="R575">
        <v>0</v>
      </c>
      <c r="S575">
        <v>92</v>
      </c>
      <c r="T575" t="s">
        <v>48</v>
      </c>
      <c r="U575">
        <v>50</v>
      </c>
      <c r="V575" t="s">
        <v>1687</v>
      </c>
      <c r="W575">
        <v>51872152</v>
      </c>
      <c r="X575" t="s">
        <v>86</v>
      </c>
      <c r="Y575" t="s">
        <v>1688</v>
      </c>
      <c r="Z575" t="b">
        <v>0</v>
      </c>
      <c r="AA575">
        <v>717.39130434782612</v>
      </c>
      <c r="AN575" t="e">
        <f>100*(1-E575/AL575)</f>
        <v>#DIV/0!</v>
      </c>
    </row>
    <row r="576" spans="1:40" x14ac:dyDescent="0.3">
      <c r="A576" t="s">
        <v>166</v>
      </c>
      <c r="B576" t="s">
        <v>1689</v>
      </c>
      <c r="C576" t="s">
        <v>1689</v>
      </c>
      <c r="D576" s="4">
        <v>46001</v>
      </c>
      <c r="E576">
        <v>50500</v>
      </c>
      <c r="F576" t="s">
        <v>328</v>
      </c>
      <c r="G576" t="s">
        <v>83</v>
      </c>
      <c r="H576" t="s">
        <v>67</v>
      </c>
      <c r="I576" t="s">
        <v>84</v>
      </c>
      <c r="J576" t="s">
        <v>67</v>
      </c>
      <c r="K576" t="s">
        <v>1690</v>
      </c>
      <c r="L576" t="s">
        <v>44</v>
      </c>
      <c r="M576" t="s">
        <v>1691</v>
      </c>
      <c r="N576">
        <v>12137</v>
      </c>
      <c r="O576" t="s">
        <v>45</v>
      </c>
      <c r="P576" t="s">
        <v>54</v>
      </c>
      <c r="Q576" t="s">
        <v>52</v>
      </c>
      <c r="R576">
        <v>0</v>
      </c>
      <c r="S576">
        <v>29</v>
      </c>
      <c r="T576">
        <v>0</v>
      </c>
      <c r="U576">
        <v>0</v>
      </c>
      <c r="V576" t="s">
        <v>1692</v>
      </c>
      <c r="W576">
        <v>54518920</v>
      </c>
      <c r="X576" t="s">
        <v>86</v>
      </c>
      <c r="Y576" t="s">
        <v>1693</v>
      </c>
      <c r="Z576" t="b">
        <v>0</v>
      </c>
      <c r="AA576">
        <v>1741.3793103448279</v>
      </c>
      <c r="AN576" t="e">
        <f>100*(1-E576/AL576)</f>
        <v>#DIV/0!</v>
      </c>
    </row>
    <row r="577" spans="1:40" x14ac:dyDescent="0.3">
      <c r="A577" t="s">
        <v>139</v>
      </c>
      <c r="B577" t="s">
        <v>1694</v>
      </c>
      <c r="C577" t="s">
        <v>1694</v>
      </c>
      <c r="D577" s="4">
        <v>46001</v>
      </c>
      <c r="E577">
        <v>76000</v>
      </c>
      <c r="F577" t="s">
        <v>397</v>
      </c>
      <c r="G577" t="s">
        <v>106</v>
      </c>
      <c r="H577" t="s">
        <v>62</v>
      </c>
      <c r="I577" t="s">
        <v>107</v>
      </c>
      <c r="J577" t="s">
        <v>108</v>
      </c>
      <c r="K577" t="s">
        <v>1695</v>
      </c>
      <c r="L577" t="s">
        <v>44</v>
      </c>
      <c r="M577" t="s">
        <v>1696</v>
      </c>
      <c r="N577">
        <v>59132</v>
      </c>
      <c r="O577" t="s">
        <v>45</v>
      </c>
      <c r="P577" t="s">
        <v>54</v>
      </c>
      <c r="Q577" t="s">
        <v>55</v>
      </c>
      <c r="R577">
        <v>0</v>
      </c>
      <c r="S577">
        <v>89.44</v>
      </c>
      <c r="T577">
        <v>0</v>
      </c>
      <c r="U577">
        <v>0</v>
      </c>
      <c r="V577" t="s">
        <v>1697</v>
      </c>
      <c r="W577">
        <v>21345760</v>
      </c>
      <c r="X577" t="s">
        <v>86</v>
      </c>
      <c r="Y577" t="s">
        <v>1698</v>
      </c>
      <c r="Z577" t="b">
        <v>0</v>
      </c>
      <c r="AA577">
        <v>849.73166368515206</v>
      </c>
      <c r="AN577" t="e">
        <f>100*(1-E577/AL577)</f>
        <v>#DIV/0!</v>
      </c>
    </row>
    <row r="578" spans="1:40" x14ac:dyDescent="0.3">
      <c r="A578" t="s">
        <v>150</v>
      </c>
      <c r="B578" t="s">
        <v>1699</v>
      </c>
      <c r="C578" t="s">
        <v>1699</v>
      </c>
      <c r="D578" s="4">
        <v>46001</v>
      </c>
      <c r="E578">
        <v>244000</v>
      </c>
      <c r="F578" t="s">
        <v>1700</v>
      </c>
      <c r="G578" t="s">
        <v>1701</v>
      </c>
      <c r="H578" t="s">
        <v>136</v>
      </c>
      <c r="I578" t="s">
        <v>1702</v>
      </c>
      <c r="J578" t="s">
        <v>149</v>
      </c>
      <c r="K578" t="s">
        <v>1703</v>
      </c>
      <c r="L578" t="s">
        <v>44</v>
      </c>
      <c r="M578" t="s">
        <v>1704</v>
      </c>
      <c r="N578">
        <v>40200</v>
      </c>
      <c r="O578" t="s">
        <v>331</v>
      </c>
      <c r="P578" t="s">
        <v>331</v>
      </c>
      <c r="Q578" t="s">
        <v>85</v>
      </c>
      <c r="R578">
        <v>0</v>
      </c>
      <c r="S578">
        <v>395</v>
      </c>
      <c r="T578">
        <v>0</v>
      </c>
      <c r="U578">
        <v>0</v>
      </c>
      <c r="V578" t="s">
        <v>1705</v>
      </c>
      <c r="W578" t="s">
        <v>1706</v>
      </c>
      <c r="X578" t="s">
        <v>86</v>
      </c>
      <c r="Y578" t="s">
        <v>1707</v>
      </c>
      <c r="Z578" t="b">
        <v>0</v>
      </c>
      <c r="AA578">
        <v>617.72151898734182</v>
      </c>
      <c r="AN578" t="e">
        <f>100*(1-E578/AL578)</f>
        <v>#DIV/0!</v>
      </c>
    </row>
    <row r="579" spans="1:40" x14ac:dyDescent="0.3">
      <c r="A579" t="s">
        <v>59</v>
      </c>
      <c r="B579" t="s">
        <v>1626</v>
      </c>
      <c r="C579" t="s">
        <v>1626</v>
      </c>
      <c r="D579" s="4">
        <v>46001</v>
      </c>
      <c r="E579">
        <v>103000</v>
      </c>
      <c r="F579" t="s">
        <v>1627</v>
      </c>
      <c r="G579" t="s">
        <v>173</v>
      </c>
      <c r="H579" t="s">
        <v>111</v>
      </c>
      <c r="I579" t="s">
        <v>174</v>
      </c>
      <c r="J579" t="s">
        <v>175</v>
      </c>
      <c r="K579" t="s">
        <v>1628</v>
      </c>
      <c r="L579" t="s">
        <v>44</v>
      </c>
      <c r="M579" t="s">
        <v>1629</v>
      </c>
      <c r="N579">
        <v>34100</v>
      </c>
      <c r="O579" t="s">
        <v>45</v>
      </c>
      <c r="P579" t="s">
        <v>54</v>
      </c>
      <c r="Q579" t="s">
        <v>85</v>
      </c>
      <c r="R579">
        <v>0</v>
      </c>
      <c r="S579">
        <v>84.7</v>
      </c>
      <c r="T579">
        <v>0</v>
      </c>
      <c r="U579">
        <v>0</v>
      </c>
      <c r="V579" t="s">
        <v>1630</v>
      </c>
      <c r="W579">
        <v>36916396</v>
      </c>
      <c r="X579" t="s">
        <v>86</v>
      </c>
      <c r="Y579" t="s">
        <v>1631</v>
      </c>
      <c r="Z579" t="b">
        <v>0</v>
      </c>
      <c r="AA579">
        <v>1216.056670602125</v>
      </c>
      <c r="AN579" t="e">
        <f>100*(1-E579/AL579)</f>
        <v>#DIV/0!</v>
      </c>
    </row>
    <row r="580" spans="1:40" x14ac:dyDescent="0.3">
      <c r="A580" t="s">
        <v>59</v>
      </c>
      <c r="B580" t="s">
        <v>1626</v>
      </c>
      <c r="C580" t="s">
        <v>1626</v>
      </c>
      <c r="D580" s="4">
        <v>46001</v>
      </c>
      <c r="E580">
        <v>103000</v>
      </c>
      <c r="F580" t="s">
        <v>1627</v>
      </c>
      <c r="G580" t="s">
        <v>173</v>
      </c>
      <c r="H580" t="s">
        <v>111</v>
      </c>
      <c r="I580" t="s">
        <v>174</v>
      </c>
      <c r="J580" t="s">
        <v>175</v>
      </c>
      <c r="K580" t="s">
        <v>1628</v>
      </c>
      <c r="L580" t="s">
        <v>44</v>
      </c>
      <c r="M580" t="s">
        <v>1629</v>
      </c>
      <c r="N580">
        <v>34100</v>
      </c>
      <c r="O580" t="s">
        <v>45</v>
      </c>
      <c r="P580" t="s">
        <v>54</v>
      </c>
      <c r="Q580" t="s">
        <v>85</v>
      </c>
      <c r="R580">
        <v>0</v>
      </c>
      <c r="S580">
        <v>84.7</v>
      </c>
      <c r="T580">
        <v>0</v>
      </c>
      <c r="U580">
        <v>0</v>
      </c>
      <c r="V580" t="s">
        <v>1630</v>
      </c>
      <c r="W580">
        <v>36916396</v>
      </c>
      <c r="X580" t="s">
        <v>86</v>
      </c>
      <c r="Y580" t="s">
        <v>1631</v>
      </c>
      <c r="Z580" t="b">
        <v>0</v>
      </c>
      <c r="AA580">
        <v>1216.056670602125</v>
      </c>
      <c r="AN580" t="e">
        <f>100*(1-E580/AL580)</f>
        <v>#DIV/0!</v>
      </c>
    </row>
    <row r="581" spans="1:40" x14ac:dyDescent="0.3">
      <c r="A581" t="s">
        <v>59</v>
      </c>
      <c r="B581" t="s">
        <v>1626</v>
      </c>
      <c r="C581" t="s">
        <v>1626</v>
      </c>
      <c r="D581" s="4">
        <v>46001</v>
      </c>
      <c r="E581">
        <v>103000</v>
      </c>
      <c r="F581" t="s">
        <v>1627</v>
      </c>
      <c r="G581" t="s">
        <v>173</v>
      </c>
      <c r="H581" t="s">
        <v>111</v>
      </c>
      <c r="I581" t="s">
        <v>174</v>
      </c>
      <c r="J581" t="s">
        <v>175</v>
      </c>
      <c r="K581" t="s">
        <v>1628</v>
      </c>
      <c r="L581" t="s">
        <v>44</v>
      </c>
      <c r="M581" t="s">
        <v>1629</v>
      </c>
      <c r="N581">
        <v>34100</v>
      </c>
      <c r="O581" t="s">
        <v>45</v>
      </c>
      <c r="P581" t="s">
        <v>54</v>
      </c>
      <c r="Q581" t="s">
        <v>85</v>
      </c>
      <c r="R581">
        <v>0</v>
      </c>
      <c r="S581">
        <v>84.7</v>
      </c>
      <c r="T581">
        <v>0</v>
      </c>
      <c r="U581">
        <v>0</v>
      </c>
      <c r="V581" t="s">
        <v>1630</v>
      </c>
      <c r="W581">
        <v>36916396</v>
      </c>
      <c r="X581" t="s">
        <v>86</v>
      </c>
      <c r="Y581" t="s">
        <v>1631</v>
      </c>
      <c r="Z581" t="b">
        <v>0</v>
      </c>
      <c r="AA581">
        <v>1216.056670602125</v>
      </c>
      <c r="AN581" t="e">
        <f>100*(1-E581/AL581)</f>
        <v>#DIV/0!</v>
      </c>
    </row>
    <row r="582" spans="1:40" x14ac:dyDescent="0.3">
      <c r="A582" t="s">
        <v>139</v>
      </c>
      <c r="B582" t="s">
        <v>1708</v>
      </c>
      <c r="C582" t="s">
        <v>1708</v>
      </c>
      <c r="D582" s="4">
        <v>46001</v>
      </c>
      <c r="E582">
        <v>46000</v>
      </c>
      <c r="F582" t="s">
        <v>1709</v>
      </c>
      <c r="G582" t="s">
        <v>493</v>
      </c>
      <c r="H582" t="s">
        <v>62</v>
      </c>
      <c r="I582" t="s">
        <v>107</v>
      </c>
      <c r="J582" t="s">
        <v>108</v>
      </c>
      <c r="K582" t="s">
        <v>1710</v>
      </c>
      <c r="L582" t="s">
        <v>44</v>
      </c>
      <c r="M582" t="s">
        <v>1711</v>
      </c>
      <c r="N582">
        <v>59033</v>
      </c>
      <c r="O582" t="s">
        <v>45</v>
      </c>
      <c r="P582" t="s">
        <v>81</v>
      </c>
      <c r="Q582" t="s">
        <v>52</v>
      </c>
      <c r="R582">
        <v>0</v>
      </c>
      <c r="S582">
        <v>101</v>
      </c>
      <c r="T582">
        <v>0</v>
      </c>
      <c r="U582">
        <v>0</v>
      </c>
      <c r="V582" t="s">
        <v>1712</v>
      </c>
      <c r="W582" t="s">
        <v>1713</v>
      </c>
      <c r="X582" t="s">
        <v>86</v>
      </c>
      <c r="Y582" t="s">
        <v>1714</v>
      </c>
      <c r="Z582" t="b">
        <v>0</v>
      </c>
      <c r="AA582">
        <v>455.44554455445552</v>
      </c>
      <c r="AN582" t="e">
        <f>100*(1-E582/AL582)</f>
        <v>#DIV/0!</v>
      </c>
    </row>
    <row r="583" spans="1:40" x14ac:dyDescent="0.3">
      <c r="A583" t="s">
        <v>166</v>
      </c>
      <c r="B583" t="s">
        <v>1715</v>
      </c>
      <c r="C583" t="s">
        <v>1716</v>
      </c>
      <c r="D583" s="4">
        <v>46001</v>
      </c>
      <c r="E583">
        <v>18000</v>
      </c>
      <c r="F583" t="s">
        <v>1717</v>
      </c>
      <c r="G583" t="s">
        <v>1718</v>
      </c>
      <c r="H583" t="s">
        <v>136</v>
      </c>
      <c r="I583" t="s">
        <v>1719</v>
      </c>
      <c r="J583" t="s">
        <v>138</v>
      </c>
      <c r="K583" t="s">
        <v>1720</v>
      </c>
      <c r="L583" t="s">
        <v>44</v>
      </c>
      <c r="M583" t="s">
        <v>1721</v>
      </c>
      <c r="N583">
        <v>42031</v>
      </c>
      <c r="O583" t="s">
        <v>97</v>
      </c>
      <c r="P583" t="s">
        <v>118</v>
      </c>
      <c r="Q583">
        <v>0</v>
      </c>
      <c r="R583">
        <v>0</v>
      </c>
      <c r="S583">
        <v>10965</v>
      </c>
      <c r="T583">
        <v>0</v>
      </c>
      <c r="U583">
        <v>0</v>
      </c>
      <c r="V583" t="s">
        <v>1722</v>
      </c>
      <c r="W583">
        <v>53891936</v>
      </c>
      <c r="X583" t="s">
        <v>49</v>
      </c>
      <c r="Y583" t="s">
        <v>1723</v>
      </c>
      <c r="Z583" t="b">
        <v>0</v>
      </c>
      <c r="AA583">
        <v>1.641586867305062</v>
      </c>
      <c r="AN583" t="e">
        <f>100*(1-E583/AL583)</f>
        <v>#DIV/0!</v>
      </c>
    </row>
    <row r="584" spans="1:40" x14ac:dyDescent="0.3">
      <c r="A584" t="s">
        <v>71</v>
      </c>
      <c r="B584" t="s">
        <v>1724</v>
      </c>
      <c r="C584" t="s">
        <v>1724</v>
      </c>
      <c r="D584" s="4">
        <v>46001</v>
      </c>
      <c r="E584">
        <v>110000</v>
      </c>
      <c r="F584" t="s">
        <v>338</v>
      </c>
      <c r="G584" t="s">
        <v>1725</v>
      </c>
      <c r="H584" t="s">
        <v>230</v>
      </c>
      <c r="I584" t="s">
        <v>1726</v>
      </c>
      <c r="J584" t="s">
        <v>260</v>
      </c>
      <c r="K584" t="s">
        <v>1727</v>
      </c>
      <c r="L584" t="s">
        <v>44</v>
      </c>
      <c r="M584" t="s">
        <v>1728</v>
      </c>
      <c r="N584">
        <v>66032</v>
      </c>
      <c r="O584" t="s">
        <v>45</v>
      </c>
      <c r="P584" t="s">
        <v>81</v>
      </c>
      <c r="Q584" t="s">
        <v>55</v>
      </c>
      <c r="R584">
        <v>0</v>
      </c>
      <c r="S584">
        <v>184</v>
      </c>
      <c r="T584">
        <v>0</v>
      </c>
      <c r="U584">
        <v>0</v>
      </c>
      <c r="V584" t="s">
        <v>1729</v>
      </c>
      <c r="W584">
        <v>27426059</v>
      </c>
      <c r="X584" t="s">
        <v>86</v>
      </c>
      <c r="Y584" t="s">
        <v>1730</v>
      </c>
      <c r="Z584" t="b">
        <v>0</v>
      </c>
      <c r="AA584">
        <v>597.82608695652175</v>
      </c>
      <c r="AN584" t="e">
        <f>100*(1-E584/AL584)</f>
        <v>#DIV/0!</v>
      </c>
    </row>
    <row r="585" spans="1:40" x14ac:dyDescent="0.3">
      <c r="A585" t="s">
        <v>59</v>
      </c>
      <c r="B585" t="s">
        <v>1626</v>
      </c>
      <c r="C585" t="s">
        <v>1626</v>
      </c>
      <c r="D585" s="4">
        <v>46001</v>
      </c>
      <c r="E585">
        <v>103000</v>
      </c>
      <c r="F585" t="s">
        <v>1627</v>
      </c>
      <c r="G585" t="s">
        <v>173</v>
      </c>
      <c r="H585" t="s">
        <v>111</v>
      </c>
      <c r="I585" t="s">
        <v>174</v>
      </c>
      <c r="J585" t="s">
        <v>175</v>
      </c>
      <c r="K585" t="s">
        <v>1628</v>
      </c>
      <c r="L585" t="s">
        <v>44</v>
      </c>
      <c r="M585" t="s">
        <v>1629</v>
      </c>
      <c r="N585">
        <v>34100</v>
      </c>
      <c r="O585" t="s">
        <v>45</v>
      </c>
      <c r="P585" t="s">
        <v>54</v>
      </c>
      <c r="Q585" t="s">
        <v>85</v>
      </c>
      <c r="R585">
        <v>0</v>
      </c>
      <c r="S585">
        <v>84.7</v>
      </c>
      <c r="T585">
        <v>0</v>
      </c>
      <c r="U585">
        <v>0</v>
      </c>
      <c r="V585" t="s">
        <v>1630</v>
      </c>
      <c r="W585">
        <v>36916396</v>
      </c>
      <c r="X585" t="s">
        <v>86</v>
      </c>
      <c r="Y585" t="s">
        <v>1631</v>
      </c>
      <c r="Z585" t="b">
        <v>0</v>
      </c>
      <c r="AA585">
        <v>1216.056670602125</v>
      </c>
      <c r="AN585" t="e">
        <f>100*(1-E585/AL585)</f>
        <v>#DIV/0!</v>
      </c>
    </row>
    <row r="586" spans="1:40" x14ac:dyDescent="0.3">
      <c r="A586" t="s">
        <v>39</v>
      </c>
      <c r="B586" t="s">
        <v>1731</v>
      </c>
      <c r="C586" t="s">
        <v>1731</v>
      </c>
      <c r="D586" s="4">
        <v>46001</v>
      </c>
      <c r="E586">
        <v>81300</v>
      </c>
      <c r="F586" t="s">
        <v>1732</v>
      </c>
      <c r="G586" t="s">
        <v>276</v>
      </c>
      <c r="H586" t="s">
        <v>152</v>
      </c>
      <c r="I586" t="s">
        <v>277</v>
      </c>
      <c r="J586" t="s">
        <v>221</v>
      </c>
      <c r="K586" t="s">
        <v>1733</v>
      </c>
      <c r="L586" t="s">
        <v>44</v>
      </c>
      <c r="M586" t="s">
        <v>1734</v>
      </c>
      <c r="N586">
        <v>20100</v>
      </c>
      <c r="O586" t="s">
        <v>97</v>
      </c>
      <c r="P586" t="s">
        <v>98</v>
      </c>
      <c r="Q586">
        <v>0</v>
      </c>
      <c r="R586">
        <v>0</v>
      </c>
      <c r="S586">
        <v>1008.68</v>
      </c>
      <c r="T586">
        <v>0</v>
      </c>
      <c r="U586">
        <v>0</v>
      </c>
      <c r="V586" t="s">
        <v>1735</v>
      </c>
      <c r="W586">
        <v>71259373</v>
      </c>
      <c r="X586" t="s">
        <v>49</v>
      </c>
      <c r="Y586" t="s">
        <v>1736</v>
      </c>
      <c r="Z586" t="b">
        <v>0</v>
      </c>
      <c r="AA586">
        <v>80.600388626720076</v>
      </c>
      <c r="AN586" t="e">
        <f>100*(1-E586/AL586)</f>
        <v>#DIV/0!</v>
      </c>
    </row>
    <row r="587" spans="1:40" x14ac:dyDescent="0.3">
      <c r="A587" t="s">
        <v>166</v>
      </c>
      <c r="B587" t="s">
        <v>1737</v>
      </c>
      <c r="C587" t="s">
        <v>1716</v>
      </c>
      <c r="D587" s="4">
        <v>46001</v>
      </c>
      <c r="E587">
        <v>15000</v>
      </c>
      <c r="F587" t="s">
        <v>1738</v>
      </c>
      <c r="G587" t="s">
        <v>1718</v>
      </c>
      <c r="H587" t="s">
        <v>136</v>
      </c>
      <c r="I587" t="s">
        <v>1719</v>
      </c>
      <c r="J587" t="s">
        <v>138</v>
      </c>
      <c r="K587" t="s">
        <v>1739</v>
      </c>
      <c r="L587" t="s">
        <v>44</v>
      </c>
      <c r="M587" t="s">
        <v>1740</v>
      </c>
      <c r="N587">
        <v>42031</v>
      </c>
      <c r="O587" t="s">
        <v>97</v>
      </c>
      <c r="P587" t="s">
        <v>98</v>
      </c>
      <c r="Q587">
        <v>0</v>
      </c>
      <c r="R587">
        <v>0</v>
      </c>
      <c r="S587">
        <v>974</v>
      </c>
      <c r="T587">
        <v>0</v>
      </c>
      <c r="U587">
        <v>0</v>
      </c>
      <c r="V587" t="s">
        <v>1722</v>
      </c>
      <c r="W587">
        <v>53891936</v>
      </c>
      <c r="X587" t="s">
        <v>49</v>
      </c>
      <c r="Y587" t="s">
        <v>1741</v>
      </c>
      <c r="Z587" t="b">
        <v>0</v>
      </c>
      <c r="AA587">
        <v>15.400410677618069</v>
      </c>
      <c r="AN587" t="e">
        <f>100*(1-E587/AL587)</f>
        <v>#DIV/0!</v>
      </c>
    </row>
    <row r="588" spans="1:40" x14ac:dyDescent="0.3">
      <c r="A588" t="s">
        <v>59</v>
      </c>
      <c r="B588" t="s">
        <v>1742</v>
      </c>
      <c r="C588" t="s">
        <v>1742</v>
      </c>
      <c r="D588" s="4">
        <v>46001</v>
      </c>
      <c r="E588">
        <v>29400</v>
      </c>
      <c r="F588" t="s">
        <v>1743</v>
      </c>
      <c r="G588" t="s">
        <v>684</v>
      </c>
      <c r="H588" t="s">
        <v>136</v>
      </c>
      <c r="I588" t="s">
        <v>451</v>
      </c>
      <c r="J588" t="s">
        <v>452</v>
      </c>
      <c r="K588" t="s">
        <v>1744</v>
      </c>
      <c r="L588" t="s">
        <v>44</v>
      </c>
      <c r="M588" t="s">
        <v>1745</v>
      </c>
      <c r="N588">
        <v>38446</v>
      </c>
      <c r="O588" t="s">
        <v>97</v>
      </c>
      <c r="P588" t="s">
        <v>98</v>
      </c>
      <c r="Q588">
        <v>0</v>
      </c>
      <c r="R588">
        <v>0</v>
      </c>
      <c r="S588">
        <v>163.19999999999999</v>
      </c>
      <c r="T588">
        <v>0</v>
      </c>
      <c r="U588">
        <v>0</v>
      </c>
      <c r="V588" t="s">
        <v>1746</v>
      </c>
      <c r="W588" t="s">
        <v>1747</v>
      </c>
      <c r="X588" t="s">
        <v>86</v>
      </c>
      <c r="Y588" t="s">
        <v>1748</v>
      </c>
      <c r="Z588" t="b">
        <v>0</v>
      </c>
      <c r="AA588">
        <v>180.14705882352939</v>
      </c>
      <c r="AN588" t="e">
        <f>100*(1-E588/AL588)</f>
        <v>#DIV/0!</v>
      </c>
    </row>
    <row r="589" spans="1:40" x14ac:dyDescent="0.3">
      <c r="A589" t="s">
        <v>59</v>
      </c>
      <c r="B589" t="s">
        <v>1626</v>
      </c>
      <c r="C589" t="s">
        <v>1626</v>
      </c>
      <c r="D589" s="4">
        <v>46001</v>
      </c>
      <c r="E589">
        <v>103000</v>
      </c>
      <c r="F589" t="s">
        <v>1627</v>
      </c>
      <c r="G589" t="s">
        <v>173</v>
      </c>
      <c r="H589" t="s">
        <v>111</v>
      </c>
      <c r="I589" t="s">
        <v>174</v>
      </c>
      <c r="J589" t="s">
        <v>175</v>
      </c>
      <c r="K589" t="s">
        <v>1628</v>
      </c>
      <c r="L589" t="s">
        <v>44</v>
      </c>
      <c r="M589" t="s">
        <v>1629</v>
      </c>
      <c r="N589">
        <v>34100</v>
      </c>
      <c r="O589" t="s">
        <v>45</v>
      </c>
      <c r="P589" t="s">
        <v>54</v>
      </c>
      <c r="Q589" t="s">
        <v>85</v>
      </c>
      <c r="R589">
        <v>0</v>
      </c>
      <c r="S589">
        <v>84.7</v>
      </c>
      <c r="T589">
        <v>0</v>
      </c>
      <c r="U589">
        <v>0</v>
      </c>
      <c r="V589" t="s">
        <v>1630</v>
      </c>
      <c r="W589">
        <v>36916396</v>
      </c>
      <c r="X589" t="s">
        <v>86</v>
      </c>
      <c r="Y589" t="s">
        <v>1631</v>
      </c>
      <c r="Z589" t="b">
        <v>0</v>
      </c>
      <c r="AA589">
        <v>1216.056670602125</v>
      </c>
      <c r="AN589" t="e">
        <f>100*(1-E589/AL589)</f>
        <v>#DIV/0!</v>
      </c>
    </row>
    <row r="590" spans="1:40" x14ac:dyDescent="0.3">
      <c r="A590" t="s">
        <v>166</v>
      </c>
      <c r="B590" t="s">
        <v>1749</v>
      </c>
      <c r="C590" t="s">
        <v>1750</v>
      </c>
      <c r="D590" s="4">
        <v>46001</v>
      </c>
      <c r="E590">
        <v>12000</v>
      </c>
      <c r="F590" t="s">
        <v>1751</v>
      </c>
      <c r="G590" t="s">
        <v>272</v>
      </c>
      <c r="H590" t="s">
        <v>102</v>
      </c>
      <c r="I590" t="s">
        <v>273</v>
      </c>
      <c r="J590" t="s">
        <v>273</v>
      </c>
      <c r="K590" t="s">
        <v>1752</v>
      </c>
      <c r="L590" t="s">
        <v>44</v>
      </c>
      <c r="M590" t="s">
        <v>1753</v>
      </c>
      <c r="N590">
        <v>51100</v>
      </c>
      <c r="O590" t="s">
        <v>76</v>
      </c>
      <c r="P590" t="s">
        <v>1754</v>
      </c>
      <c r="Q590">
        <v>0</v>
      </c>
      <c r="R590">
        <v>0</v>
      </c>
      <c r="S590">
        <v>34.46</v>
      </c>
      <c r="T590">
        <v>0</v>
      </c>
      <c r="U590">
        <v>0</v>
      </c>
      <c r="V590" t="s">
        <v>1755</v>
      </c>
      <c r="W590">
        <v>99921963</v>
      </c>
      <c r="X590" t="s">
        <v>49</v>
      </c>
      <c r="Y590" t="s">
        <v>1756</v>
      </c>
      <c r="Z590" t="b">
        <v>0</v>
      </c>
      <c r="AA590">
        <v>348.22983168891471</v>
      </c>
      <c r="AN590" t="e">
        <f>100*(1-E590/AL590)</f>
        <v>#DIV/0!</v>
      </c>
    </row>
    <row r="591" spans="1:40" x14ac:dyDescent="0.3">
      <c r="A591" t="s">
        <v>166</v>
      </c>
      <c r="B591" t="s">
        <v>1757</v>
      </c>
      <c r="C591" t="s">
        <v>1750</v>
      </c>
      <c r="D591" s="4">
        <v>46001</v>
      </c>
      <c r="E591">
        <v>11000</v>
      </c>
      <c r="F591" t="s">
        <v>1758</v>
      </c>
      <c r="G591" t="s">
        <v>272</v>
      </c>
      <c r="H591" t="s">
        <v>102</v>
      </c>
      <c r="I591" t="s">
        <v>273</v>
      </c>
      <c r="J591" t="s">
        <v>273</v>
      </c>
      <c r="K591" t="s">
        <v>1752</v>
      </c>
      <c r="L591" t="s">
        <v>44</v>
      </c>
      <c r="M591" t="s">
        <v>1753</v>
      </c>
      <c r="N591">
        <v>51100</v>
      </c>
      <c r="O591" t="s">
        <v>76</v>
      </c>
      <c r="P591" t="s">
        <v>1754</v>
      </c>
      <c r="Q591">
        <v>0</v>
      </c>
      <c r="R591">
        <v>0</v>
      </c>
      <c r="S591">
        <v>32.770000000000003</v>
      </c>
      <c r="T591">
        <v>0</v>
      </c>
      <c r="U591">
        <v>0</v>
      </c>
      <c r="V591" t="s">
        <v>1755</v>
      </c>
      <c r="W591">
        <v>99921963</v>
      </c>
      <c r="X591" t="s">
        <v>49</v>
      </c>
      <c r="Y591" t="s">
        <v>1759</v>
      </c>
      <c r="Z591" t="b">
        <v>0</v>
      </c>
      <c r="AA591">
        <v>335.67287152883728</v>
      </c>
      <c r="AN591" t="e">
        <f>100*(1-E591/AL591)</f>
        <v>#DIV/0!</v>
      </c>
    </row>
    <row r="592" spans="1:40" x14ac:dyDescent="0.3">
      <c r="A592" t="s">
        <v>166</v>
      </c>
      <c r="B592" t="s">
        <v>1760</v>
      </c>
      <c r="C592" t="s">
        <v>1750</v>
      </c>
      <c r="D592" s="4">
        <v>46001</v>
      </c>
      <c r="E592">
        <v>11000</v>
      </c>
      <c r="F592" t="s">
        <v>1758</v>
      </c>
      <c r="G592" t="s">
        <v>272</v>
      </c>
      <c r="H592" t="s">
        <v>102</v>
      </c>
      <c r="I592" t="s">
        <v>273</v>
      </c>
      <c r="J592" t="s">
        <v>273</v>
      </c>
      <c r="K592" t="s">
        <v>1752</v>
      </c>
      <c r="L592" t="s">
        <v>44</v>
      </c>
      <c r="M592" t="s">
        <v>1753</v>
      </c>
      <c r="N592">
        <v>51100</v>
      </c>
      <c r="O592" t="s">
        <v>76</v>
      </c>
      <c r="P592" t="s">
        <v>1754</v>
      </c>
      <c r="Q592">
        <v>0</v>
      </c>
      <c r="R592">
        <v>0</v>
      </c>
      <c r="S592">
        <v>32.770000000000003</v>
      </c>
      <c r="T592">
        <v>0</v>
      </c>
      <c r="U592">
        <v>0</v>
      </c>
      <c r="V592" t="s">
        <v>1755</v>
      </c>
      <c r="W592">
        <v>99921963</v>
      </c>
      <c r="X592" t="s">
        <v>49</v>
      </c>
      <c r="Y592" t="s">
        <v>1761</v>
      </c>
      <c r="Z592" t="b">
        <v>0</v>
      </c>
      <c r="AA592">
        <v>335.67287152883728</v>
      </c>
      <c r="AN592" t="e">
        <f>100*(1-E592/AL592)</f>
        <v>#DIV/0!</v>
      </c>
    </row>
    <row r="593" spans="1:40" x14ac:dyDescent="0.3">
      <c r="A593" t="s">
        <v>166</v>
      </c>
      <c r="B593" t="s">
        <v>1762</v>
      </c>
      <c r="C593" t="s">
        <v>1750</v>
      </c>
      <c r="D593" s="4">
        <v>46001</v>
      </c>
      <c r="E593">
        <v>13000</v>
      </c>
      <c r="F593" t="s">
        <v>1763</v>
      </c>
      <c r="G593" t="s">
        <v>272</v>
      </c>
      <c r="H593" t="s">
        <v>102</v>
      </c>
      <c r="I593" t="s">
        <v>273</v>
      </c>
      <c r="J593" t="s">
        <v>273</v>
      </c>
      <c r="K593" t="s">
        <v>1752</v>
      </c>
      <c r="L593" t="s">
        <v>44</v>
      </c>
      <c r="M593" t="s">
        <v>1753</v>
      </c>
      <c r="N593">
        <v>51100</v>
      </c>
      <c r="O593" t="s">
        <v>76</v>
      </c>
      <c r="P593" t="s">
        <v>1754</v>
      </c>
      <c r="Q593">
        <v>0</v>
      </c>
      <c r="R593">
        <v>0</v>
      </c>
      <c r="S593">
        <v>36.450000000000003</v>
      </c>
      <c r="T593">
        <v>0</v>
      </c>
      <c r="U593">
        <v>0</v>
      </c>
      <c r="V593" t="s">
        <v>1755</v>
      </c>
      <c r="W593">
        <v>99921963</v>
      </c>
      <c r="X593" t="s">
        <v>49</v>
      </c>
      <c r="Y593" t="s">
        <v>1764</v>
      </c>
      <c r="Z593" t="b">
        <v>0</v>
      </c>
      <c r="AA593">
        <v>356.65294924554178</v>
      </c>
      <c r="AN593" t="e">
        <f>100*(1-E593/AL593)</f>
        <v>#DIV/0!</v>
      </c>
    </row>
    <row r="594" spans="1:40" x14ac:dyDescent="0.3">
      <c r="A594" t="s">
        <v>166</v>
      </c>
      <c r="B594" t="s">
        <v>1765</v>
      </c>
      <c r="C594" t="s">
        <v>1750</v>
      </c>
      <c r="D594" s="4">
        <v>46001</v>
      </c>
      <c r="E594">
        <v>14000</v>
      </c>
      <c r="F594" t="s">
        <v>1766</v>
      </c>
      <c r="G594" t="s">
        <v>272</v>
      </c>
      <c r="H594" t="s">
        <v>102</v>
      </c>
      <c r="I594" t="s">
        <v>273</v>
      </c>
      <c r="J594" t="s">
        <v>273</v>
      </c>
      <c r="K594" t="s">
        <v>1752</v>
      </c>
      <c r="L594" t="s">
        <v>44</v>
      </c>
      <c r="M594" t="s">
        <v>1753</v>
      </c>
      <c r="N594">
        <v>51100</v>
      </c>
      <c r="O594" t="s">
        <v>76</v>
      </c>
      <c r="P594" t="s">
        <v>1754</v>
      </c>
      <c r="Q594">
        <v>0</v>
      </c>
      <c r="R594">
        <v>0</v>
      </c>
      <c r="S594">
        <v>39.57</v>
      </c>
      <c r="T594">
        <v>0</v>
      </c>
      <c r="U594">
        <v>0</v>
      </c>
      <c r="V594" t="s">
        <v>1755</v>
      </c>
      <c r="W594">
        <v>99921963</v>
      </c>
      <c r="X594" t="s">
        <v>49</v>
      </c>
      <c r="Y594" t="s">
        <v>1767</v>
      </c>
      <c r="Z594" t="b">
        <v>0</v>
      </c>
      <c r="AA594">
        <v>353.80338640384127</v>
      </c>
      <c r="AN594" t="e">
        <f>100*(1-E594/AL594)</f>
        <v>#DIV/0!</v>
      </c>
    </row>
    <row r="595" spans="1:40" x14ac:dyDescent="0.3">
      <c r="A595" t="s">
        <v>166</v>
      </c>
      <c r="B595" t="s">
        <v>1768</v>
      </c>
      <c r="C595" t="s">
        <v>1750</v>
      </c>
      <c r="D595" s="4">
        <v>46001</v>
      </c>
      <c r="E595">
        <v>13000</v>
      </c>
      <c r="F595" t="s">
        <v>1769</v>
      </c>
      <c r="G595" t="s">
        <v>272</v>
      </c>
      <c r="H595" t="s">
        <v>102</v>
      </c>
      <c r="I595" t="s">
        <v>273</v>
      </c>
      <c r="J595" t="s">
        <v>273</v>
      </c>
      <c r="K595" t="s">
        <v>1752</v>
      </c>
      <c r="L595" t="s">
        <v>44</v>
      </c>
      <c r="M595" t="s">
        <v>1753</v>
      </c>
      <c r="N595">
        <v>51100</v>
      </c>
      <c r="O595" t="s">
        <v>76</v>
      </c>
      <c r="P595" t="s">
        <v>1754</v>
      </c>
      <c r="Q595">
        <v>0</v>
      </c>
      <c r="R595">
        <v>0</v>
      </c>
      <c r="S595">
        <v>38.42</v>
      </c>
      <c r="T595">
        <v>0</v>
      </c>
      <c r="U595">
        <v>0</v>
      </c>
      <c r="V595" t="s">
        <v>1755</v>
      </c>
      <c r="W595">
        <v>99921963</v>
      </c>
      <c r="X595" t="s">
        <v>49</v>
      </c>
      <c r="Y595" t="s">
        <v>1770</v>
      </c>
      <c r="Z595" t="b">
        <v>0</v>
      </c>
      <c r="AA595">
        <v>338.365434669443</v>
      </c>
      <c r="AN595" t="e">
        <f>100*(1-E595/AL595)</f>
        <v>#DIV/0!</v>
      </c>
    </row>
    <row r="596" spans="1:40" x14ac:dyDescent="0.3">
      <c r="A596" t="s">
        <v>166</v>
      </c>
      <c r="B596" t="s">
        <v>1771</v>
      </c>
      <c r="C596" t="s">
        <v>1750</v>
      </c>
      <c r="D596" s="4">
        <v>46001</v>
      </c>
      <c r="E596">
        <v>12000</v>
      </c>
      <c r="F596" t="s">
        <v>1751</v>
      </c>
      <c r="G596" t="s">
        <v>272</v>
      </c>
      <c r="H596" t="s">
        <v>102</v>
      </c>
      <c r="I596" t="s">
        <v>273</v>
      </c>
      <c r="J596" t="s">
        <v>273</v>
      </c>
      <c r="K596" t="s">
        <v>1752</v>
      </c>
      <c r="L596" t="s">
        <v>44</v>
      </c>
      <c r="M596" t="s">
        <v>1753</v>
      </c>
      <c r="N596">
        <v>51100</v>
      </c>
      <c r="O596" t="s">
        <v>76</v>
      </c>
      <c r="P596" t="s">
        <v>1754</v>
      </c>
      <c r="Q596">
        <v>0</v>
      </c>
      <c r="R596">
        <v>0</v>
      </c>
      <c r="S596">
        <v>34.46</v>
      </c>
      <c r="T596">
        <v>0</v>
      </c>
      <c r="U596">
        <v>0</v>
      </c>
      <c r="V596" t="s">
        <v>1755</v>
      </c>
      <c r="W596">
        <v>99921963</v>
      </c>
      <c r="X596" t="s">
        <v>49</v>
      </c>
      <c r="Y596" t="s">
        <v>1772</v>
      </c>
      <c r="Z596" t="b">
        <v>0</v>
      </c>
      <c r="AA596">
        <v>348.22983168891471</v>
      </c>
      <c r="AN596" t="e">
        <f>100*(1-E596/AL596)</f>
        <v>#DIV/0!</v>
      </c>
    </row>
    <row r="597" spans="1:40" x14ac:dyDescent="0.3">
      <c r="A597" t="s">
        <v>166</v>
      </c>
      <c r="B597" t="s">
        <v>1773</v>
      </c>
      <c r="C597" t="s">
        <v>1750</v>
      </c>
      <c r="D597" s="4">
        <v>46001</v>
      </c>
      <c r="E597">
        <v>16000</v>
      </c>
      <c r="F597" t="s">
        <v>1774</v>
      </c>
      <c r="G597" t="s">
        <v>272</v>
      </c>
      <c r="H597" t="s">
        <v>102</v>
      </c>
      <c r="I597" t="s">
        <v>273</v>
      </c>
      <c r="J597" t="s">
        <v>273</v>
      </c>
      <c r="K597" t="s">
        <v>1752</v>
      </c>
      <c r="L597" t="s">
        <v>44</v>
      </c>
      <c r="M597" t="s">
        <v>1753</v>
      </c>
      <c r="N597">
        <v>51100</v>
      </c>
      <c r="O597" t="s">
        <v>76</v>
      </c>
      <c r="P597" t="s">
        <v>1754</v>
      </c>
      <c r="Q597">
        <v>0</v>
      </c>
      <c r="R597">
        <v>0</v>
      </c>
      <c r="S597">
        <v>46.98</v>
      </c>
      <c r="T597">
        <v>0</v>
      </c>
      <c r="U597">
        <v>0</v>
      </c>
      <c r="V597" t="s">
        <v>1755</v>
      </c>
      <c r="W597">
        <v>99921963</v>
      </c>
      <c r="X597" t="s">
        <v>49</v>
      </c>
      <c r="Y597" t="s">
        <v>1775</v>
      </c>
      <c r="Z597" t="b">
        <v>0</v>
      </c>
      <c r="AA597">
        <v>340.57045551298432</v>
      </c>
      <c r="AN597" t="e">
        <f>100*(1-E597/AL597)</f>
        <v>#DIV/0!</v>
      </c>
    </row>
    <row r="598" spans="1:40" x14ac:dyDescent="0.3">
      <c r="A598" t="s">
        <v>166</v>
      </c>
      <c r="B598" t="s">
        <v>1776</v>
      </c>
      <c r="C598" t="s">
        <v>1776</v>
      </c>
      <c r="D598" s="4">
        <v>46001</v>
      </c>
      <c r="E598">
        <v>100000</v>
      </c>
      <c r="F598" t="s">
        <v>1777</v>
      </c>
      <c r="G598" t="s">
        <v>217</v>
      </c>
      <c r="H598" t="s">
        <v>102</v>
      </c>
      <c r="I598" t="s">
        <v>218</v>
      </c>
      <c r="J598" t="s">
        <v>103</v>
      </c>
      <c r="K598" t="s">
        <v>1778</v>
      </c>
      <c r="L598" t="s">
        <v>44</v>
      </c>
      <c r="M598" t="s">
        <v>1779</v>
      </c>
      <c r="N598">
        <v>50200</v>
      </c>
      <c r="O598" t="s">
        <v>45</v>
      </c>
      <c r="P598" t="s">
        <v>54</v>
      </c>
      <c r="Q598" t="s">
        <v>85</v>
      </c>
      <c r="R598">
        <v>0</v>
      </c>
      <c r="S598">
        <v>138.55000000000001</v>
      </c>
      <c r="T598">
        <v>0</v>
      </c>
      <c r="U598">
        <v>0</v>
      </c>
      <c r="V598" t="s">
        <v>1780</v>
      </c>
      <c r="W598">
        <v>54519731</v>
      </c>
      <c r="X598" t="s">
        <v>86</v>
      </c>
      <c r="Y598" t="s">
        <v>1781</v>
      </c>
      <c r="Z598" t="b">
        <v>0</v>
      </c>
      <c r="AA598">
        <v>721.76109707686749</v>
      </c>
      <c r="AN598" t="e">
        <f>100*(1-E598/AL598)</f>
        <v>#DIV/0!</v>
      </c>
    </row>
    <row r="599" spans="1:40" x14ac:dyDescent="0.3">
      <c r="A599" t="s">
        <v>166</v>
      </c>
      <c r="B599" t="s">
        <v>1782</v>
      </c>
      <c r="C599" t="s">
        <v>1782</v>
      </c>
      <c r="D599" s="4">
        <v>46001</v>
      </c>
      <c r="E599">
        <v>103000</v>
      </c>
      <c r="F599" t="s">
        <v>312</v>
      </c>
      <c r="G599" t="s">
        <v>437</v>
      </c>
      <c r="H599" t="s">
        <v>67</v>
      </c>
      <c r="I599" t="s">
        <v>438</v>
      </c>
      <c r="J599" t="s">
        <v>67</v>
      </c>
      <c r="K599" t="s">
        <v>1783</v>
      </c>
      <c r="L599" t="s">
        <v>44</v>
      </c>
      <c r="M599" t="s">
        <v>1784</v>
      </c>
      <c r="N599">
        <v>15342</v>
      </c>
      <c r="O599" t="s">
        <v>45</v>
      </c>
      <c r="P599" t="s">
        <v>54</v>
      </c>
      <c r="Q599" t="s">
        <v>55</v>
      </c>
      <c r="R599">
        <v>0</v>
      </c>
      <c r="S599">
        <v>52.39</v>
      </c>
      <c r="T599">
        <v>0</v>
      </c>
      <c r="U599">
        <v>0</v>
      </c>
      <c r="V599" t="s">
        <v>1785</v>
      </c>
      <c r="W599">
        <v>23574606</v>
      </c>
      <c r="X599" t="s">
        <v>86</v>
      </c>
      <c r="Y599" t="s">
        <v>1786</v>
      </c>
      <c r="Z599" t="b">
        <v>0</v>
      </c>
      <c r="AA599">
        <v>1966.024050391296</v>
      </c>
      <c r="AN599" t="e">
        <f>100*(1-E599/AL599)</f>
        <v>#DIV/0!</v>
      </c>
    </row>
    <row r="600" spans="1:40" x14ac:dyDescent="0.3">
      <c r="A600" t="s">
        <v>215</v>
      </c>
      <c r="B600" t="s">
        <v>1787</v>
      </c>
      <c r="C600" t="s">
        <v>1787</v>
      </c>
      <c r="D600" s="4">
        <v>46001</v>
      </c>
      <c r="E600">
        <v>7000</v>
      </c>
      <c r="F600" t="s">
        <v>365</v>
      </c>
      <c r="G600" t="s">
        <v>194</v>
      </c>
      <c r="H600" t="s">
        <v>67</v>
      </c>
      <c r="I600" t="s">
        <v>195</v>
      </c>
      <c r="J600" t="s">
        <v>67</v>
      </c>
      <c r="K600" t="s">
        <v>1788</v>
      </c>
      <c r="L600" t="s">
        <v>44</v>
      </c>
      <c r="M600" t="s">
        <v>1789</v>
      </c>
      <c r="N600">
        <v>18545</v>
      </c>
      <c r="O600" t="s">
        <v>76</v>
      </c>
      <c r="P600" t="s">
        <v>133</v>
      </c>
      <c r="Q600">
        <v>0</v>
      </c>
      <c r="R600">
        <v>0</v>
      </c>
      <c r="S600">
        <v>10.119999999999999</v>
      </c>
      <c r="T600">
        <v>0</v>
      </c>
      <c r="U600">
        <v>0</v>
      </c>
      <c r="V600" t="s">
        <v>1790</v>
      </c>
      <c r="W600">
        <v>42544619</v>
      </c>
      <c r="X600" t="s">
        <v>86</v>
      </c>
      <c r="Y600" t="s">
        <v>1791</v>
      </c>
      <c r="Z600" t="b">
        <v>0</v>
      </c>
      <c r="AA600">
        <v>691.69960474308311</v>
      </c>
      <c r="AN600" t="e">
        <f>100*(1-E600/AL600)</f>
        <v>#DIV/0!</v>
      </c>
    </row>
    <row r="601" spans="1:40" x14ac:dyDescent="0.3">
      <c r="A601" t="s">
        <v>166</v>
      </c>
      <c r="B601" t="s">
        <v>1792</v>
      </c>
      <c r="C601" t="s">
        <v>1792</v>
      </c>
      <c r="D601" s="4">
        <v>46001</v>
      </c>
      <c r="E601">
        <v>95000</v>
      </c>
      <c r="F601" t="s">
        <v>339</v>
      </c>
      <c r="G601" t="s">
        <v>173</v>
      </c>
      <c r="H601" t="s">
        <v>111</v>
      </c>
      <c r="I601" t="s">
        <v>174</v>
      </c>
      <c r="J601" t="s">
        <v>175</v>
      </c>
      <c r="K601" t="s">
        <v>1793</v>
      </c>
      <c r="L601" t="s">
        <v>44</v>
      </c>
      <c r="M601" t="s">
        <v>1794</v>
      </c>
      <c r="N601">
        <v>34100</v>
      </c>
      <c r="O601" t="s">
        <v>45</v>
      </c>
      <c r="P601" t="s">
        <v>54</v>
      </c>
      <c r="Q601" t="s">
        <v>55</v>
      </c>
      <c r="R601">
        <v>0</v>
      </c>
      <c r="S601">
        <v>68.7</v>
      </c>
      <c r="T601">
        <v>0</v>
      </c>
      <c r="U601">
        <v>0</v>
      </c>
      <c r="V601" t="s">
        <v>1795</v>
      </c>
      <c r="W601">
        <v>110420195</v>
      </c>
      <c r="X601" t="s">
        <v>86</v>
      </c>
      <c r="Y601" t="s">
        <v>1796</v>
      </c>
      <c r="Z601" t="b">
        <v>0</v>
      </c>
      <c r="AA601">
        <v>1382.8238719068411</v>
      </c>
      <c r="AN601" t="e">
        <f>100*(1-E601/AL601)</f>
        <v>#DIV/0!</v>
      </c>
    </row>
    <row r="602" spans="1:40" x14ac:dyDescent="0.3">
      <c r="A602" t="s">
        <v>166</v>
      </c>
      <c r="B602" t="s">
        <v>1797</v>
      </c>
      <c r="C602" t="s">
        <v>1797</v>
      </c>
      <c r="D602" s="4">
        <v>46001</v>
      </c>
      <c r="E602">
        <v>90000</v>
      </c>
      <c r="F602" t="s">
        <v>1798</v>
      </c>
      <c r="G602" t="s">
        <v>238</v>
      </c>
      <c r="H602" t="s">
        <v>62</v>
      </c>
      <c r="I602" t="s">
        <v>238</v>
      </c>
      <c r="J602" t="s">
        <v>238</v>
      </c>
      <c r="K602" t="s">
        <v>1799</v>
      </c>
      <c r="L602" t="s">
        <v>44</v>
      </c>
      <c r="M602" t="s">
        <v>1800</v>
      </c>
      <c r="N602">
        <v>61100</v>
      </c>
      <c r="O602" t="s">
        <v>45</v>
      </c>
      <c r="P602" t="s">
        <v>54</v>
      </c>
      <c r="Q602" t="s">
        <v>100</v>
      </c>
      <c r="R602">
        <v>0</v>
      </c>
      <c r="S602">
        <v>89.46</v>
      </c>
      <c r="T602">
        <v>0</v>
      </c>
      <c r="U602">
        <v>0</v>
      </c>
      <c r="V602" t="s">
        <v>1801</v>
      </c>
      <c r="W602">
        <v>24588880</v>
      </c>
      <c r="X602" t="s">
        <v>86</v>
      </c>
      <c r="Y602" t="s">
        <v>1802</v>
      </c>
      <c r="Z602" t="b">
        <v>0</v>
      </c>
      <c r="AA602">
        <v>1006.036217303823</v>
      </c>
      <c r="AN602" t="e">
        <f>100*(1-E602/AL602)</f>
        <v>#DIV/0!</v>
      </c>
    </row>
    <row r="603" spans="1:40" x14ac:dyDescent="0.3">
      <c r="A603" t="s">
        <v>71</v>
      </c>
      <c r="B603" t="s">
        <v>1803</v>
      </c>
      <c r="C603" t="s">
        <v>1803</v>
      </c>
      <c r="D603" s="4">
        <v>46001</v>
      </c>
      <c r="E603">
        <v>30226</v>
      </c>
      <c r="F603" t="s">
        <v>1804</v>
      </c>
      <c r="G603" t="s">
        <v>1805</v>
      </c>
      <c r="H603" t="s">
        <v>111</v>
      </c>
      <c r="I603" t="s">
        <v>316</v>
      </c>
      <c r="J603" t="s">
        <v>113</v>
      </c>
      <c r="K603" t="s">
        <v>1806</v>
      </c>
      <c r="L603" t="s">
        <v>44</v>
      </c>
      <c r="M603" t="s">
        <v>1807</v>
      </c>
      <c r="N603">
        <v>35009</v>
      </c>
      <c r="O603" t="s">
        <v>97</v>
      </c>
      <c r="P603" t="s">
        <v>98</v>
      </c>
      <c r="Q603">
        <v>0</v>
      </c>
      <c r="R603">
        <v>0</v>
      </c>
      <c r="S603">
        <v>565.5</v>
      </c>
      <c r="T603">
        <v>0</v>
      </c>
      <c r="U603">
        <v>0</v>
      </c>
      <c r="V603" t="s">
        <v>1808</v>
      </c>
      <c r="W603" t="s">
        <v>1809</v>
      </c>
      <c r="X603" t="s">
        <v>86</v>
      </c>
      <c r="Y603" t="s">
        <v>1810</v>
      </c>
      <c r="Z603" t="b">
        <v>0</v>
      </c>
      <c r="AA603">
        <v>53.450044208664899</v>
      </c>
      <c r="AN603" t="e">
        <f>100*(1-E603/AL603)</f>
        <v>#DIV/0!</v>
      </c>
    </row>
    <row r="604" spans="1:40" x14ac:dyDescent="0.3">
      <c r="A604" t="s">
        <v>139</v>
      </c>
      <c r="B604" t="s">
        <v>1811</v>
      </c>
      <c r="C604" t="s">
        <v>1811</v>
      </c>
      <c r="D604" s="4">
        <v>46001</v>
      </c>
      <c r="E604">
        <v>75000</v>
      </c>
      <c r="F604" t="s">
        <v>1812</v>
      </c>
      <c r="G604" t="s">
        <v>478</v>
      </c>
      <c r="H604" t="s">
        <v>111</v>
      </c>
      <c r="I604" t="s">
        <v>377</v>
      </c>
      <c r="J604" t="s">
        <v>113</v>
      </c>
      <c r="K604" t="s">
        <v>1813</v>
      </c>
      <c r="L604" t="s">
        <v>44</v>
      </c>
      <c r="M604" t="s">
        <v>478</v>
      </c>
      <c r="N604">
        <v>35005</v>
      </c>
      <c r="O604" t="s">
        <v>45</v>
      </c>
      <c r="P604" t="s">
        <v>81</v>
      </c>
      <c r="Q604" t="s">
        <v>52</v>
      </c>
      <c r="R604">
        <v>0</v>
      </c>
      <c r="S604">
        <v>102</v>
      </c>
      <c r="T604">
        <v>0</v>
      </c>
      <c r="U604">
        <v>0</v>
      </c>
      <c r="V604" t="s">
        <v>1814</v>
      </c>
      <c r="W604">
        <v>13207270</v>
      </c>
      <c r="X604" t="s">
        <v>86</v>
      </c>
      <c r="Y604" t="s">
        <v>1815</v>
      </c>
      <c r="Z604" t="b">
        <v>0</v>
      </c>
      <c r="AA604">
        <v>735.29411764705878</v>
      </c>
      <c r="AN604" t="e">
        <f>100*(1-E604/AL604)</f>
        <v>#DIV/0!</v>
      </c>
    </row>
    <row r="605" spans="1:40" x14ac:dyDescent="0.3">
      <c r="A605" t="s">
        <v>39</v>
      </c>
      <c r="B605" t="s">
        <v>1816</v>
      </c>
      <c r="C605" t="s">
        <v>1816</v>
      </c>
      <c r="D605" s="4">
        <v>46001</v>
      </c>
      <c r="E605">
        <v>31000</v>
      </c>
      <c r="F605" t="s">
        <v>1817</v>
      </c>
      <c r="G605" t="s">
        <v>238</v>
      </c>
      <c r="H605" t="s">
        <v>62</v>
      </c>
      <c r="I605" t="s">
        <v>238</v>
      </c>
      <c r="J605" t="s">
        <v>238</v>
      </c>
      <c r="K605" t="s">
        <v>1818</v>
      </c>
      <c r="L605" t="s">
        <v>44</v>
      </c>
      <c r="M605" t="s">
        <v>83</v>
      </c>
      <c r="N605">
        <v>61100</v>
      </c>
      <c r="O605" t="s">
        <v>97</v>
      </c>
      <c r="P605" t="s">
        <v>98</v>
      </c>
      <c r="Q605">
        <v>0</v>
      </c>
      <c r="R605">
        <v>0</v>
      </c>
      <c r="S605">
        <v>2592.84</v>
      </c>
      <c r="T605">
        <v>0</v>
      </c>
      <c r="U605">
        <v>0</v>
      </c>
      <c r="V605" t="s">
        <v>1819</v>
      </c>
      <c r="W605">
        <v>114214298</v>
      </c>
      <c r="X605" t="s">
        <v>86</v>
      </c>
      <c r="Y605" t="s">
        <v>1820</v>
      </c>
      <c r="Z605" t="b">
        <v>0</v>
      </c>
      <c r="AA605">
        <v>11.956001912960311</v>
      </c>
      <c r="AN605" t="e">
        <f>100*(1-E605/AL605)</f>
        <v>#DIV/0!</v>
      </c>
    </row>
    <row r="606" spans="1:40" x14ac:dyDescent="0.3">
      <c r="A606" t="s">
        <v>59</v>
      </c>
      <c r="B606" t="s">
        <v>1821</v>
      </c>
      <c r="C606" t="s">
        <v>1821</v>
      </c>
      <c r="D606" s="4">
        <v>46001</v>
      </c>
      <c r="E606">
        <v>56000</v>
      </c>
      <c r="F606" t="s">
        <v>1822</v>
      </c>
      <c r="G606" t="s">
        <v>1823</v>
      </c>
      <c r="H606" t="s">
        <v>94</v>
      </c>
      <c r="I606" t="s">
        <v>1824</v>
      </c>
      <c r="J606" t="s">
        <v>96</v>
      </c>
      <c r="K606" t="s">
        <v>1825</v>
      </c>
      <c r="L606" t="s">
        <v>44</v>
      </c>
      <c r="M606" t="s">
        <v>1826</v>
      </c>
      <c r="N606">
        <v>70012</v>
      </c>
      <c r="O606" t="s">
        <v>45</v>
      </c>
      <c r="P606" t="s">
        <v>81</v>
      </c>
      <c r="Q606" t="s">
        <v>52</v>
      </c>
      <c r="R606">
        <v>0</v>
      </c>
      <c r="S606">
        <v>237.75</v>
      </c>
      <c r="T606">
        <v>0</v>
      </c>
      <c r="U606">
        <v>0</v>
      </c>
      <c r="V606" t="s">
        <v>1827</v>
      </c>
      <c r="W606">
        <v>78097432</v>
      </c>
      <c r="X606" t="s">
        <v>86</v>
      </c>
      <c r="Y606">
        <v>170321509019</v>
      </c>
      <c r="Z606" t="b">
        <v>0</v>
      </c>
      <c r="AA606">
        <v>235.5415352260778</v>
      </c>
      <c r="AN606" t="e">
        <f>100*(1-E606/AL606)</f>
        <v>#DIV/0!</v>
      </c>
    </row>
    <row r="607" spans="1:40" x14ac:dyDescent="0.3">
      <c r="A607" t="s">
        <v>215</v>
      </c>
      <c r="B607" t="s">
        <v>1828</v>
      </c>
      <c r="C607" t="s">
        <v>1828</v>
      </c>
      <c r="D607" s="4">
        <v>46001</v>
      </c>
      <c r="E607">
        <v>42000</v>
      </c>
      <c r="F607" t="s">
        <v>1829</v>
      </c>
      <c r="G607" t="s">
        <v>61</v>
      </c>
      <c r="H607" t="s">
        <v>62</v>
      </c>
      <c r="I607" t="s">
        <v>63</v>
      </c>
      <c r="J607" t="s">
        <v>63</v>
      </c>
      <c r="K607" t="s">
        <v>1830</v>
      </c>
      <c r="L607" t="s">
        <v>44</v>
      </c>
      <c r="M607" t="s">
        <v>1831</v>
      </c>
      <c r="N607">
        <v>54627</v>
      </c>
      <c r="O607" t="s">
        <v>45</v>
      </c>
      <c r="P607" t="s">
        <v>54</v>
      </c>
      <c r="Q607" t="s">
        <v>1321</v>
      </c>
      <c r="R607">
        <v>0</v>
      </c>
      <c r="S607">
        <v>27.52</v>
      </c>
      <c r="T607">
        <v>0</v>
      </c>
      <c r="U607">
        <v>0</v>
      </c>
      <c r="V607" t="s">
        <v>1832</v>
      </c>
      <c r="W607">
        <v>25294548</v>
      </c>
      <c r="X607" t="s">
        <v>86</v>
      </c>
      <c r="Y607" t="s">
        <v>1833</v>
      </c>
      <c r="Z607" t="b">
        <v>0</v>
      </c>
      <c r="AA607">
        <v>1526.1627906976739</v>
      </c>
      <c r="AN607" t="e">
        <f>100*(1-E607/AL607)</f>
        <v>#DIV/0!</v>
      </c>
    </row>
    <row r="608" spans="1:40" x14ac:dyDescent="0.3">
      <c r="A608" t="s">
        <v>71</v>
      </c>
      <c r="B608" t="s">
        <v>1834</v>
      </c>
      <c r="C608" t="s">
        <v>1834</v>
      </c>
      <c r="D608" s="4">
        <v>46001</v>
      </c>
      <c r="E608">
        <v>30000</v>
      </c>
      <c r="F608" t="s">
        <v>99</v>
      </c>
      <c r="G608" t="s">
        <v>110</v>
      </c>
      <c r="H608" t="s">
        <v>111</v>
      </c>
      <c r="I608" t="s">
        <v>112</v>
      </c>
      <c r="J608" t="s">
        <v>113</v>
      </c>
      <c r="K608" t="s">
        <v>1835</v>
      </c>
      <c r="L608" t="s">
        <v>44</v>
      </c>
      <c r="M608" t="s">
        <v>1836</v>
      </c>
      <c r="N608">
        <v>35100</v>
      </c>
      <c r="O608" t="s">
        <v>45</v>
      </c>
      <c r="P608" t="s">
        <v>54</v>
      </c>
      <c r="Q608" t="s">
        <v>52</v>
      </c>
      <c r="R608">
        <v>0</v>
      </c>
      <c r="S608">
        <v>68.400000000000006</v>
      </c>
      <c r="T608">
        <v>0</v>
      </c>
      <c r="U608">
        <v>0</v>
      </c>
      <c r="V608" t="s">
        <v>1837</v>
      </c>
      <c r="W608" t="s">
        <v>1838</v>
      </c>
      <c r="X608" t="s">
        <v>86</v>
      </c>
      <c r="Y608" t="s">
        <v>1839</v>
      </c>
      <c r="Z608" t="b">
        <v>0</v>
      </c>
      <c r="AA608">
        <v>438.59649122807008</v>
      </c>
      <c r="AN608" t="e">
        <f>100*(1-E608/AL608)</f>
        <v>#DIV/0!</v>
      </c>
    </row>
    <row r="609" spans="1:40" x14ac:dyDescent="0.3">
      <c r="A609" t="s">
        <v>71</v>
      </c>
      <c r="B609" t="s">
        <v>1840</v>
      </c>
      <c r="C609" t="s">
        <v>1840</v>
      </c>
      <c r="D609" s="4">
        <v>46001</v>
      </c>
      <c r="E609">
        <v>153000</v>
      </c>
      <c r="F609" t="s">
        <v>1841</v>
      </c>
      <c r="G609" t="s">
        <v>1842</v>
      </c>
      <c r="H609" t="s">
        <v>67</v>
      </c>
      <c r="I609" t="s">
        <v>379</v>
      </c>
      <c r="J609" t="s">
        <v>67</v>
      </c>
      <c r="K609" t="s">
        <v>1843</v>
      </c>
      <c r="L609" t="s">
        <v>44</v>
      </c>
      <c r="M609" t="s">
        <v>1844</v>
      </c>
      <c r="N609">
        <v>19001</v>
      </c>
      <c r="O609" t="s">
        <v>97</v>
      </c>
      <c r="P609" t="s">
        <v>98</v>
      </c>
      <c r="Q609">
        <v>0</v>
      </c>
      <c r="R609">
        <v>0</v>
      </c>
      <c r="S609">
        <v>1172.95</v>
      </c>
      <c r="T609">
        <v>0</v>
      </c>
      <c r="U609">
        <v>0</v>
      </c>
      <c r="V609" t="s">
        <v>1845</v>
      </c>
      <c r="W609">
        <v>45446367</v>
      </c>
      <c r="X609" t="s">
        <v>86</v>
      </c>
      <c r="Y609" t="s">
        <v>1846</v>
      </c>
      <c r="Z609" t="b">
        <v>0</v>
      </c>
      <c r="AA609">
        <v>130.4403427256064</v>
      </c>
      <c r="AN609" t="e">
        <f>100*(1-E609/AL609)</f>
        <v>#DIV/0!</v>
      </c>
    </row>
    <row r="610" spans="1:40" x14ac:dyDescent="0.3">
      <c r="A610" t="s">
        <v>71</v>
      </c>
      <c r="B610" t="s">
        <v>1847</v>
      </c>
      <c r="C610" t="s">
        <v>1847</v>
      </c>
      <c r="D610" s="4">
        <v>46001</v>
      </c>
      <c r="E610">
        <v>300000</v>
      </c>
      <c r="F610" t="s">
        <v>1848</v>
      </c>
      <c r="G610" t="s">
        <v>404</v>
      </c>
      <c r="H610" t="s">
        <v>124</v>
      </c>
      <c r="I610" t="s">
        <v>405</v>
      </c>
      <c r="J610" t="s">
        <v>126</v>
      </c>
      <c r="K610" t="s">
        <v>1849</v>
      </c>
      <c r="L610" t="s">
        <v>44</v>
      </c>
      <c r="M610" t="s">
        <v>1850</v>
      </c>
      <c r="N610">
        <v>26500</v>
      </c>
      <c r="O610" t="s">
        <v>45</v>
      </c>
      <c r="P610" t="s">
        <v>288</v>
      </c>
      <c r="Q610" t="s">
        <v>55</v>
      </c>
      <c r="R610">
        <v>0</v>
      </c>
      <c r="S610">
        <v>276</v>
      </c>
      <c r="T610">
        <v>0</v>
      </c>
      <c r="U610">
        <v>0</v>
      </c>
      <c r="V610" t="s">
        <v>1851</v>
      </c>
      <c r="W610">
        <v>46871204</v>
      </c>
      <c r="X610" t="s">
        <v>86</v>
      </c>
      <c r="Y610" t="s">
        <v>1852</v>
      </c>
      <c r="Z610" t="b">
        <v>0</v>
      </c>
      <c r="AA610">
        <v>1086.95652173913</v>
      </c>
      <c r="AN610" t="e">
        <f>100*(1-E610/AL610)</f>
        <v>#DIV/0!</v>
      </c>
    </row>
    <row r="611" spans="1:40" x14ac:dyDescent="0.3">
      <c r="A611" t="s">
        <v>215</v>
      </c>
      <c r="B611" t="s">
        <v>1787</v>
      </c>
      <c r="C611" t="s">
        <v>1787</v>
      </c>
      <c r="D611" s="4">
        <v>46001</v>
      </c>
      <c r="E611">
        <v>7000</v>
      </c>
      <c r="F611" t="s">
        <v>365</v>
      </c>
      <c r="G611" t="s">
        <v>194</v>
      </c>
      <c r="H611" t="s">
        <v>67</v>
      </c>
      <c r="I611" t="s">
        <v>195</v>
      </c>
      <c r="J611" t="s">
        <v>67</v>
      </c>
      <c r="K611" t="s">
        <v>1788</v>
      </c>
      <c r="L611" t="s">
        <v>44</v>
      </c>
      <c r="M611" t="s">
        <v>1789</v>
      </c>
      <c r="N611">
        <v>18545</v>
      </c>
      <c r="O611" t="s">
        <v>76</v>
      </c>
      <c r="P611" t="s">
        <v>133</v>
      </c>
      <c r="Q611">
        <v>0</v>
      </c>
      <c r="R611">
        <v>0</v>
      </c>
      <c r="S611">
        <v>10.119999999999999</v>
      </c>
      <c r="T611">
        <v>0</v>
      </c>
      <c r="U611">
        <v>0</v>
      </c>
      <c r="V611" t="s">
        <v>1790</v>
      </c>
      <c r="W611">
        <v>42544619</v>
      </c>
      <c r="X611" t="s">
        <v>86</v>
      </c>
      <c r="Y611" t="s">
        <v>1791</v>
      </c>
      <c r="Z611" t="b">
        <v>0</v>
      </c>
      <c r="AA611">
        <v>691.69960474308311</v>
      </c>
      <c r="AN611" t="e">
        <f>100*(1-E611/AL611)</f>
        <v>#DIV/0!</v>
      </c>
    </row>
    <row r="612" spans="1:40" x14ac:dyDescent="0.3">
      <c r="A612" t="s">
        <v>71</v>
      </c>
      <c r="B612" t="s">
        <v>1853</v>
      </c>
      <c r="C612" t="s">
        <v>1853</v>
      </c>
      <c r="D612" s="4">
        <v>46001</v>
      </c>
      <c r="E612">
        <v>63000</v>
      </c>
      <c r="F612" t="s">
        <v>1854</v>
      </c>
      <c r="G612" t="s">
        <v>1855</v>
      </c>
      <c r="H612" t="s">
        <v>152</v>
      </c>
      <c r="I612" t="s">
        <v>780</v>
      </c>
      <c r="J612" t="s">
        <v>172</v>
      </c>
      <c r="K612" t="s">
        <v>1856</v>
      </c>
      <c r="L612" t="s">
        <v>44</v>
      </c>
      <c r="M612" t="s">
        <v>1857</v>
      </c>
      <c r="N612">
        <v>21200</v>
      </c>
      <c r="O612" t="s">
        <v>97</v>
      </c>
      <c r="P612" t="s">
        <v>98</v>
      </c>
      <c r="Q612">
        <v>0</v>
      </c>
      <c r="R612">
        <v>0</v>
      </c>
      <c r="S612">
        <v>3707.17</v>
      </c>
      <c r="T612">
        <v>0</v>
      </c>
      <c r="U612">
        <v>0</v>
      </c>
      <c r="V612" t="s">
        <v>1858</v>
      </c>
      <c r="W612">
        <v>25367938</v>
      </c>
      <c r="X612" t="s">
        <v>86</v>
      </c>
      <c r="Y612" t="s">
        <v>1859</v>
      </c>
      <c r="Z612" t="b">
        <v>0</v>
      </c>
      <c r="AA612">
        <v>16.994095226277729</v>
      </c>
      <c r="AN612" t="e">
        <f>100*(1-E612/AL612)</f>
        <v>#DIV/0!</v>
      </c>
    </row>
    <row r="613" spans="1:40" x14ac:dyDescent="0.3">
      <c r="A613" t="s">
        <v>215</v>
      </c>
      <c r="B613" t="s">
        <v>1787</v>
      </c>
      <c r="C613" t="s">
        <v>1787</v>
      </c>
      <c r="D613" s="4">
        <v>46001</v>
      </c>
      <c r="E613">
        <v>7000</v>
      </c>
      <c r="F613" t="s">
        <v>365</v>
      </c>
      <c r="G613" t="s">
        <v>194</v>
      </c>
      <c r="H613" t="s">
        <v>67</v>
      </c>
      <c r="I613" t="s">
        <v>195</v>
      </c>
      <c r="J613" t="s">
        <v>67</v>
      </c>
      <c r="K613" t="s">
        <v>1788</v>
      </c>
      <c r="L613" t="s">
        <v>44</v>
      </c>
      <c r="M613" t="s">
        <v>1789</v>
      </c>
      <c r="N613">
        <v>18545</v>
      </c>
      <c r="O613" t="s">
        <v>76</v>
      </c>
      <c r="P613" t="s">
        <v>133</v>
      </c>
      <c r="Q613">
        <v>0</v>
      </c>
      <c r="R613">
        <v>0</v>
      </c>
      <c r="S613">
        <v>10.119999999999999</v>
      </c>
      <c r="T613">
        <v>0</v>
      </c>
      <c r="U613">
        <v>0</v>
      </c>
      <c r="V613" t="s">
        <v>1790</v>
      </c>
      <c r="W613">
        <v>42544619</v>
      </c>
      <c r="X613" t="s">
        <v>86</v>
      </c>
      <c r="Y613" t="s">
        <v>1791</v>
      </c>
      <c r="Z613" t="b">
        <v>0</v>
      </c>
      <c r="AA613">
        <v>691.69960474308311</v>
      </c>
      <c r="AN613" t="e">
        <f>100*(1-E613/AL613)</f>
        <v>#DIV/0!</v>
      </c>
    </row>
    <row r="614" spans="1:40" x14ac:dyDescent="0.3">
      <c r="A614" t="s">
        <v>139</v>
      </c>
      <c r="B614" t="s">
        <v>1860</v>
      </c>
      <c r="C614" t="s">
        <v>1860</v>
      </c>
      <c r="D614" s="4">
        <v>46001</v>
      </c>
      <c r="E614">
        <v>18000</v>
      </c>
      <c r="F614" t="s">
        <v>1861</v>
      </c>
      <c r="G614" t="s">
        <v>180</v>
      </c>
      <c r="H614" t="s">
        <v>152</v>
      </c>
      <c r="I614" t="s">
        <v>181</v>
      </c>
      <c r="J614" t="s">
        <v>172</v>
      </c>
      <c r="K614" t="s">
        <v>1862</v>
      </c>
      <c r="L614" t="s">
        <v>44</v>
      </c>
      <c r="M614" t="s">
        <v>1863</v>
      </c>
      <c r="N614">
        <v>21052</v>
      </c>
      <c r="O614" t="s">
        <v>45</v>
      </c>
      <c r="P614" t="s">
        <v>81</v>
      </c>
      <c r="Q614" t="s">
        <v>52</v>
      </c>
      <c r="R614">
        <v>0</v>
      </c>
      <c r="S614">
        <v>54</v>
      </c>
      <c r="T614">
        <v>0</v>
      </c>
      <c r="U614">
        <v>0</v>
      </c>
      <c r="V614" t="s">
        <v>1864</v>
      </c>
      <c r="W614">
        <v>19079844</v>
      </c>
      <c r="X614" t="s">
        <v>86</v>
      </c>
      <c r="Y614" t="s">
        <v>1865</v>
      </c>
      <c r="Z614" t="b">
        <v>0</v>
      </c>
      <c r="AA614">
        <v>333.33333333333331</v>
      </c>
      <c r="AN614" t="e">
        <f>100*(1-E614/AL614)</f>
        <v>#DIV/0!</v>
      </c>
    </row>
    <row r="615" spans="1:40" x14ac:dyDescent="0.3">
      <c r="A615" t="s">
        <v>166</v>
      </c>
      <c r="B615" t="s">
        <v>1866</v>
      </c>
      <c r="C615" t="s">
        <v>1866</v>
      </c>
      <c r="D615" s="4">
        <v>46001</v>
      </c>
      <c r="E615">
        <v>77000</v>
      </c>
      <c r="F615" t="s">
        <v>1867</v>
      </c>
      <c r="G615" t="s">
        <v>178</v>
      </c>
      <c r="H615" t="s">
        <v>111</v>
      </c>
      <c r="I615" t="s">
        <v>179</v>
      </c>
      <c r="J615" t="s">
        <v>175</v>
      </c>
      <c r="K615" t="s">
        <v>1868</v>
      </c>
      <c r="L615" t="s">
        <v>44</v>
      </c>
      <c r="M615" t="s">
        <v>1869</v>
      </c>
      <c r="N615">
        <v>34001</v>
      </c>
      <c r="O615" t="s">
        <v>331</v>
      </c>
      <c r="P615" t="s">
        <v>331</v>
      </c>
      <c r="Q615" t="s">
        <v>55</v>
      </c>
      <c r="R615">
        <v>0</v>
      </c>
      <c r="S615">
        <v>138</v>
      </c>
      <c r="T615">
        <v>0</v>
      </c>
      <c r="U615">
        <v>0</v>
      </c>
      <c r="V615" t="s">
        <v>1870</v>
      </c>
      <c r="W615">
        <v>50433157</v>
      </c>
      <c r="X615" t="s">
        <v>86</v>
      </c>
      <c r="Y615" t="s">
        <v>1871</v>
      </c>
      <c r="Z615" t="b">
        <v>0</v>
      </c>
      <c r="AA615">
        <v>557.97101449275362</v>
      </c>
      <c r="AN615" t="e">
        <f>100*(1-E615/AL615)</f>
        <v>#DIV/0!</v>
      </c>
    </row>
    <row r="616" spans="1:40" x14ac:dyDescent="0.3">
      <c r="A616" t="s">
        <v>71</v>
      </c>
      <c r="B616" t="s">
        <v>1872</v>
      </c>
      <c r="C616" t="s">
        <v>1872</v>
      </c>
      <c r="D616" s="4">
        <v>46001</v>
      </c>
      <c r="E616">
        <v>120000</v>
      </c>
      <c r="F616" t="s">
        <v>1873</v>
      </c>
      <c r="G616" t="s">
        <v>1874</v>
      </c>
      <c r="H616" t="s">
        <v>111</v>
      </c>
      <c r="I616" t="s">
        <v>185</v>
      </c>
      <c r="J616" t="s">
        <v>175</v>
      </c>
      <c r="K616" t="s">
        <v>1875</v>
      </c>
      <c r="L616" t="s">
        <v>44</v>
      </c>
      <c r="M616" t="s">
        <v>1876</v>
      </c>
      <c r="N616">
        <v>34012</v>
      </c>
      <c r="O616" t="s">
        <v>97</v>
      </c>
      <c r="P616" t="s">
        <v>98</v>
      </c>
      <c r="Q616">
        <v>0</v>
      </c>
      <c r="R616">
        <v>0</v>
      </c>
      <c r="S616">
        <v>1364</v>
      </c>
      <c r="T616">
        <v>0</v>
      </c>
      <c r="U616">
        <v>0</v>
      </c>
      <c r="V616" t="s">
        <v>1877</v>
      </c>
      <c r="W616">
        <v>37542091</v>
      </c>
      <c r="X616" t="s">
        <v>86</v>
      </c>
      <c r="Y616">
        <v>121640202007</v>
      </c>
      <c r="Z616" t="b">
        <v>0</v>
      </c>
      <c r="AA616">
        <v>87.976539589442808</v>
      </c>
      <c r="AN616" t="e">
        <f>100*(1-E616/AL616)</f>
        <v>#DIV/0!</v>
      </c>
    </row>
    <row r="617" spans="1:40" x14ac:dyDescent="0.3">
      <c r="A617" t="s">
        <v>166</v>
      </c>
      <c r="B617" t="s">
        <v>1878</v>
      </c>
      <c r="C617" t="s">
        <v>1878</v>
      </c>
      <c r="D617" s="4">
        <v>46001</v>
      </c>
      <c r="E617">
        <v>76000</v>
      </c>
      <c r="F617" t="s">
        <v>1879</v>
      </c>
      <c r="G617" t="s">
        <v>267</v>
      </c>
      <c r="H617" t="s">
        <v>67</v>
      </c>
      <c r="I617" t="s">
        <v>96</v>
      </c>
      <c r="J617" t="s">
        <v>67</v>
      </c>
      <c r="K617" t="s">
        <v>1880</v>
      </c>
      <c r="L617" t="s">
        <v>44</v>
      </c>
      <c r="M617" t="s">
        <v>1881</v>
      </c>
      <c r="N617">
        <v>14121</v>
      </c>
      <c r="O617" t="s">
        <v>45</v>
      </c>
      <c r="P617" t="s">
        <v>54</v>
      </c>
      <c r="Q617" t="s">
        <v>55</v>
      </c>
      <c r="R617">
        <v>0</v>
      </c>
      <c r="S617">
        <v>54.57</v>
      </c>
      <c r="T617" t="s">
        <v>161</v>
      </c>
      <c r="U617">
        <v>100</v>
      </c>
      <c r="V617" t="s">
        <v>1882</v>
      </c>
      <c r="W617">
        <v>67306610</v>
      </c>
      <c r="X617" t="s">
        <v>86</v>
      </c>
      <c r="Y617" t="s">
        <v>1883</v>
      </c>
      <c r="Z617" t="b">
        <v>0</v>
      </c>
      <c r="AA617">
        <v>1392.7066153564231</v>
      </c>
      <c r="AN617" t="e">
        <f>100*(1-E617/AL617)</f>
        <v>#DIV/0!</v>
      </c>
    </row>
    <row r="618" spans="1:40" x14ac:dyDescent="0.3">
      <c r="A618" t="s">
        <v>139</v>
      </c>
      <c r="B618" t="s">
        <v>1884</v>
      </c>
      <c r="C618" t="s">
        <v>1884</v>
      </c>
      <c r="D618" s="4">
        <v>46001</v>
      </c>
      <c r="E618">
        <v>128000</v>
      </c>
      <c r="F618" t="s">
        <v>1885</v>
      </c>
      <c r="G618" t="s">
        <v>194</v>
      </c>
      <c r="H618" t="s">
        <v>67</v>
      </c>
      <c r="I618" t="s">
        <v>195</v>
      </c>
      <c r="J618" t="s">
        <v>67</v>
      </c>
      <c r="K618" t="s">
        <v>1886</v>
      </c>
      <c r="L618" t="s">
        <v>44</v>
      </c>
      <c r="M618" t="s">
        <v>1887</v>
      </c>
      <c r="N618">
        <v>18542</v>
      </c>
      <c r="O618" t="s">
        <v>45</v>
      </c>
      <c r="P618" t="s">
        <v>54</v>
      </c>
      <c r="Q618" t="s">
        <v>64</v>
      </c>
      <c r="R618">
        <v>0</v>
      </c>
      <c r="S618">
        <v>74.28</v>
      </c>
      <c r="T618">
        <v>0</v>
      </c>
      <c r="U618">
        <v>0</v>
      </c>
      <c r="V618" t="s">
        <v>1888</v>
      </c>
      <c r="W618">
        <v>125150311</v>
      </c>
      <c r="X618" t="s">
        <v>86</v>
      </c>
      <c r="Y618" t="s">
        <v>1889</v>
      </c>
      <c r="Z618" t="b">
        <v>0</v>
      </c>
      <c r="AA618">
        <v>1723.2094776521269</v>
      </c>
      <c r="AN618" t="e">
        <f>100*(1-E618/AL618)</f>
        <v>#DIV/0!</v>
      </c>
    </row>
    <row r="619" spans="1:40" x14ac:dyDescent="0.3">
      <c r="A619" t="s">
        <v>166</v>
      </c>
      <c r="B619" t="s">
        <v>1890</v>
      </c>
      <c r="C619" t="s">
        <v>1890</v>
      </c>
      <c r="D619" s="4">
        <v>46001</v>
      </c>
      <c r="E619">
        <v>190000</v>
      </c>
      <c r="F619" t="s">
        <v>1891</v>
      </c>
      <c r="G619" t="s">
        <v>115</v>
      </c>
      <c r="H619" t="s">
        <v>67</v>
      </c>
      <c r="I619" t="s">
        <v>116</v>
      </c>
      <c r="J619" t="s">
        <v>67</v>
      </c>
      <c r="K619" t="s">
        <v>1892</v>
      </c>
      <c r="L619" t="s">
        <v>44</v>
      </c>
      <c r="M619" t="s">
        <v>1893</v>
      </c>
      <c r="N619">
        <v>11362</v>
      </c>
      <c r="O619" t="s">
        <v>45</v>
      </c>
      <c r="P619" t="s">
        <v>54</v>
      </c>
      <c r="Q619" t="s">
        <v>64</v>
      </c>
      <c r="R619">
        <v>0</v>
      </c>
      <c r="S619">
        <v>118.02</v>
      </c>
      <c r="T619">
        <v>0</v>
      </c>
      <c r="U619">
        <v>0</v>
      </c>
      <c r="V619" t="s">
        <v>1894</v>
      </c>
      <c r="W619" t="s">
        <v>1895</v>
      </c>
      <c r="X619" t="s">
        <v>86</v>
      </c>
      <c r="Y619" t="s">
        <v>1896</v>
      </c>
      <c r="Z619" t="b">
        <v>0</v>
      </c>
      <c r="AA619">
        <v>1609.896627690222</v>
      </c>
      <c r="AN619" t="e">
        <f>100*(1-E619/AL619)</f>
        <v>#DIV/0!</v>
      </c>
    </row>
    <row r="620" spans="1:40" x14ac:dyDescent="0.3">
      <c r="A620" t="s">
        <v>166</v>
      </c>
      <c r="B620" t="s">
        <v>1897</v>
      </c>
      <c r="C620" t="s">
        <v>1897</v>
      </c>
      <c r="D620" s="4">
        <v>46001</v>
      </c>
      <c r="E620">
        <v>41000</v>
      </c>
      <c r="F620" t="s">
        <v>1898</v>
      </c>
      <c r="G620" t="s">
        <v>359</v>
      </c>
      <c r="H620" t="s">
        <v>136</v>
      </c>
      <c r="I620" t="s">
        <v>360</v>
      </c>
      <c r="J620" t="s">
        <v>361</v>
      </c>
      <c r="K620" t="s">
        <v>1899</v>
      </c>
      <c r="L620" t="s">
        <v>44</v>
      </c>
      <c r="M620" t="s">
        <v>1900</v>
      </c>
      <c r="N620">
        <v>43300</v>
      </c>
      <c r="O620" t="s">
        <v>45</v>
      </c>
      <c r="P620" t="s">
        <v>81</v>
      </c>
      <c r="Q620" t="s">
        <v>52</v>
      </c>
      <c r="R620">
        <v>0</v>
      </c>
      <c r="S620">
        <v>80</v>
      </c>
      <c r="T620">
        <v>0</v>
      </c>
      <c r="U620">
        <v>0</v>
      </c>
      <c r="V620" t="s">
        <v>1901</v>
      </c>
      <c r="W620">
        <v>67213048</v>
      </c>
      <c r="X620" t="s">
        <v>86</v>
      </c>
      <c r="Y620" t="s">
        <v>1902</v>
      </c>
      <c r="Z620" t="b">
        <v>0</v>
      </c>
      <c r="AA620">
        <v>512.5</v>
      </c>
      <c r="AN620" t="e">
        <f>100*(1-E620/AL620)</f>
        <v>#DIV/0!</v>
      </c>
    </row>
    <row r="621" spans="1:40" x14ac:dyDescent="0.3">
      <c r="A621" t="s">
        <v>166</v>
      </c>
      <c r="B621" t="s">
        <v>1903</v>
      </c>
      <c r="C621" t="s">
        <v>1903</v>
      </c>
      <c r="D621" s="4">
        <v>46001</v>
      </c>
      <c r="E621">
        <v>120000</v>
      </c>
      <c r="F621" t="s">
        <v>1665</v>
      </c>
      <c r="G621" t="s">
        <v>61</v>
      </c>
      <c r="H621" t="s">
        <v>62</v>
      </c>
      <c r="I621" t="s">
        <v>63</v>
      </c>
      <c r="J621" t="s">
        <v>63</v>
      </c>
      <c r="K621" t="s">
        <v>1904</v>
      </c>
      <c r="L621" t="s">
        <v>44</v>
      </c>
      <c r="M621" t="s">
        <v>1905</v>
      </c>
      <c r="N621">
        <v>54641</v>
      </c>
      <c r="O621" t="s">
        <v>45</v>
      </c>
      <c r="P621" t="s">
        <v>54</v>
      </c>
      <c r="Q621" t="s">
        <v>85</v>
      </c>
      <c r="R621">
        <v>0</v>
      </c>
      <c r="S621">
        <v>81.3</v>
      </c>
      <c r="T621">
        <v>0</v>
      </c>
      <c r="U621">
        <v>0</v>
      </c>
      <c r="V621" t="s">
        <v>1906</v>
      </c>
      <c r="W621">
        <v>50033635</v>
      </c>
      <c r="X621" t="s">
        <v>86</v>
      </c>
      <c r="Y621" t="s">
        <v>1907</v>
      </c>
      <c r="Z621" t="b">
        <v>0</v>
      </c>
      <c r="AA621">
        <v>1476.014760147601</v>
      </c>
      <c r="AN621" t="e">
        <f>100*(1-E621/AL621)</f>
        <v>#DIV/0!</v>
      </c>
    </row>
    <row r="622" spans="1:40" x14ac:dyDescent="0.3">
      <c r="A622" t="s">
        <v>278</v>
      </c>
      <c r="B622" t="s">
        <v>1908</v>
      </c>
      <c r="C622" t="s">
        <v>1908</v>
      </c>
      <c r="D622" s="4">
        <v>46001</v>
      </c>
      <c r="E622">
        <v>143000</v>
      </c>
      <c r="F622" t="s">
        <v>1909</v>
      </c>
      <c r="G622" t="s">
        <v>267</v>
      </c>
      <c r="H622" t="s">
        <v>67</v>
      </c>
      <c r="I622" t="s">
        <v>96</v>
      </c>
      <c r="J622" t="s">
        <v>67</v>
      </c>
      <c r="K622" t="s">
        <v>1910</v>
      </c>
      <c r="L622" t="s">
        <v>44</v>
      </c>
      <c r="M622" t="s">
        <v>1911</v>
      </c>
      <c r="N622">
        <v>14121</v>
      </c>
      <c r="O622" t="s">
        <v>45</v>
      </c>
      <c r="P622" t="s">
        <v>54</v>
      </c>
      <c r="Q622" t="s">
        <v>100</v>
      </c>
      <c r="R622">
        <v>0</v>
      </c>
      <c r="S622">
        <v>83</v>
      </c>
      <c r="T622" t="s">
        <v>161</v>
      </c>
      <c r="U622">
        <v>100</v>
      </c>
      <c r="V622" t="s">
        <v>1912</v>
      </c>
      <c r="W622">
        <v>50499750</v>
      </c>
      <c r="X622" t="s">
        <v>86</v>
      </c>
      <c r="Y622" t="s">
        <v>1913</v>
      </c>
      <c r="Z622" t="b">
        <v>0</v>
      </c>
      <c r="AA622">
        <v>1722.89156626506</v>
      </c>
      <c r="AN622" t="e">
        <f>100*(1-E622/AL622)</f>
        <v>#DIV/0!</v>
      </c>
    </row>
    <row r="623" spans="1:40" x14ac:dyDescent="0.3">
      <c r="A623" t="s">
        <v>59</v>
      </c>
      <c r="B623" t="s">
        <v>1914</v>
      </c>
      <c r="C623" t="s">
        <v>1914</v>
      </c>
      <c r="D623" s="4">
        <v>46001</v>
      </c>
      <c r="E623">
        <v>32500</v>
      </c>
      <c r="F623" t="s">
        <v>1915</v>
      </c>
      <c r="G623" t="s">
        <v>440</v>
      </c>
      <c r="H623" t="s">
        <v>111</v>
      </c>
      <c r="I623" t="s">
        <v>377</v>
      </c>
      <c r="J623" t="s">
        <v>113</v>
      </c>
      <c r="K623" t="s">
        <v>1916</v>
      </c>
      <c r="L623" t="s">
        <v>44</v>
      </c>
      <c r="M623" t="s">
        <v>1917</v>
      </c>
      <c r="N623">
        <v>35001</v>
      </c>
      <c r="O623" t="s">
        <v>97</v>
      </c>
      <c r="P623" t="s">
        <v>98</v>
      </c>
      <c r="Q623">
        <v>0</v>
      </c>
      <c r="R623">
        <v>0</v>
      </c>
      <c r="S623">
        <v>1090</v>
      </c>
      <c r="T623">
        <v>0</v>
      </c>
      <c r="U623">
        <v>0</v>
      </c>
      <c r="V623" t="s">
        <v>1918</v>
      </c>
      <c r="W623">
        <v>107089259</v>
      </c>
      <c r="X623" t="s">
        <v>49</v>
      </c>
      <c r="Y623" t="s">
        <v>1919</v>
      </c>
      <c r="Z623" t="b">
        <v>0</v>
      </c>
      <c r="AA623">
        <v>29.816513761467888</v>
      </c>
      <c r="AN623" t="e">
        <f>100*(1-E623/AL623)</f>
        <v>#DIV/0!</v>
      </c>
    </row>
    <row r="624" spans="1:40" x14ac:dyDescent="0.3">
      <c r="A624" t="s">
        <v>39</v>
      </c>
      <c r="B624" t="s">
        <v>1920</v>
      </c>
      <c r="C624" t="s">
        <v>1920</v>
      </c>
      <c r="D624" s="4">
        <v>46001</v>
      </c>
      <c r="E624">
        <v>10000</v>
      </c>
      <c r="F624" t="s">
        <v>1921</v>
      </c>
      <c r="G624" t="s">
        <v>401</v>
      </c>
      <c r="H624" t="s">
        <v>62</v>
      </c>
      <c r="I624" t="s">
        <v>402</v>
      </c>
      <c r="J624" t="s">
        <v>108</v>
      </c>
      <c r="K624" t="s">
        <v>1922</v>
      </c>
      <c r="L624" t="s">
        <v>44</v>
      </c>
      <c r="M624" t="s">
        <v>1923</v>
      </c>
      <c r="N624">
        <v>59031</v>
      </c>
      <c r="O624" t="s">
        <v>97</v>
      </c>
      <c r="P624" t="s">
        <v>98</v>
      </c>
      <c r="Q624">
        <v>0</v>
      </c>
      <c r="R624">
        <v>0</v>
      </c>
      <c r="S624">
        <v>701</v>
      </c>
      <c r="T624">
        <v>0</v>
      </c>
      <c r="U624">
        <v>0</v>
      </c>
      <c r="V624" t="s">
        <v>1924</v>
      </c>
      <c r="W624">
        <v>39805420</v>
      </c>
      <c r="X624" t="s">
        <v>86</v>
      </c>
      <c r="Y624" t="s">
        <v>1925</v>
      </c>
      <c r="Z624" t="b">
        <v>0</v>
      </c>
      <c r="AA624">
        <v>14.26533523537803</v>
      </c>
      <c r="AN624" t="e">
        <f>100*(1-E624/AL624)</f>
        <v>#DIV/0!</v>
      </c>
    </row>
    <row r="625" spans="1:40" x14ac:dyDescent="0.3">
      <c r="A625" t="s">
        <v>39</v>
      </c>
      <c r="B625" t="s">
        <v>1920</v>
      </c>
      <c r="C625" t="s">
        <v>1920</v>
      </c>
      <c r="D625" s="4">
        <v>46001</v>
      </c>
      <c r="E625">
        <v>10000</v>
      </c>
      <c r="F625" t="s">
        <v>1921</v>
      </c>
      <c r="G625" t="s">
        <v>401</v>
      </c>
      <c r="H625" t="s">
        <v>62</v>
      </c>
      <c r="I625" t="s">
        <v>402</v>
      </c>
      <c r="J625" t="s">
        <v>108</v>
      </c>
      <c r="K625" t="s">
        <v>1922</v>
      </c>
      <c r="L625" t="s">
        <v>44</v>
      </c>
      <c r="M625" t="s">
        <v>1923</v>
      </c>
      <c r="N625">
        <v>59031</v>
      </c>
      <c r="O625" t="s">
        <v>97</v>
      </c>
      <c r="P625" t="s">
        <v>98</v>
      </c>
      <c r="Q625">
        <v>0</v>
      </c>
      <c r="R625">
        <v>0</v>
      </c>
      <c r="S625">
        <v>701</v>
      </c>
      <c r="T625">
        <v>0</v>
      </c>
      <c r="U625">
        <v>0</v>
      </c>
      <c r="V625" t="s">
        <v>1924</v>
      </c>
      <c r="W625">
        <v>39805420</v>
      </c>
      <c r="X625" t="s">
        <v>86</v>
      </c>
      <c r="Y625" t="s">
        <v>1925</v>
      </c>
      <c r="Z625" t="b">
        <v>0</v>
      </c>
      <c r="AA625">
        <v>14.26533523537803</v>
      </c>
      <c r="AN625" t="e">
        <f>100*(1-E625/AL625)</f>
        <v>#DIV/0!</v>
      </c>
    </row>
    <row r="626" spans="1:40" x14ac:dyDescent="0.3">
      <c r="A626" t="s">
        <v>166</v>
      </c>
      <c r="B626" t="s">
        <v>1926</v>
      </c>
      <c r="C626" t="s">
        <v>1926</v>
      </c>
      <c r="D626" s="4">
        <v>46001</v>
      </c>
      <c r="E626">
        <v>50900</v>
      </c>
      <c r="F626" t="s">
        <v>82</v>
      </c>
      <c r="G626" t="s">
        <v>1927</v>
      </c>
      <c r="H626" t="s">
        <v>230</v>
      </c>
      <c r="I626" t="s">
        <v>426</v>
      </c>
      <c r="J626" t="s">
        <v>426</v>
      </c>
      <c r="K626" t="s">
        <v>1928</v>
      </c>
      <c r="L626" t="s">
        <v>44</v>
      </c>
      <c r="M626" t="s">
        <v>392</v>
      </c>
      <c r="N626">
        <v>67062</v>
      </c>
      <c r="O626" t="s">
        <v>45</v>
      </c>
      <c r="P626" t="s">
        <v>54</v>
      </c>
      <c r="Q626" t="s">
        <v>55</v>
      </c>
      <c r="R626">
        <v>0</v>
      </c>
      <c r="S626">
        <v>101.7</v>
      </c>
      <c r="T626">
        <v>0</v>
      </c>
      <c r="U626">
        <v>0</v>
      </c>
      <c r="V626" t="s">
        <v>1929</v>
      </c>
      <c r="W626">
        <v>44484952</v>
      </c>
      <c r="X626" t="s">
        <v>86</v>
      </c>
      <c r="Y626" t="s">
        <v>1930</v>
      </c>
      <c r="Z626" t="b">
        <v>0</v>
      </c>
      <c r="AA626">
        <v>500.49164208456239</v>
      </c>
      <c r="AN626" t="e">
        <f>100*(1-E626/AL626)</f>
        <v>#DIV/0!</v>
      </c>
    </row>
    <row r="627" spans="1:40" x14ac:dyDescent="0.3">
      <c r="A627" t="s">
        <v>166</v>
      </c>
      <c r="B627" t="s">
        <v>1931</v>
      </c>
      <c r="C627" t="s">
        <v>1931</v>
      </c>
      <c r="D627" s="4">
        <v>46001</v>
      </c>
      <c r="E627">
        <v>90000</v>
      </c>
      <c r="F627" t="s">
        <v>1932</v>
      </c>
      <c r="G627" t="s">
        <v>868</v>
      </c>
      <c r="H627" t="s">
        <v>67</v>
      </c>
      <c r="I627" t="s">
        <v>869</v>
      </c>
      <c r="J627" t="s">
        <v>67</v>
      </c>
      <c r="K627" t="s">
        <v>1933</v>
      </c>
      <c r="L627" t="s">
        <v>44</v>
      </c>
      <c r="M627" t="s">
        <v>1934</v>
      </c>
      <c r="N627">
        <v>19010</v>
      </c>
      <c r="O627" t="s">
        <v>97</v>
      </c>
      <c r="P627" t="s">
        <v>98</v>
      </c>
      <c r="Q627">
        <v>0</v>
      </c>
      <c r="R627">
        <v>0</v>
      </c>
      <c r="S627">
        <v>359</v>
      </c>
      <c r="T627">
        <v>0</v>
      </c>
      <c r="U627">
        <v>0</v>
      </c>
      <c r="V627" t="s">
        <v>1935</v>
      </c>
      <c r="W627">
        <v>39208730</v>
      </c>
      <c r="X627" t="s">
        <v>86</v>
      </c>
      <c r="Y627" t="s">
        <v>1936</v>
      </c>
      <c r="Z627" t="b">
        <v>0</v>
      </c>
      <c r="AA627">
        <v>250.6963788300836</v>
      </c>
      <c r="AN627" t="e">
        <f>100*(1-E627/AL627)</f>
        <v>#DIV/0!</v>
      </c>
    </row>
    <row r="628" spans="1:40" x14ac:dyDescent="0.3">
      <c r="A628" t="s">
        <v>71</v>
      </c>
      <c r="B628" t="s">
        <v>1937</v>
      </c>
      <c r="C628" t="s">
        <v>1937</v>
      </c>
      <c r="D628" s="4">
        <v>46001</v>
      </c>
      <c r="E628">
        <v>420000</v>
      </c>
      <c r="F628" t="s">
        <v>1938</v>
      </c>
      <c r="G628" t="s">
        <v>184</v>
      </c>
      <c r="H628" t="s">
        <v>111</v>
      </c>
      <c r="I628" t="s">
        <v>185</v>
      </c>
      <c r="J628" t="s">
        <v>175</v>
      </c>
      <c r="K628" t="s">
        <v>1939</v>
      </c>
      <c r="L628" t="s">
        <v>44</v>
      </c>
      <c r="M628" t="s">
        <v>1940</v>
      </c>
      <c r="N628">
        <v>34200</v>
      </c>
      <c r="O628" t="s">
        <v>45</v>
      </c>
      <c r="P628" t="s">
        <v>81</v>
      </c>
      <c r="Q628">
        <v>0</v>
      </c>
      <c r="R628">
        <v>0</v>
      </c>
      <c r="S628">
        <v>390</v>
      </c>
      <c r="T628">
        <v>0</v>
      </c>
      <c r="U628">
        <v>0</v>
      </c>
      <c r="V628" t="s">
        <v>1941</v>
      </c>
      <c r="W628" t="s">
        <v>1942</v>
      </c>
      <c r="X628" t="s">
        <v>86</v>
      </c>
      <c r="Y628" t="s">
        <v>1943</v>
      </c>
      <c r="Z628" t="b">
        <v>0</v>
      </c>
      <c r="AA628">
        <v>1076.9230769230769</v>
      </c>
      <c r="AN628" t="e">
        <f>100*(1-E628/AL628)</f>
        <v>#DIV/0!</v>
      </c>
    </row>
    <row r="629" spans="1:40" x14ac:dyDescent="0.3">
      <c r="A629" t="s">
        <v>166</v>
      </c>
      <c r="B629" t="s">
        <v>1944</v>
      </c>
      <c r="C629" t="s">
        <v>1945</v>
      </c>
      <c r="D629" s="4">
        <v>46001</v>
      </c>
      <c r="E629">
        <v>23000</v>
      </c>
      <c r="F629" t="s">
        <v>1946</v>
      </c>
      <c r="G629" t="s">
        <v>276</v>
      </c>
      <c r="H629" t="s">
        <v>152</v>
      </c>
      <c r="I629" t="s">
        <v>277</v>
      </c>
      <c r="J629" t="s">
        <v>221</v>
      </c>
      <c r="K629" t="s">
        <v>1947</v>
      </c>
      <c r="L629" t="s">
        <v>44</v>
      </c>
      <c r="M629" t="s">
        <v>1948</v>
      </c>
      <c r="N629">
        <v>20100</v>
      </c>
      <c r="O629" t="s">
        <v>45</v>
      </c>
      <c r="P629" t="s">
        <v>56</v>
      </c>
      <c r="Q629">
        <v>0</v>
      </c>
      <c r="R629">
        <v>0</v>
      </c>
      <c r="S629">
        <v>0</v>
      </c>
      <c r="T629" t="s">
        <v>1949</v>
      </c>
      <c r="U629" t="s">
        <v>1950</v>
      </c>
      <c r="V629" t="s">
        <v>1951</v>
      </c>
      <c r="W629">
        <v>59503015</v>
      </c>
      <c r="X629" t="s">
        <v>49</v>
      </c>
      <c r="Y629" t="s">
        <v>1952</v>
      </c>
      <c r="Z629" t="b">
        <v>0</v>
      </c>
      <c r="AA629" t="s">
        <v>58</v>
      </c>
      <c r="AN629" t="e">
        <f>100*(1-E629/AL629)</f>
        <v>#DIV/0!</v>
      </c>
    </row>
    <row r="630" spans="1:40" x14ac:dyDescent="0.3">
      <c r="A630" t="s">
        <v>166</v>
      </c>
      <c r="B630" t="s">
        <v>1945</v>
      </c>
      <c r="C630" t="s">
        <v>1945</v>
      </c>
      <c r="D630" s="4">
        <v>46001</v>
      </c>
      <c r="E630">
        <v>44000</v>
      </c>
      <c r="F630" t="s">
        <v>1953</v>
      </c>
      <c r="G630" t="s">
        <v>276</v>
      </c>
      <c r="H630" t="s">
        <v>152</v>
      </c>
      <c r="I630" t="s">
        <v>277</v>
      </c>
      <c r="J630" t="s">
        <v>221</v>
      </c>
      <c r="K630" t="s">
        <v>1947</v>
      </c>
      <c r="L630" t="s">
        <v>44</v>
      </c>
      <c r="M630" t="s">
        <v>1948</v>
      </c>
      <c r="N630">
        <v>20100</v>
      </c>
      <c r="O630" t="s">
        <v>45</v>
      </c>
      <c r="P630" t="s">
        <v>54</v>
      </c>
      <c r="Q630" t="s">
        <v>52</v>
      </c>
      <c r="R630">
        <v>0</v>
      </c>
      <c r="S630">
        <v>85.79</v>
      </c>
      <c r="T630" t="s">
        <v>161</v>
      </c>
      <c r="U630">
        <v>50</v>
      </c>
      <c r="V630" t="s">
        <v>1954</v>
      </c>
      <c r="W630">
        <v>59503015</v>
      </c>
      <c r="X630" t="s">
        <v>86</v>
      </c>
      <c r="Y630" t="s">
        <v>1955</v>
      </c>
      <c r="Z630" t="b">
        <v>0</v>
      </c>
      <c r="AA630">
        <v>512.88028907798105</v>
      </c>
      <c r="AN630" t="e">
        <f>100*(1-E630/AL630)</f>
        <v>#DIV/0!</v>
      </c>
    </row>
    <row r="631" spans="1:40" x14ac:dyDescent="0.3">
      <c r="A631" t="s">
        <v>166</v>
      </c>
      <c r="B631" t="s">
        <v>1945</v>
      </c>
      <c r="C631" t="s">
        <v>1945</v>
      </c>
      <c r="D631" s="4">
        <v>46001</v>
      </c>
      <c r="E631">
        <v>44000</v>
      </c>
      <c r="F631" t="s">
        <v>1953</v>
      </c>
      <c r="G631" t="s">
        <v>276</v>
      </c>
      <c r="H631" t="s">
        <v>152</v>
      </c>
      <c r="I631" t="s">
        <v>277</v>
      </c>
      <c r="J631" t="s">
        <v>221</v>
      </c>
      <c r="K631" t="s">
        <v>1947</v>
      </c>
      <c r="L631" t="s">
        <v>44</v>
      </c>
      <c r="M631" t="s">
        <v>1948</v>
      </c>
      <c r="N631">
        <v>20100</v>
      </c>
      <c r="O631" t="s">
        <v>45</v>
      </c>
      <c r="P631" t="s">
        <v>54</v>
      </c>
      <c r="Q631" t="s">
        <v>52</v>
      </c>
      <c r="R631">
        <v>0</v>
      </c>
      <c r="S631">
        <v>85.79</v>
      </c>
      <c r="T631" t="s">
        <v>161</v>
      </c>
      <c r="U631">
        <v>50</v>
      </c>
      <c r="V631" t="s">
        <v>1954</v>
      </c>
      <c r="W631">
        <v>59503015</v>
      </c>
      <c r="X631" t="s">
        <v>86</v>
      </c>
      <c r="Y631" t="s">
        <v>1955</v>
      </c>
      <c r="Z631" t="b">
        <v>0</v>
      </c>
      <c r="AA631">
        <v>512.88028907798105</v>
      </c>
      <c r="AN631" t="e">
        <f>100*(1-E631/AL631)</f>
        <v>#DIV/0!</v>
      </c>
    </row>
    <row r="632" spans="1:40" x14ac:dyDescent="0.3">
      <c r="A632" t="s">
        <v>166</v>
      </c>
      <c r="B632" t="s">
        <v>1945</v>
      </c>
      <c r="C632" t="s">
        <v>1945</v>
      </c>
      <c r="D632" s="4">
        <v>46001</v>
      </c>
      <c r="E632">
        <v>44000</v>
      </c>
      <c r="F632" t="s">
        <v>1953</v>
      </c>
      <c r="G632" t="s">
        <v>276</v>
      </c>
      <c r="H632" t="s">
        <v>152</v>
      </c>
      <c r="I632" t="s">
        <v>277</v>
      </c>
      <c r="J632" t="s">
        <v>221</v>
      </c>
      <c r="K632" t="s">
        <v>1947</v>
      </c>
      <c r="L632" t="s">
        <v>44</v>
      </c>
      <c r="M632" t="s">
        <v>1948</v>
      </c>
      <c r="N632">
        <v>20100</v>
      </c>
      <c r="O632" t="s">
        <v>45</v>
      </c>
      <c r="P632" t="s">
        <v>54</v>
      </c>
      <c r="Q632" t="s">
        <v>52</v>
      </c>
      <c r="R632">
        <v>0</v>
      </c>
      <c r="S632">
        <v>85.79</v>
      </c>
      <c r="T632" t="s">
        <v>161</v>
      </c>
      <c r="U632">
        <v>50</v>
      </c>
      <c r="V632" t="s">
        <v>1954</v>
      </c>
      <c r="W632">
        <v>59503015</v>
      </c>
      <c r="X632" t="s">
        <v>86</v>
      </c>
      <c r="Y632" t="s">
        <v>1955</v>
      </c>
      <c r="Z632" t="b">
        <v>0</v>
      </c>
      <c r="AA632">
        <v>512.88028907798105</v>
      </c>
      <c r="AN632" t="e">
        <f>100*(1-E632/AL632)</f>
        <v>#DIV/0!</v>
      </c>
    </row>
    <row r="633" spans="1:40" x14ac:dyDescent="0.3">
      <c r="A633" t="s">
        <v>183</v>
      </c>
      <c r="B633" t="s">
        <v>1956</v>
      </c>
      <c r="C633" t="s">
        <v>1956</v>
      </c>
      <c r="D633" s="4">
        <v>46001</v>
      </c>
      <c r="E633">
        <v>509000</v>
      </c>
      <c r="F633" t="s">
        <v>1957</v>
      </c>
      <c r="G633" t="s">
        <v>1958</v>
      </c>
      <c r="H633" t="s">
        <v>196</v>
      </c>
      <c r="I633" t="s">
        <v>1403</v>
      </c>
      <c r="J633" t="s">
        <v>198</v>
      </c>
      <c r="K633" t="s">
        <v>1959</v>
      </c>
      <c r="L633" t="s">
        <v>80</v>
      </c>
      <c r="M633" t="s">
        <v>1960</v>
      </c>
      <c r="N633">
        <v>20006</v>
      </c>
      <c r="O633" t="s">
        <v>50</v>
      </c>
      <c r="P633" t="s">
        <v>51</v>
      </c>
      <c r="Q633" t="s">
        <v>52</v>
      </c>
      <c r="R633">
        <v>0</v>
      </c>
      <c r="S633">
        <v>1307.44</v>
      </c>
      <c r="T633">
        <v>0</v>
      </c>
      <c r="U633">
        <v>0</v>
      </c>
      <c r="V633" t="s">
        <v>1961</v>
      </c>
      <c r="W633">
        <v>30269602</v>
      </c>
      <c r="X633" t="s">
        <v>86</v>
      </c>
      <c r="Y633">
        <v>0</v>
      </c>
      <c r="Z633" t="b">
        <v>0</v>
      </c>
      <c r="AA633">
        <v>389.31040812580312</v>
      </c>
      <c r="AN633" t="e">
        <f>100*(1-E633/AL633)</f>
        <v>#DIV/0!</v>
      </c>
    </row>
    <row r="634" spans="1:40" x14ac:dyDescent="0.3">
      <c r="A634" t="s">
        <v>71</v>
      </c>
      <c r="B634" t="s">
        <v>1962</v>
      </c>
      <c r="C634" t="s">
        <v>1962</v>
      </c>
      <c r="D634" s="4">
        <v>46001</v>
      </c>
      <c r="E634">
        <v>226077</v>
      </c>
      <c r="F634" t="s">
        <v>1963</v>
      </c>
      <c r="G634" t="s">
        <v>115</v>
      </c>
      <c r="H634" t="s">
        <v>67</v>
      </c>
      <c r="I634" t="s">
        <v>116</v>
      </c>
      <c r="J634" t="s">
        <v>67</v>
      </c>
      <c r="K634" t="s">
        <v>1964</v>
      </c>
      <c r="L634" t="s">
        <v>44</v>
      </c>
      <c r="M634" t="s">
        <v>1965</v>
      </c>
      <c r="N634">
        <v>11744</v>
      </c>
      <c r="O634" t="s">
        <v>45</v>
      </c>
      <c r="P634" t="s">
        <v>54</v>
      </c>
      <c r="Q634" t="s">
        <v>64</v>
      </c>
      <c r="R634">
        <v>0</v>
      </c>
      <c r="S634">
        <v>102</v>
      </c>
      <c r="T634">
        <v>0</v>
      </c>
      <c r="U634">
        <v>0</v>
      </c>
      <c r="V634" t="s">
        <v>1966</v>
      </c>
      <c r="W634">
        <v>46780146</v>
      </c>
      <c r="X634" t="s">
        <v>86</v>
      </c>
      <c r="Y634" t="s">
        <v>1967</v>
      </c>
      <c r="Z634" t="b">
        <v>0</v>
      </c>
      <c r="AA634">
        <v>2216.4411764705878</v>
      </c>
      <c r="AN634" t="e">
        <f>100*(1-E634/AL634)</f>
        <v>#DIV/0!</v>
      </c>
    </row>
    <row r="635" spans="1:40" x14ac:dyDescent="0.3">
      <c r="A635" t="s">
        <v>183</v>
      </c>
      <c r="B635" t="s">
        <v>1968</v>
      </c>
      <c r="C635" t="s">
        <v>1968</v>
      </c>
      <c r="D635" s="4">
        <v>46001</v>
      </c>
      <c r="E635">
        <v>77000</v>
      </c>
      <c r="F635" t="s">
        <v>380</v>
      </c>
      <c r="G635" t="s">
        <v>404</v>
      </c>
      <c r="H635" t="s">
        <v>124</v>
      </c>
      <c r="I635" t="s">
        <v>405</v>
      </c>
      <c r="J635" t="s">
        <v>126</v>
      </c>
      <c r="K635" t="s">
        <v>1969</v>
      </c>
      <c r="L635" t="s">
        <v>44</v>
      </c>
      <c r="M635" t="s">
        <v>1970</v>
      </c>
      <c r="N635">
        <v>26332</v>
      </c>
      <c r="O635" t="s">
        <v>45</v>
      </c>
      <c r="P635" t="s">
        <v>54</v>
      </c>
      <c r="Q635" t="s">
        <v>55</v>
      </c>
      <c r="R635">
        <v>0</v>
      </c>
      <c r="S635">
        <v>97</v>
      </c>
      <c r="T635">
        <v>0</v>
      </c>
      <c r="U635">
        <v>0</v>
      </c>
      <c r="V635" t="s">
        <v>1971</v>
      </c>
      <c r="W635">
        <v>46370133</v>
      </c>
      <c r="X635" t="s">
        <v>86</v>
      </c>
      <c r="Y635" t="s">
        <v>1972</v>
      </c>
      <c r="Z635" t="b">
        <v>0</v>
      </c>
      <c r="AA635">
        <v>793.81443298969077</v>
      </c>
      <c r="AN635" t="e">
        <f>100*(1-E635/AL635)</f>
        <v>#DIV/0!</v>
      </c>
    </row>
    <row r="636" spans="1:40" x14ac:dyDescent="0.3">
      <c r="A636" t="s">
        <v>183</v>
      </c>
      <c r="B636" t="s">
        <v>1968</v>
      </c>
      <c r="C636" t="s">
        <v>1968</v>
      </c>
      <c r="D636" s="4">
        <v>46001</v>
      </c>
      <c r="E636">
        <v>77000</v>
      </c>
      <c r="F636" t="s">
        <v>380</v>
      </c>
      <c r="G636" t="s">
        <v>404</v>
      </c>
      <c r="H636" t="s">
        <v>124</v>
      </c>
      <c r="I636" t="s">
        <v>405</v>
      </c>
      <c r="J636" t="s">
        <v>126</v>
      </c>
      <c r="K636" t="s">
        <v>1969</v>
      </c>
      <c r="L636" t="s">
        <v>44</v>
      </c>
      <c r="M636" t="s">
        <v>1970</v>
      </c>
      <c r="N636">
        <v>26332</v>
      </c>
      <c r="O636" t="s">
        <v>45</v>
      </c>
      <c r="P636" t="s">
        <v>54</v>
      </c>
      <c r="Q636" t="s">
        <v>55</v>
      </c>
      <c r="R636">
        <v>0</v>
      </c>
      <c r="S636">
        <v>97</v>
      </c>
      <c r="T636">
        <v>0</v>
      </c>
      <c r="U636">
        <v>0</v>
      </c>
      <c r="V636" t="s">
        <v>1971</v>
      </c>
      <c r="W636">
        <v>46370133</v>
      </c>
      <c r="X636" t="s">
        <v>86</v>
      </c>
      <c r="Y636" t="s">
        <v>1972</v>
      </c>
      <c r="Z636" t="b">
        <v>0</v>
      </c>
      <c r="AA636">
        <v>793.81443298969077</v>
      </c>
      <c r="AN636" t="e">
        <f>100*(1-E636/AL636)</f>
        <v>#DIV/0!</v>
      </c>
    </row>
    <row r="637" spans="1:40" x14ac:dyDescent="0.3">
      <c r="A637" t="s">
        <v>166</v>
      </c>
      <c r="B637" t="s">
        <v>1945</v>
      </c>
      <c r="C637" t="s">
        <v>1945</v>
      </c>
      <c r="D637" s="4">
        <v>46001</v>
      </c>
      <c r="E637">
        <v>44000</v>
      </c>
      <c r="F637" t="s">
        <v>1953</v>
      </c>
      <c r="G637" t="s">
        <v>276</v>
      </c>
      <c r="H637" t="s">
        <v>152</v>
      </c>
      <c r="I637" t="s">
        <v>277</v>
      </c>
      <c r="J637" t="s">
        <v>221</v>
      </c>
      <c r="K637" t="s">
        <v>1947</v>
      </c>
      <c r="L637" t="s">
        <v>44</v>
      </c>
      <c r="M637" t="s">
        <v>1948</v>
      </c>
      <c r="N637">
        <v>20100</v>
      </c>
      <c r="O637" t="s">
        <v>45</v>
      </c>
      <c r="P637" t="s">
        <v>54</v>
      </c>
      <c r="Q637" t="s">
        <v>52</v>
      </c>
      <c r="R637">
        <v>0</v>
      </c>
      <c r="S637">
        <v>85.79</v>
      </c>
      <c r="T637" t="s">
        <v>161</v>
      </c>
      <c r="U637">
        <v>50</v>
      </c>
      <c r="V637" t="s">
        <v>1954</v>
      </c>
      <c r="W637">
        <v>59503015</v>
      </c>
      <c r="X637" t="s">
        <v>86</v>
      </c>
      <c r="Y637" t="s">
        <v>1955</v>
      </c>
      <c r="Z637" t="b">
        <v>0</v>
      </c>
      <c r="AA637">
        <v>512.88028907798105</v>
      </c>
      <c r="AN637" t="e">
        <f>100*(1-E637/AL637)</f>
        <v>#DIV/0!</v>
      </c>
    </row>
    <row r="638" spans="1:40" x14ac:dyDescent="0.3">
      <c r="A638" t="s">
        <v>166</v>
      </c>
      <c r="B638" t="s">
        <v>1973</v>
      </c>
      <c r="C638" t="s">
        <v>1973</v>
      </c>
      <c r="D638" s="4">
        <v>46001</v>
      </c>
      <c r="E638">
        <v>53800</v>
      </c>
      <c r="F638" t="s">
        <v>134</v>
      </c>
      <c r="G638" t="s">
        <v>217</v>
      </c>
      <c r="H638" t="s">
        <v>102</v>
      </c>
      <c r="I638" t="s">
        <v>218</v>
      </c>
      <c r="J638" t="s">
        <v>103</v>
      </c>
      <c r="K638" t="s">
        <v>1974</v>
      </c>
      <c r="L638" t="s">
        <v>44</v>
      </c>
      <c r="M638" t="s">
        <v>1975</v>
      </c>
      <c r="N638">
        <v>50200</v>
      </c>
      <c r="O638" t="s">
        <v>45</v>
      </c>
      <c r="P638" t="s">
        <v>54</v>
      </c>
      <c r="Q638" t="s">
        <v>85</v>
      </c>
      <c r="R638">
        <v>0</v>
      </c>
      <c r="S638">
        <v>77.069999999999993</v>
      </c>
      <c r="T638">
        <v>0</v>
      </c>
      <c r="U638">
        <v>0</v>
      </c>
      <c r="V638" t="s">
        <v>1976</v>
      </c>
      <c r="W638">
        <v>36485309</v>
      </c>
      <c r="X638" t="s">
        <v>49</v>
      </c>
      <c r="Y638" t="s">
        <v>1977</v>
      </c>
      <c r="Z638" t="b">
        <v>0</v>
      </c>
      <c r="AA638">
        <v>698.06669261710135</v>
      </c>
      <c r="AN638" t="e">
        <f>100*(1-E638/AL638)</f>
        <v>#DIV/0!</v>
      </c>
    </row>
    <row r="639" spans="1:40" x14ac:dyDescent="0.3">
      <c r="A639" t="s">
        <v>166</v>
      </c>
      <c r="B639" t="s">
        <v>1978</v>
      </c>
      <c r="C639" t="s">
        <v>1978</v>
      </c>
      <c r="D639" s="4">
        <v>46001</v>
      </c>
      <c r="E639">
        <v>420000</v>
      </c>
      <c r="F639" t="s">
        <v>1979</v>
      </c>
      <c r="G639" t="s">
        <v>1874</v>
      </c>
      <c r="H639" t="s">
        <v>111</v>
      </c>
      <c r="I639" t="s">
        <v>185</v>
      </c>
      <c r="J639" t="s">
        <v>175</v>
      </c>
      <c r="K639" t="s">
        <v>1980</v>
      </c>
      <c r="L639" t="s">
        <v>44</v>
      </c>
      <c r="M639" t="s">
        <v>1874</v>
      </c>
      <c r="N639">
        <v>34012</v>
      </c>
      <c r="O639" t="s">
        <v>331</v>
      </c>
      <c r="P639" t="s">
        <v>331</v>
      </c>
      <c r="Q639" t="s">
        <v>100</v>
      </c>
      <c r="R639">
        <v>0</v>
      </c>
      <c r="S639">
        <v>626.09</v>
      </c>
      <c r="T639">
        <v>0</v>
      </c>
      <c r="U639">
        <v>0</v>
      </c>
      <c r="V639" t="s">
        <v>1981</v>
      </c>
      <c r="W639">
        <v>47584888</v>
      </c>
      <c r="X639" t="s">
        <v>86</v>
      </c>
      <c r="Y639" t="s">
        <v>1982</v>
      </c>
      <c r="Z639" t="b">
        <v>0</v>
      </c>
      <c r="AA639">
        <v>670.8300723538149</v>
      </c>
      <c r="AN639" t="e">
        <f>100*(1-E639/AL639)</f>
        <v>#DIV/0!</v>
      </c>
    </row>
    <row r="640" spans="1:40" x14ac:dyDescent="0.3">
      <c r="A640" t="s">
        <v>166</v>
      </c>
      <c r="B640" t="s">
        <v>1983</v>
      </c>
      <c r="C640" t="s">
        <v>1945</v>
      </c>
      <c r="D640" s="4">
        <v>46001</v>
      </c>
      <c r="E640">
        <v>42000</v>
      </c>
      <c r="F640" t="s">
        <v>1984</v>
      </c>
      <c r="G640" t="s">
        <v>276</v>
      </c>
      <c r="H640" t="s">
        <v>152</v>
      </c>
      <c r="I640" t="s">
        <v>277</v>
      </c>
      <c r="J640" t="s">
        <v>221</v>
      </c>
      <c r="K640" t="s">
        <v>1947</v>
      </c>
      <c r="L640" t="s">
        <v>44</v>
      </c>
      <c r="M640" t="s">
        <v>1948</v>
      </c>
      <c r="N640">
        <v>20100</v>
      </c>
      <c r="O640" t="s">
        <v>45</v>
      </c>
      <c r="P640" t="s">
        <v>56</v>
      </c>
      <c r="Q640">
        <v>0</v>
      </c>
      <c r="R640">
        <v>0</v>
      </c>
      <c r="S640">
        <v>0</v>
      </c>
      <c r="T640" t="s">
        <v>1949</v>
      </c>
      <c r="U640" t="s">
        <v>1950</v>
      </c>
      <c r="V640" t="s">
        <v>1951</v>
      </c>
      <c r="W640">
        <v>59503015</v>
      </c>
      <c r="X640" t="s">
        <v>49</v>
      </c>
      <c r="Y640" t="s">
        <v>1985</v>
      </c>
      <c r="Z640" t="b">
        <v>0</v>
      </c>
      <c r="AA640" t="s">
        <v>58</v>
      </c>
      <c r="AN640" t="e">
        <f>100*(1-E640/AL640)</f>
        <v>#DIV/0!</v>
      </c>
    </row>
    <row r="641" spans="1:40" x14ac:dyDescent="0.3">
      <c r="A641" t="s">
        <v>71</v>
      </c>
      <c r="B641" t="s">
        <v>1986</v>
      </c>
      <c r="C641" t="s">
        <v>1986</v>
      </c>
      <c r="D641" s="4">
        <v>46001</v>
      </c>
      <c r="E641">
        <v>163859</v>
      </c>
      <c r="F641" t="s">
        <v>1987</v>
      </c>
      <c r="G641" t="s">
        <v>1180</v>
      </c>
      <c r="H641" t="s">
        <v>62</v>
      </c>
      <c r="I641" t="s">
        <v>363</v>
      </c>
      <c r="J641" t="s">
        <v>63</v>
      </c>
      <c r="K641" t="s">
        <v>1988</v>
      </c>
      <c r="L641" t="s">
        <v>44</v>
      </c>
      <c r="M641" t="s">
        <v>1989</v>
      </c>
      <c r="N641">
        <v>54500</v>
      </c>
      <c r="O641" t="s">
        <v>45</v>
      </c>
      <c r="P641" t="s">
        <v>81</v>
      </c>
      <c r="Q641" t="s">
        <v>55</v>
      </c>
      <c r="R641">
        <v>0</v>
      </c>
      <c r="S641">
        <v>1016</v>
      </c>
      <c r="T641">
        <v>0</v>
      </c>
      <c r="U641">
        <v>0</v>
      </c>
      <c r="V641" t="s">
        <v>1990</v>
      </c>
      <c r="W641">
        <v>43032704</v>
      </c>
      <c r="X641" t="s">
        <v>86</v>
      </c>
      <c r="Y641" t="s">
        <v>1991</v>
      </c>
      <c r="Z641" t="b">
        <v>0</v>
      </c>
      <c r="AA641">
        <v>161.27854330708661</v>
      </c>
      <c r="AN641" t="e">
        <f>100*(1-E641/AL641)</f>
        <v>#DIV/0!</v>
      </c>
    </row>
    <row r="642" spans="1:40" x14ac:dyDescent="0.3">
      <c r="A642" t="s">
        <v>166</v>
      </c>
      <c r="B642" t="s">
        <v>1992</v>
      </c>
      <c r="C642" t="s">
        <v>1992</v>
      </c>
      <c r="D642" s="4">
        <v>46001</v>
      </c>
      <c r="E642">
        <v>117000</v>
      </c>
      <c r="F642" t="s">
        <v>1993</v>
      </c>
      <c r="G642" t="s">
        <v>1994</v>
      </c>
      <c r="H642" t="s">
        <v>152</v>
      </c>
      <c r="I642" t="s">
        <v>1995</v>
      </c>
      <c r="J642" t="s">
        <v>1996</v>
      </c>
      <c r="K642" t="s">
        <v>1997</v>
      </c>
      <c r="L642" t="s">
        <v>44</v>
      </c>
      <c r="M642" t="s">
        <v>1998</v>
      </c>
      <c r="N642">
        <v>23100</v>
      </c>
      <c r="O642" t="s">
        <v>45</v>
      </c>
      <c r="P642" t="s">
        <v>54</v>
      </c>
      <c r="Q642" t="s">
        <v>85</v>
      </c>
      <c r="R642">
        <v>0</v>
      </c>
      <c r="S642">
        <v>93.4</v>
      </c>
      <c r="T642">
        <v>0</v>
      </c>
      <c r="U642">
        <v>0</v>
      </c>
      <c r="V642" t="s">
        <v>1999</v>
      </c>
      <c r="W642">
        <v>54233544</v>
      </c>
      <c r="X642" t="s">
        <v>49</v>
      </c>
      <c r="Y642" t="s">
        <v>2000</v>
      </c>
      <c r="Z642" t="b">
        <v>0</v>
      </c>
      <c r="AA642">
        <v>1252.676659528908</v>
      </c>
      <c r="AN642" t="e">
        <f>100*(1-E642/AL642)</f>
        <v>#DIV/0!</v>
      </c>
    </row>
    <row r="643" spans="1:40" x14ac:dyDescent="0.3">
      <c r="A643" t="s">
        <v>71</v>
      </c>
      <c r="B643" t="s">
        <v>2001</v>
      </c>
      <c r="C643" t="s">
        <v>2001</v>
      </c>
      <c r="D643" s="4">
        <v>46001</v>
      </c>
      <c r="E643">
        <v>56000</v>
      </c>
      <c r="F643" t="s">
        <v>1439</v>
      </c>
      <c r="G643" t="s">
        <v>381</v>
      </c>
      <c r="H643" t="s">
        <v>124</v>
      </c>
      <c r="I643" t="s">
        <v>334</v>
      </c>
      <c r="J643" t="s">
        <v>126</v>
      </c>
      <c r="K643" t="s">
        <v>2002</v>
      </c>
      <c r="L643" t="s">
        <v>44</v>
      </c>
      <c r="M643" t="s">
        <v>2003</v>
      </c>
      <c r="N643">
        <v>25100</v>
      </c>
      <c r="O643" t="s">
        <v>45</v>
      </c>
      <c r="P643" t="s">
        <v>54</v>
      </c>
      <c r="Q643" t="s">
        <v>85</v>
      </c>
      <c r="R643">
        <v>0</v>
      </c>
      <c r="S643">
        <v>64.7</v>
      </c>
      <c r="T643">
        <v>0</v>
      </c>
      <c r="U643">
        <v>0</v>
      </c>
      <c r="V643" t="s">
        <v>2004</v>
      </c>
      <c r="W643">
        <v>33666430</v>
      </c>
      <c r="X643" t="s">
        <v>49</v>
      </c>
      <c r="Y643">
        <v>60132701011</v>
      </c>
      <c r="Z643" t="b">
        <v>0</v>
      </c>
      <c r="AA643">
        <v>865.533230293663</v>
      </c>
      <c r="AN643" t="e">
        <f>100*(1-E643/AL643)</f>
        <v>#DIV/0!</v>
      </c>
    </row>
    <row r="644" spans="1:40" x14ac:dyDescent="0.3">
      <c r="A644" t="s">
        <v>166</v>
      </c>
      <c r="B644" t="s">
        <v>2005</v>
      </c>
      <c r="C644" t="s">
        <v>2005</v>
      </c>
      <c r="D644" s="4">
        <v>46001</v>
      </c>
      <c r="E644">
        <v>65000</v>
      </c>
      <c r="F644" t="s">
        <v>2006</v>
      </c>
      <c r="G644" t="s">
        <v>2007</v>
      </c>
      <c r="H644" t="s">
        <v>62</v>
      </c>
      <c r="I644" t="s">
        <v>2008</v>
      </c>
      <c r="J644" t="s">
        <v>88</v>
      </c>
      <c r="K644" t="s">
        <v>2009</v>
      </c>
      <c r="L644" t="s">
        <v>44</v>
      </c>
      <c r="M644" t="s">
        <v>2010</v>
      </c>
      <c r="N644">
        <v>58500</v>
      </c>
      <c r="O644" t="s">
        <v>45</v>
      </c>
      <c r="P644" t="s">
        <v>81</v>
      </c>
      <c r="Q644" t="s">
        <v>55</v>
      </c>
      <c r="R644">
        <v>0</v>
      </c>
      <c r="S644">
        <v>230</v>
      </c>
      <c r="T644">
        <v>0</v>
      </c>
      <c r="U644">
        <v>0</v>
      </c>
      <c r="V644" t="s">
        <v>2011</v>
      </c>
      <c r="W644">
        <v>44864820</v>
      </c>
      <c r="X644" t="s">
        <v>49</v>
      </c>
      <c r="Y644" t="s">
        <v>2012</v>
      </c>
      <c r="Z644" t="b">
        <v>0</v>
      </c>
      <c r="AA644">
        <v>282.60869565217388</v>
      </c>
      <c r="AN644" t="e">
        <f>100*(1-E644/AL644)</f>
        <v>#DIV/0!</v>
      </c>
    </row>
    <row r="645" spans="1:40" x14ac:dyDescent="0.3">
      <c r="A645" t="s">
        <v>39</v>
      </c>
      <c r="B645" t="s">
        <v>2013</v>
      </c>
      <c r="C645" t="s">
        <v>2014</v>
      </c>
      <c r="D645" s="4">
        <v>46001</v>
      </c>
      <c r="E645">
        <v>55000</v>
      </c>
      <c r="F645" t="s">
        <v>2015</v>
      </c>
      <c r="G645" t="s">
        <v>433</v>
      </c>
      <c r="H645" t="s">
        <v>94</v>
      </c>
      <c r="I645" t="s">
        <v>434</v>
      </c>
      <c r="J645" t="s">
        <v>96</v>
      </c>
      <c r="K645" t="s">
        <v>2016</v>
      </c>
      <c r="L645" t="s">
        <v>44</v>
      </c>
      <c r="M645" t="s">
        <v>2017</v>
      </c>
      <c r="N645">
        <v>70100</v>
      </c>
      <c r="O645" t="s">
        <v>97</v>
      </c>
      <c r="P645" t="s">
        <v>118</v>
      </c>
      <c r="Q645">
        <v>0</v>
      </c>
      <c r="R645">
        <v>0</v>
      </c>
      <c r="S645">
        <v>6405</v>
      </c>
      <c r="T645">
        <v>0</v>
      </c>
      <c r="U645">
        <v>0</v>
      </c>
      <c r="V645" t="s">
        <v>2018</v>
      </c>
      <c r="W645">
        <v>110127279</v>
      </c>
      <c r="X645" t="s">
        <v>49</v>
      </c>
      <c r="Y645">
        <v>171163421029</v>
      </c>
      <c r="Z645" t="b">
        <v>0</v>
      </c>
      <c r="AA645">
        <v>8.5870413739266205</v>
      </c>
      <c r="AN645" t="e">
        <f>100*(1-E645/AL645)</f>
        <v>#DIV/0!</v>
      </c>
    </row>
    <row r="646" spans="1:40" x14ac:dyDescent="0.3">
      <c r="A646" t="s">
        <v>39</v>
      </c>
      <c r="B646" t="s">
        <v>2019</v>
      </c>
      <c r="C646" t="s">
        <v>2014</v>
      </c>
      <c r="D646" s="4">
        <v>46001</v>
      </c>
      <c r="E646">
        <v>4500</v>
      </c>
      <c r="F646" t="s">
        <v>2020</v>
      </c>
      <c r="G646" t="s">
        <v>433</v>
      </c>
      <c r="H646" t="s">
        <v>94</v>
      </c>
      <c r="I646" t="s">
        <v>434</v>
      </c>
      <c r="J646" t="s">
        <v>96</v>
      </c>
      <c r="K646" t="s">
        <v>2021</v>
      </c>
      <c r="L646" t="s">
        <v>44</v>
      </c>
      <c r="M646" t="s">
        <v>2017</v>
      </c>
      <c r="N646">
        <v>70100</v>
      </c>
      <c r="O646" t="s">
        <v>97</v>
      </c>
      <c r="P646" t="s">
        <v>118</v>
      </c>
      <c r="Q646">
        <v>0</v>
      </c>
      <c r="R646">
        <v>0</v>
      </c>
      <c r="S646">
        <v>1560</v>
      </c>
      <c r="T646">
        <v>0</v>
      </c>
      <c r="U646">
        <v>0</v>
      </c>
      <c r="V646" t="s">
        <v>2018</v>
      </c>
      <c r="W646">
        <v>110127279</v>
      </c>
      <c r="X646" t="s">
        <v>49</v>
      </c>
      <c r="Y646">
        <v>171163409089</v>
      </c>
      <c r="Z646" t="b">
        <v>0</v>
      </c>
      <c r="AA646">
        <v>2.884615384615385</v>
      </c>
      <c r="AN646" t="e">
        <f>100*(1-E646/AL646)</f>
        <v>#DIV/0!</v>
      </c>
    </row>
    <row r="647" spans="1:40" x14ac:dyDescent="0.3">
      <c r="A647" t="s">
        <v>39</v>
      </c>
      <c r="B647" t="s">
        <v>2022</v>
      </c>
      <c r="C647" t="s">
        <v>2014</v>
      </c>
      <c r="D647" s="4">
        <v>46001</v>
      </c>
      <c r="E647">
        <v>51500</v>
      </c>
      <c r="F647" t="s">
        <v>2023</v>
      </c>
      <c r="G647" t="s">
        <v>433</v>
      </c>
      <c r="H647" t="s">
        <v>94</v>
      </c>
      <c r="I647" t="s">
        <v>434</v>
      </c>
      <c r="J647" t="s">
        <v>96</v>
      </c>
      <c r="K647" t="s">
        <v>2016</v>
      </c>
      <c r="L647" t="s">
        <v>44</v>
      </c>
      <c r="M647" t="s">
        <v>2017</v>
      </c>
      <c r="N647">
        <v>70100</v>
      </c>
      <c r="O647" t="s">
        <v>97</v>
      </c>
      <c r="P647" t="s">
        <v>118</v>
      </c>
      <c r="Q647">
        <v>0</v>
      </c>
      <c r="R647">
        <v>0</v>
      </c>
      <c r="S647">
        <v>4050</v>
      </c>
      <c r="T647">
        <v>0</v>
      </c>
      <c r="U647">
        <v>0</v>
      </c>
      <c r="V647" t="s">
        <v>2018</v>
      </c>
      <c r="W647">
        <v>110127279</v>
      </c>
      <c r="X647" t="s">
        <v>49</v>
      </c>
      <c r="Y647">
        <v>171163421023</v>
      </c>
      <c r="Z647" t="b">
        <v>0</v>
      </c>
      <c r="AA647">
        <v>12.716049382716051</v>
      </c>
      <c r="AN647" t="e">
        <f>100*(1-E647/AL647)</f>
        <v>#DIV/0!</v>
      </c>
    </row>
    <row r="648" spans="1:40" x14ac:dyDescent="0.3">
      <c r="A648" t="s">
        <v>59</v>
      </c>
      <c r="B648" t="s">
        <v>2024</v>
      </c>
      <c r="C648" t="s">
        <v>2024</v>
      </c>
      <c r="D648" s="4">
        <v>46001</v>
      </c>
      <c r="E648">
        <v>21000</v>
      </c>
      <c r="F648" t="s">
        <v>2025</v>
      </c>
      <c r="G648" t="s">
        <v>2026</v>
      </c>
      <c r="H648" t="s">
        <v>94</v>
      </c>
      <c r="I648" t="s">
        <v>2027</v>
      </c>
      <c r="J648" t="s">
        <v>96</v>
      </c>
      <c r="K648" t="s">
        <v>2028</v>
      </c>
      <c r="L648" t="s">
        <v>44</v>
      </c>
      <c r="M648" t="s">
        <v>2029</v>
      </c>
      <c r="N648">
        <v>71305</v>
      </c>
      <c r="O648" t="s">
        <v>45</v>
      </c>
      <c r="P648" t="s">
        <v>54</v>
      </c>
      <c r="Q648" t="s">
        <v>52</v>
      </c>
      <c r="R648">
        <v>0</v>
      </c>
      <c r="S648">
        <v>80.2</v>
      </c>
      <c r="T648" t="s">
        <v>192</v>
      </c>
      <c r="U648">
        <v>100</v>
      </c>
      <c r="V648" t="s">
        <v>2030</v>
      </c>
      <c r="W648">
        <v>54353333</v>
      </c>
      <c r="X648" t="s">
        <v>86</v>
      </c>
      <c r="Y648" t="s">
        <v>2031</v>
      </c>
      <c r="Z648" t="b">
        <v>0</v>
      </c>
      <c r="AA648">
        <v>261.84538653366582</v>
      </c>
      <c r="AN648" t="e">
        <f>100*(1-E648/AL648)</f>
        <v>#DIV/0!</v>
      </c>
    </row>
    <row r="649" spans="1:40" x14ac:dyDescent="0.3">
      <c r="A649" t="s">
        <v>59</v>
      </c>
      <c r="B649" t="s">
        <v>2024</v>
      </c>
      <c r="C649" t="s">
        <v>2024</v>
      </c>
      <c r="D649" s="4">
        <v>46001</v>
      </c>
      <c r="E649">
        <v>21000</v>
      </c>
      <c r="F649" t="s">
        <v>2025</v>
      </c>
      <c r="G649" t="s">
        <v>2026</v>
      </c>
      <c r="H649" t="s">
        <v>94</v>
      </c>
      <c r="I649" t="s">
        <v>2027</v>
      </c>
      <c r="J649" t="s">
        <v>96</v>
      </c>
      <c r="K649" t="s">
        <v>2028</v>
      </c>
      <c r="L649" t="s">
        <v>44</v>
      </c>
      <c r="M649" t="s">
        <v>2029</v>
      </c>
      <c r="N649">
        <v>71305</v>
      </c>
      <c r="O649" t="s">
        <v>45</v>
      </c>
      <c r="P649" t="s">
        <v>54</v>
      </c>
      <c r="Q649" t="s">
        <v>52</v>
      </c>
      <c r="R649">
        <v>0</v>
      </c>
      <c r="S649">
        <v>80.2</v>
      </c>
      <c r="T649" t="s">
        <v>192</v>
      </c>
      <c r="U649">
        <v>100</v>
      </c>
      <c r="V649" t="s">
        <v>2030</v>
      </c>
      <c r="W649">
        <v>54353333</v>
      </c>
      <c r="X649" t="s">
        <v>86</v>
      </c>
      <c r="Y649" t="s">
        <v>2031</v>
      </c>
      <c r="Z649" t="b">
        <v>0</v>
      </c>
      <c r="AA649">
        <v>261.84538653366582</v>
      </c>
      <c r="AN649" t="e">
        <f>100*(1-E649/AL649)</f>
        <v>#DIV/0!</v>
      </c>
    </row>
    <row r="650" spans="1:40" x14ac:dyDescent="0.3">
      <c r="A650" t="s">
        <v>59</v>
      </c>
      <c r="B650" t="s">
        <v>2032</v>
      </c>
      <c r="C650" t="s">
        <v>2032</v>
      </c>
      <c r="D650" s="4">
        <v>46001</v>
      </c>
      <c r="E650">
        <v>20000</v>
      </c>
      <c r="F650" t="s">
        <v>2033</v>
      </c>
      <c r="G650" t="s">
        <v>1823</v>
      </c>
      <c r="H650" t="s">
        <v>94</v>
      </c>
      <c r="I650" t="s">
        <v>1824</v>
      </c>
      <c r="J650" t="s">
        <v>96</v>
      </c>
      <c r="K650" t="s">
        <v>2034</v>
      </c>
      <c r="L650" t="s">
        <v>44</v>
      </c>
      <c r="M650" t="s">
        <v>2035</v>
      </c>
      <c r="N650">
        <v>70012</v>
      </c>
      <c r="O650" t="s">
        <v>97</v>
      </c>
      <c r="P650" t="s">
        <v>98</v>
      </c>
      <c r="Q650">
        <v>0</v>
      </c>
      <c r="R650">
        <v>0</v>
      </c>
      <c r="S650">
        <v>1007.21</v>
      </c>
      <c r="T650">
        <v>0</v>
      </c>
      <c r="U650">
        <v>0</v>
      </c>
      <c r="V650" t="s">
        <v>2036</v>
      </c>
      <c r="W650">
        <v>67042071</v>
      </c>
      <c r="X650" t="s">
        <v>49</v>
      </c>
      <c r="Y650">
        <v>170070402460</v>
      </c>
      <c r="Z650" t="b">
        <v>0</v>
      </c>
      <c r="AA650">
        <v>19.856832239552819</v>
      </c>
      <c r="AN650" t="e">
        <f>100*(1-E650/AL650)</f>
        <v>#DIV/0!</v>
      </c>
    </row>
    <row r="651" spans="1:40" x14ac:dyDescent="0.3">
      <c r="A651" t="s">
        <v>59</v>
      </c>
      <c r="B651" t="s">
        <v>2037</v>
      </c>
      <c r="C651" t="s">
        <v>2037</v>
      </c>
      <c r="D651" s="4">
        <v>46001</v>
      </c>
      <c r="E651">
        <v>35400</v>
      </c>
      <c r="F651" t="s">
        <v>2038</v>
      </c>
      <c r="G651" t="s">
        <v>442</v>
      </c>
      <c r="H651" t="s">
        <v>111</v>
      </c>
      <c r="I651" t="s">
        <v>443</v>
      </c>
      <c r="J651" t="s">
        <v>165</v>
      </c>
      <c r="K651" t="s">
        <v>2039</v>
      </c>
      <c r="L651" t="s">
        <v>44</v>
      </c>
      <c r="M651" t="s">
        <v>452</v>
      </c>
      <c r="N651">
        <v>32200</v>
      </c>
      <c r="O651" t="s">
        <v>45</v>
      </c>
      <c r="P651" t="s">
        <v>81</v>
      </c>
      <c r="Q651" t="s">
        <v>52</v>
      </c>
      <c r="R651">
        <v>0</v>
      </c>
      <c r="S651">
        <v>66.25</v>
      </c>
      <c r="T651">
        <v>0</v>
      </c>
      <c r="U651">
        <v>0</v>
      </c>
      <c r="V651" t="s">
        <v>2040</v>
      </c>
      <c r="W651">
        <v>47786148</v>
      </c>
      <c r="X651" t="s">
        <v>49</v>
      </c>
      <c r="Y651">
        <v>70300438003</v>
      </c>
      <c r="Z651" t="b">
        <v>0</v>
      </c>
      <c r="AA651">
        <v>534.33962264150944</v>
      </c>
      <c r="AN651" t="e">
        <f>100*(1-E651/AL651)</f>
        <v>#DIV/0!</v>
      </c>
    </row>
    <row r="652" spans="1:40" x14ac:dyDescent="0.3">
      <c r="A652" t="s">
        <v>71</v>
      </c>
      <c r="B652" t="s">
        <v>2041</v>
      </c>
      <c r="C652" t="s">
        <v>2041</v>
      </c>
      <c r="D652" s="4">
        <v>46001</v>
      </c>
      <c r="E652">
        <v>83000</v>
      </c>
      <c r="F652" t="s">
        <v>2042</v>
      </c>
      <c r="G652" t="s">
        <v>2043</v>
      </c>
      <c r="H652" t="s">
        <v>124</v>
      </c>
      <c r="I652" t="s">
        <v>516</v>
      </c>
      <c r="J652" t="s">
        <v>126</v>
      </c>
      <c r="K652" t="s">
        <v>2044</v>
      </c>
      <c r="L652" t="s">
        <v>44</v>
      </c>
      <c r="M652" t="s">
        <v>2045</v>
      </c>
      <c r="N652">
        <v>25008</v>
      </c>
      <c r="O652" t="s">
        <v>97</v>
      </c>
      <c r="P652" t="s">
        <v>98</v>
      </c>
      <c r="Q652">
        <v>0</v>
      </c>
      <c r="R652">
        <v>0</v>
      </c>
      <c r="S652">
        <v>5332.77</v>
      </c>
      <c r="T652">
        <v>0</v>
      </c>
      <c r="U652">
        <v>0</v>
      </c>
      <c r="V652" t="s">
        <v>2046</v>
      </c>
      <c r="W652">
        <v>11812333</v>
      </c>
      <c r="X652" t="s">
        <v>49</v>
      </c>
      <c r="Y652">
        <v>60431116030</v>
      </c>
      <c r="Z652" t="b">
        <v>0</v>
      </c>
      <c r="AA652">
        <v>15.56414396270606</v>
      </c>
      <c r="AN652" t="e">
        <f>100*(1-E652/AL652)</f>
        <v>#DIV/0!</v>
      </c>
    </row>
    <row r="653" spans="1:40" x14ac:dyDescent="0.3">
      <c r="A653" t="s">
        <v>183</v>
      </c>
      <c r="B653" t="s">
        <v>2047</v>
      </c>
      <c r="C653" t="s">
        <v>2047</v>
      </c>
      <c r="D653" s="4">
        <v>46001</v>
      </c>
      <c r="E653">
        <v>135000</v>
      </c>
      <c r="F653" t="s">
        <v>193</v>
      </c>
      <c r="G653" t="s">
        <v>2048</v>
      </c>
      <c r="H653" t="s">
        <v>156</v>
      </c>
      <c r="I653" t="s">
        <v>252</v>
      </c>
      <c r="J653" t="s">
        <v>253</v>
      </c>
      <c r="K653" t="s">
        <v>2049</v>
      </c>
      <c r="L653" t="s">
        <v>44</v>
      </c>
      <c r="M653" t="s">
        <v>2050</v>
      </c>
      <c r="N653">
        <v>31100</v>
      </c>
      <c r="O653" t="s">
        <v>45</v>
      </c>
      <c r="P653" t="s">
        <v>54</v>
      </c>
      <c r="Q653" t="s">
        <v>52</v>
      </c>
      <c r="R653">
        <v>0</v>
      </c>
      <c r="S653">
        <v>93.55</v>
      </c>
      <c r="T653">
        <v>0</v>
      </c>
      <c r="U653">
        <v>0</v>
      </c>
      <c r="V653" t="s">
        <v>2051</v>
      </c>
      <c r="W653">
        <v>29030313</v>
      </c>
      <c r="X653" t="s">
        <v>86</v>
      </c>
      <c r="Y653" t="s">
        <v>2052</v>
      </c>
      <c r="Z653" t="b">
        <v>0</v>
      </c>
      <c r="AA653">
        <v>1443.0785676109031</v>
      </c>
      <c r="AN653" t="e">
        <f>100*(1-E653/AL653)</f>
        <v>#DIV/0!</v>
      </c>
    </row>
    <row r="654" spans="1:40" x14ac:dyDescent="0.3">
      <c r="A654" t="s">
        <v>39</v>
      </c>
      <c r="B654" t="s">
        <v>2053</v>
      </c>
      <c r="C654" t="s">
        <v>2054</v>
      </c>
      <c r="D654" s="4">
        <v>46001</v>
      </c>
      <c r="E654">
        <v>18200</v>
      </c>
      <c r="F654" t="s">
        <v>2055</v>
      </c>
      <c r="G654" t="s">
        <v>454</v>
      </c>
      <c r="H654" t="s">
        <v>94</v>
      </c>
      <c r="I654" t="s">
        <v>455</v>
      </c>
      <c r="J654" t="s">
        <v>235</v>
      </c>
      <c r="K654" t="s">
        <v>2056</v>
      </c>
      <c r="L654" t="s">
        <v>44</v>
      </c>
      <c r="M654" t="s">
        <v>2057</v>
      </c>
      <c r="N654">
        <v>72300</v>
      </c>
      <c r="O654" t="s">
        <v>45</v>
      </c>
      <c r="P654" t="s">
        <v>54</v>
      </c>
      <c r="Q654" t="s">
        <v>47</v>
      </c>
      <c r="R654">
        <v>0</v>
      </c>
      <c r="S654">
        <v>18.36</v>
      </c>
      <c r="T654">
        <v>0</v>
      </c>
      <c r="U654">
        <v>0</v>
      </c>
      <c r="V654" t="s">
        <v>2058</v>
      </c>
      <c r="W654">
        <v>28790863</v>
      </c>
      <c r="X654" t="s">
        <v>49</v>
      </c>
      <c r="Y654" t="s">
        <v>2059</v>
      </c>
      <c r="Z654" t="b">
        <v>0</v>
      </c>
      <c r="AA654">
        <v>991.28540305010893</v>
      </c>
      <c r="AN654" t="e">
        <f>100*(1-E654/AL654)</f>
        <v>#DIV/0!</v>
      </c>
    </row>
    <row r="655" spans="1:40" x14ac:dyDescent="0.3">
      <c r="A655" t="s">
        <v>39</v>
      </c>
      <c r="B655" t="s">
        <v>2060</v>
      </c>
      <c r="C655" t="s">
        <v>2054</v>
      </c>
      <c r="D655" s="4">
        <v>46001</v>
      </c>
      <c r="E655">
        <v>48300</v>
      </c>
      <c r="F655" t="s">
        <v>2061</v>
      </c>
      <c r="G655" t="s">
        <v>454</v>
      </c>
      <c r="H655" t="s">
        <v>94</v>
      </c>
      <c r="I655" t="s">
        <v>455</v>
      </c>
      <c r="J655" t="s">
        <v>235</v>
      </c>
      <c r="K655" t="s">
        <v>2056</v>
      </c>
      <c r="L655" t="s">
        <v>44</v>
      </c>
      <c r="M655" t="s">
        <v>2057</v>
      </c>
      <c r="N655">
        <v>72300</v>
      </c>
      <c r="O655" t="s">
        <v>45</v>
      </c>
      <c r="P655" t="s">
        <v>54</v>
      </c>
      <c r="Q655" t="s">
        <v>47</v>
      </c>
      <c r="R655">
        <v>0</v>
      </c>
      <c r="S655">
        <v>45.23</v>
      </c>
      <c r="T655">
        <v>0</v>
      </c>
      <c r="U655">
        <v>0</v>
      </c>
      <c r="V655" t="s">
        <v>2058</v>
      </c>
      <c r="W655">
        <v>28790863</v>
      </c>
      <c r="X655" t="s">
        <v>49</v>
      </c>
      <c r="Y655" t="s">
        <v>2062</v>
      </c>
      <c r="Z655" t="b">
        <v>0</v>
      </c>
      <c r="AA655">
        <v>1067.8753040017691</v>
      </c>
      <c r="AN655" t="e">
        <f>100*(1-E655/AL655)</f>
        <v>#DIV/0!</v>
      </c>
    </row>
    <row r="656" spans="1:40" x14ac:dyDescent="0.3">
      <c r="A656" t="s">
        <v>39</v>
      </c>
      <c r="B656" t="s">
        <v>2063</v>
      </c>
      <c r="C656" t="s">
        <v>2054</v>
      </c>
      <c r="D656" s="4">
        <v>46001</v>
      </c>
      <c r="E656">
        <v>83200</v>
      </c>
      <c r="F656" t="s">
        <v>208</v>
      </c>
      <c r="G656" t="s">
        <v>454</v>
      </c>
      <c r="H656" t="s">
        <v>94</v>
      </c>
      <c r="I656" t="s">
        <v>455</v>
      </c>
      <c r="J656" t="s">
        <v>235</v>
      </c>
      <c r="K656" t="s">
        <v>2056</v>
      </c>
      <c r="L656" t="s">
        <v>44</v>
      </c>
      <c r="M656" t="s">
        <v>2057</v>
      </c>
      <c r="N656">
        <v>72300</v>
      </c>
      <c r="O656" t="s">
        <v>45</v>
      </c>
      <c r="P656" t="s">
        <v>54</v>
      </c>
      <c r="Q656" t="s">
        <v>52</v>
      </c>
      <c r="R656">
        <v>0</v>
      </c>
      <c r="S656">
        <v>54.59</v>
      </c>
      <c r="T656">
        <v>0</v>
      </c>
      <c r="U656">
        <v>0</v>
      </c>
      <c r="V656" t="s">
        <v>2058</v>
      </c>
      <c r="W656">
        <v>28790863</v>
      </c>
      <c r="X656" t="s">
        <v>49</v>
      </c>
      <c r="Y656" t="s">
        <v>2064</v>
      </c>
      <c r="Z656" t="b">
        <v>0</v>
      </c>
      <c r="AA656">
        <v>1524.0886609269101</v>
      </c>
      <c r="AN656" t="e">
        <f>100*(1-E656/AL656)</f>
        <v>#DIV/0!</v>
      </c>
    </row>
    <row r="657" spans="1:40" x14ac:dyDescent="0.3">
      <c r="A657" t="s">
        <v>39</v>
      </c>
      <c r="B657" t="s">
        <v>2065</v>
      </c>
      <c r="C657" t="s">
        <v>2054</v>
      </c>
      <c r="D657" s="4">
        <v>46001</v>
      </c>
      <c r="E657">
        <v>38400</v>
      </c>
      <c r="F657" t="s">
        <v>2066</v>
      </c>
      <c r="G657" t="s">
        <v>454</v>
      </c>
      <c r="H657" t="s">
        <v>94</v>
      </c>
      <c r="I657" t="s">
        <v>455</v>
      </c>
      <c r="J657" t="s">
        <v>235</v>
      </c>
      <c r="K657" t="s">
        <v>2056</v>
      </c>
      <c r="L657" t="s">
        <v>44</v>
      </c>
      <c r="M657" t="s">
        <v>2057</v>
      </c>
      <c r="N657">
        <v>72300</v>
      </c>
      <c r="O657" t="s">
        <v>45</v>
      </c>
      <c r="P657" t="s">
        <v>54</v>
      </c>
      <c r="Q657" t="s">
        <v>52</v>
      </c>
      <c r="R657">
        <v>0</v>
      </c>
      <c r="S657">
        <v>32.67</v>
      </c>
      <c r="T657">
        <v>0</v>
      </c>
      <c r="U657">
        <v>0</v>
      </c>
      <c r="V657" t="s">
        <v>2058</v>
      </c>
      <c r="W657">
        <v>28790863</v>
      </c>
      <c r="X657" t="s">
        <v>49</v>
      </c>
      <c r="Y657" t="s">
        <v>2067</v>
      </c>
      <c r="Z657" t="b">
        <v>0</v>
      </c>
      <c r="AA657">
        <v>1175.3902662993571</v>
      </c>
      <c r="AN657" t="e">
        <f>100*(1-E657/AL657)</f>
        <v>#DIV/0!</v>
      </c>
    </row>
    <row r="658" spans="1:40" x14ac:dyDescent="0.3">
      <c r="A658" t="s">
        <v>39</v>
      </c>
      <c r="B658" t="s">
        <v>2068</v>
      </c>
      <c r="C658" t="s">
        <v>2054</v>
      </c>
      <c r="D658" s="4">
        <v>46001</v>
      </c>
      <c r="E658">
        <v>32000</v>
      </c>
      <c r="F658" t="s">
        <v>2069</v>
      </c>
      <c r="G658" t="s">
        <v>454</v>
      </c>
      <c r="H658" t="s">
        <v>94</v>
      </c>
      <c r="I658" t="s">
        <v>455</v>
      </c>
      <c r="J658" t="s">
        <v>235</v>
      </c>
      <c r="K658" t="s">
        <v>2070</v>
      </c>
      <c r="L658" t="s">
        <v>44</v>
      </c>
      <c r="M658" t="s">
        <v>2071</v>
      </c>
      <c r="N658">
        <v>72300</v>
      </c>
      <c r="O658" t="s">
        <v>50</v>
      </c>
      <c r="P658" t="s">
        <v>51</v>
      </c>
      <c r="Q658" t="s">
        <v>52</v>
      </c>
      <c r="R658">
        <v>0</v>
      </c>
      <c r="S658">
        <v>35.479999999999997</v>
      </c>
      <c r="T658">
        <v>0</v>
      </c>
      <c r="U658">
        <v>0</v>
      </c>
      <c r="V658" t="s">
        <v>2058</v>
      </c>
      <c r="W658">
        <v>28790863</v>
      </c>
      <c r="X658" t="s">
        <v>49</v>
      </c>
      <c r="Y658" t="s">
        <v>2072</v>
      </c>
      <c r="Z658" t="b">
        <v>0</v>
      </c>
      <c r="AA658">
        <v>901.91657271702377</v>
      </c>
      <c r="AN658" t="e">
        <f>100*(1-E658/AL658)</f>
        <v>#DIV/0!</v>
      </c>
    </row>
    <row r="659" spans="1:40" x14ac:dyDescent="0.3">
      <c r="A659" t="s">
        <v>39</v>
      </c>
      <c r="B659" t="s">
        <v>2073</v>
      </c>
      <c r="C659" t="s">
        <v>2054</v>
      </c>
      <c r="D659" s="4">
        <v>46001</v>
      </c>
      <c r="E659">
        <v>68600</v>
      </c>
      <c r="F659" t="s">
        <v>2074</v>
      </c>
      <c r="G659" t="s">
        <v>454</v>
      </c>
      <c r="H659" t="s">
        <v>94</v>
      </c>
      <c r="I659" t="s">
        <v>455</v>
      </c>
      <c r="J659" t="s">
        <v>235</v>
      </c>
      <c r="K659" t="s">
        <v>2056</v>
      </c>
      <c r="L659" t="s">
        <v>44</v>
      </c>
      <c r="M659" t="s">
        <v>2057</v>
      </c>
      <c r="N659">
        <v>72300</v>
      </c>
      <c r="O659" t="s">
        <v>45</v>
      </c>
      <c r="P659" t="s">
        <v>288</v>
      </c>
      <c r="Q659" t="s">
        <v>55</v>
      </c>
      <c r="R659">
        <v>0</v>
      </c>
      <c r="S659">
        <v>54.05</v>
      </c>
      <c r="T659">
        <v>0</v>
      </c>
      <c r="U659">
        <v>0</v>
      </c>
      <c r="V659" t="s">
        <v>2058</v>
      </c>
      <c r="W659">
        <v>28790863</v>
      </c>
      <c r="X659" t="s">
        <v>49</v>
      </c>
      <c r="Y659" t="s">
        <v>2075</v>
      </c>
      <c r="Z659" t="b">
        <v>0</v>
      </c>
      <c r="AA659">
        <v>1269.1951896392229</v>
      </c>
      <c r="AN659" t="e">
        <f>100*(1-E659/AL659)</f>
        <v>#DIV/0!</v>
      </c>
    </row>
    <row r="660" spans="1:40" x14ac:dyDescent="0.3">
      <c r="A660" t="s">
        <v>39</v>
      </c>
      <c r="B660" t="s">
        <v>2076</v>
      </c>
      <c r="C660" t="s">
        <v>2054</v>
      </c>
      <c r="D660" s="4">
        <v>46001</v>
      </c>
      <c r="E660">
        <v>50600</v>
      </c>
      <c r="F660" t="s">
        <v>2077</v>
      </c>
      <c r="G660" t="s">
        <v>454</v>
      </c>
      <c r="H660" t="s">
        <v>94</v>
      </c>
      <c r="I660" t="s">
        <v>455</v>
      </c>
      <c r="J660" t="s">
        <v>235</v>
      </c>
      <c r="K660" t="s">
        <v>2056</v>
      </c>
      <c r="L660" t="s">
        <v>44</v>
      </c>
      <c r="M660" t="s">
        <v>2057</v>
      </c>
      <c r="N660">
        <v>72300</v>
      </c>
      <c r="O660" t="s">
        <v>45</v>
      </c>
      <c r="P660" t="s">
        <v>288</v>
      </c>
      <c r="Q660" t="s">
        <v>55</v>
      </c>
      <c r="R660">
        <v>0</v>
      </c>
      <c r="S660">
        <v>38.880000000000003</v>
      </c>
      <c r="T660">
        <v>0</v>
      </c>
      <c r="U660">
        <v>0</v>
      </c>
      <c r="V660" t="s">
        <v>2058</v>
      </c>
      <c r="W660">
        <v>28790863</v>
      </c>
      <c r="X660" t="s">
        <v>49</v>
      </c>
      <c r="Y660" t="s">
        <v>2078</v>
      </c>
      <c r="Z660" t="b">
        <v>0</v>
      </c>
      <c r="AA660">
        <v>1301.4403292181071</v>
      </c>
      <c r="AN660" t="e">
        <f>100*(1-E660/AL660)</f>
        <v>#DIV/0!</v>
      </c>
    </row>
    <row r="661" spans="1:40" x14ac:dyDescent="0.3">
      <c r="A661" t="s">
        <v>39</v>
      </c>
      <c r="B661" t="s">
        <v>2079</v>
      </c>
      <c r="C661" t="s">
        <v>2054</v>
      </c>
      <c r="D661" s="4">
        <v>46001</v>
      </c>
      <c r="E661">
        <v>42000</v>
      </c>
      <c r="F661" t="s">
        <v>2080</v>
      </c>
      <c r="G661" t="s">
        <v>454</v>
      </c>
      <c r="H661" t="s">
        <v>94</v>
      </c>
      <c r="I661" t="s">
        <v>455</v>
      </c>
      <c r="J661" t="s">
        <v>235</v>
      </c>
      <c r="K661" t="s">
        <v>2070</v>
      </c>
      <c r="L661" t="s">
        <v>44</v>
      </c>
      <c r="M661" t="s">
        <v>2071</v>
      </c>
      <c r="N661">
        <v>72300</v>
      </c>
      <c r="O661" t="s">
        <v>50</v>
      </c>
      <c r="P661" t="s">
        <v>51</v>
      </c>
      <c r="Q661" t="s">
        <v>52</v>
      </c>
      <c r="R661">
        <v>0</v>
      </c>
      <c r="S661">
        <v>46.38</v>
      </c>
      <c r="T661">
        <v>0</v>
      </c>
      <c r="U661">
        <v>0</v>
      </c>
      <c r="V661" t="s">
        <v>2058</v>
      </c>
      <c r="W661">
        <v>28790863</v>
      </c>
      <c r="X661" t="s">
        <v>49</v>
      </c>
      <c r="Y661" t="s">
        <v>2081</v>
      </c>
      <c r="Z661" t="b">
        <v>0</v>
      </c>
      <c r="AA661">
        <v>905.56274256144889</v>
      </c>
      <c r="AN661" t="e">
        <f>100*(1-E661/AL661)</f>
        <v>#DIV/0!</v>
      </c>
    </row>
    <row r="662" spans="1:40" x14ac:dyDescent="0.3">
      <c r="A662" t="s">
        <v>39</v>
      </c>
      <c r="B662" t="s">
        <v>2082</v>
      </c>
      <c r="C662" t="s">
        <v>2054</v>
      </c>
      <c r="D662" s="4">
        <v>46001</v>
      </c>
      <c r="E662">
        <v>18100</v>
      </c>
      <c r="F662" t="s">
        <v>2055</v>
      </c>
      <c r="G662" t="s">
        <v>454</v>
      </c>
      <c r="H662" t="s">
        <v>94</v>
      </c>
      <c r="I662" t="s">
        <v>455</v>
      </c>
      <c r="J662" t="s">
        <v>235</v>
      </c>
      <c r="K662" t="s">
        <v>2056</v>
      </c>
      <c r="L662" t="s">
        <v>44</v>
      </c>
      <c r="M662" t="s">
        <v>2071</v>
      </c>
      <c r="N662">
        <v>72300</v>
      </c>
      <c r="O662" t="s">
        <v>45</v>
      </c>
      <c r="P662" t="s">
        <v>54</v>
      </c>
      <c r="Q662" t="s">
        <v>47</v>
      </c>
      <c r="R662">
        <v>0</v>
      </c>
      <c r="S662">
        <v>18.29</v>
      </c>
      <c r="T662">
        <v>0</v>
      </c>
      <c r="U662">
        <v>0</v>
      </c>
      <c r="V662" t="s">
        <v>2058</v>
      </c>
      <c r="W662">
        <v>28790863</v>
      </c>
      <c r="X662" t="s">
        <v>49</v>
      </c>
      <c r="Y662" t="s">
        <v>2083</v>
      </c>
      <c r="Z662" t="b">
        <v>0</v>
      </c>
      <c r="AA662">
        <v>989.61180973209412</v>
      </c>
      <c r="AN662" t="e">
        <f>100*(1-E662/AL662)</f>
        <v>#DIV/0!</v>
      </c>
    </row>
    <row r="663" spans="1:40" x14ac:dyDescent="0.3">
      <c r="A663" t="s">
        <v>139</v>
      </c>
      <c r="B663" t="s">
        <v>2084</v>
      </c>
      <c r="C663" t="s">
        <v>2085</v>
      </c>
      <c r="D663" s="4">
        <v>46001</v>
      </c>
      <c r="E663">
        <v>23000</v>
      </c>
      <c r="F663" t="s">
        <v>2086</v>
      </c>
      <c r="G663" t="s">
        <v>459</v>
      </c>
      <c r="H663" t="s">
        <v>94</v>
      </c>
      <c r="I663" t="s">
        <v>460</v>
      </c>
      <c r="J663" t="s">
        <v>449</v>
      </c>
      <c r="K663" t="s">
        <v>2087</v>
      </c>
      <c r="L663" t="s">
        <v>44</v>
      </c>
      <c r="M663" t="s">
        <v>2088</v>
      </c>
      <c r="N663">
        <v>74100</v>
      </c>
      <c r="O663" t="s">
        <v>97</v>
      </c>
      <c r="P663" t="s">
        <v>118</v>
      </c>
      <c r="Q663">
        <v>0</v>
      </c>
      <c r="R663">
        <v>0</v>
      </c>
      <c r="S663">
        <v>4455</v>
      </c>
      <c r="T663">
        <v>0</v>
      </c>
      <c r="U663">
        <v>0</v>
      </c>
      <c r="V663" t="s">
        <v>2089</v>
      </c>
      <c r="W663">
        <v>62219090</v>
      </c>
      <c r="X663" t="s">
        <v>49</v>
      </c>
      <c r="Y663">
        <v>0</v>
      </c>
      <c r="Z663" t="b">
        <v>0</v>
      </c>
      <c r="AA663">
        <v>5.162738496071829</v>
      </c>
      <c r="AN663" t="e">
        <f>100*(1-E663/AL663)</f>
        <v>#DIV/0!</v>
      </c>
    </row>
    <row r="664" spans="1:40" x14ac:dyDescent="0.3">
      <c r="A664" t="s">
        <v>139</v>
      </c>
      <c r="B664" t="s">
        <v>2090</v>
      </c>
      <c r="C664" t="s">
        <v>2085</v>
      </c>
      <c r="D664" s="4">
        <v>46001</v>
      </c>
      <c r="E664">
        <v>41000</v>
      </c>
      <c r="F664" t="s">
        <v>2091</v>
      </c>
      <c r="G664" t="s">
        <v>459</v>
      </c>
      <c r="H664" t="s">
        <v>94</v>
      </c>
      <c r="I664" t="s">
        <v>460</v>
      </c>
      <c r="J664" t="s">
        <v>449</v>
      </c>
      <c r="K664" t="s">
        <v>2087</v>
      </c>
      <c r="L664" t="s">
        <v>44</v>
      </c>
      <c r="M664" t="s">
        <v>2092</v>
      </c>
      <c r="N664">
        <v>74100</v>
      </c>
      <c r="O664" t="s">
        <v>45</v>
      </c>
      <c r="P664" t="s">
        <v>81</v>
      </c>
      <c r="Q664" t="s">
        <v>52</v>
      </c>
      <c r="R664">
        <v>0</v>
      </c>
      <c r="S664">
        <v>175</v>
      </c>
      <c r="T664">
        <v>0</v>
      </c>
      <c r="U664">
        <v>0</v>
      </c>
      <c r="V664" t="s">
        <v>2089</v>
      </c>
      <c r="W664">
        <v>62219090</v>
      </c>
      <c r="X664" t="s">
        <v>49</v>
      </c>
      <c r="Y664">
        <v>0</v>
      </c>
      <c r="Z664" t="b">
        <v>0</v>
      </c>
      <c r="AA664">
        <v>234.28571428571431</v>
      </c>
      <c r="AN664" t="e">
        <f>100*(1-E664/AL664)</f>
        <v>#DIV/0!</v>
      </c>
    </row>
    <row r="665" spans="1:40" x14ac:dyDescent="0.3">
      <c r="A665" t="s">
        <v>71</v>
      </c>
      <c r="B665" t="s">
        <v>2093</v>
      </c>
      <c r="C665" t="s">
        <v>2093</v>
      </c>
      <c r="D665" s="4">
        <v>46001</v>
      </c>
      <c r="E665">
        <v>54000</v>
      </c>
      <c r="F665" t="s">
        <v>2094</v>
      </c>
      <c r="G665" t="s">
        <v>454</v>
      </c>
      <c r="H665" t="s">
        <v>94</v>
      </c>
      <c r="I665" t="s">
        <v>455</v>
      </c>
      <c r="J665" t="s">
        <v>235</v>
      </c>
      <c r="K665" t="s">
        <v>2095</v>
      </c>
      <c r="L665" t="s">
        <v>44</v>
      </c>
      <c r="M665" t="s">
        <v>2096</v>
      </c>
      <c r="N665">
        <v>72300</v>
      </c>
      <c r="O665" t="s">
        <v>97</v>
      </c>
      <c r="P665" t="s">
        <v>118</v>
      </c>
      <c r="Q665">
        <v>0</v>
      </c>
      <c r="R665">
        <v>0</v>
      </c>
      <c r="S665">
        <v>5778.14</v>
      </c>
      <c r="T665">
        <v>0</v>
      </c>
      <c r="U665">
        <v>0</v>
      </c>
      <c r="V665" t="s">
        <v>2097</v>
      </c>
      <c r="W665">
        <v>28790501</v>
      </c>
      <c r="X665" t="s">
        <v>49</v>
      </c>
      <c r="Y665" t="s">
        <v>2098</v>
      </c>
      <c r="Z665" t="b">
        <v>0</v>
      </c>
      <c r="AA665">
        <v>9.3455679509323062</v>
      </c>
      <c r="AN665" t="e">
        <f>100*(1-E665/AL665)</f>
        <v>#DIV/0!</v>
      </c>
    </row>
    <row r="666" spans="1:40" x14ac:dyDescent="0.3">
      <c r="A666" t="s">
        <v>59</v>
      </c>
      <c r="B666" t="s">
        <v>2099</v>
      </c>
      <c r="C666" t="s">
        <v>2099</v>
      </c>
      <c r="D666" s="4">
        <v>46001</v>
      </c>
      <c r="E666">
        <v>45000</v>
      </c>
      <c r="F666" t="s">
        <v>409</v>
      </c>
      <c r="G666" t="s">
        <v>318</v>
      </c>
      <c r="H666" t="s">
        <v>111</v>
      </c>
      <c r="I666" t="s">
        <v>319</v>
      </c>
      <c r="J666" t="s">
        <v>175</v>
      </c>
      <c r="K666" t="s">
        <v>2100</v>
      </c>
      <c r="L666" t="s">
        <v>44</v>
      </c>
      <c r="M666" t="s">
        <v>2101</v>
      </c>
      <c r="N666">
        <v>34003</v>
      </c>
      <c r="O666" t="s">
        <v>45</v>
      </c>
      <c r="P666" t="s">
        <v>81</v>
      </c>
      <c r="Q666">
        <v>0</v>
      </c>
      <c r="R666">
        <v>0</v>
      </c>
      <c r="S666">
        <v>136</v>
      </c>
      <c r="T666">
        <v>0</v>
      </c>
      <c r="U666">
        <v>0</v>
      </c>
      <c r="V666" t="s">
        <v>2102</v>
      </c>
      <c r="W666">
        <v>100202516</v>
      </c>
      <c r="X666" t="s">
        <v>49</v>
      </c>
      <c r="Y666">
        <v>121560114013</v>
      </c>
      <c r="Z666" t="b">
        <v>0</v>
      </c>
      <c r="AA666">
        <v>330.88235294117652</v>
      </c>
      <c r="AN666" t="e">
        <f>100*(1-E666/AL666)</f>
        <v>#DIV/0!</v>
      </c>
    </row>
    <row r="667" spans="1:40" x14ac:dyDescent="0.3">
      <c r="A667" t="s">
        <v>166</v>
      </c>
      <c r="B667" t="s">
        <v>2103</v>
      </c>
      <c r="C667" t="s">
        <v>2103</v>
      </c>
      <c r="D667" s="4">
        <v>46001</v>
      </c>
      <c r="E667">
        <v>194000</v>
      </c>
      <c r="F667" t="s">
        <v>2104</v>
      </c>
      <c r="G667" t="s">
        <v>2105</v>
      </c>
      <c r="H667" t="s">
        <v>124</v>
      </c>
      <c r="I667" t="s">
        <v>405</v>
      </c>
      <c r="J667" t="s">
        <v>126</v>
      </c>
      <c r="K667" t="s">
        <v>2106</v>
      </c>
      <c r="L667" t="s">
        <v>44</v>
      </c>
      <c r="M667" t="s">
        <v>2107</v>
      </c>
      <c r="N667">
        <v>26504</v>
      </c>
      <c r="O667" t="s">
        <v>50</v>
      </c>
      <c r="P667" t="s">
        <v>51</v>
      </c>
      <c r="Q667" t="s">
        <v>52</v>
      </c>
      <c r="R667">
        <v>0</v>
      </c>
      <c r="S667">
        <v>106.82</v>
      </c>
      <c r="T667">
        <v>0</v>
      </c>
      <c r="U667">
        <v>0</v>
      </c>
      <c r="V667" t="s">
        <v>2108</v>
      </c>
      <c r="W667">
        <v>52071819</v>
      </c>
      <c r="X667" t="s">
        <v>49</v>
      </c>
      <c r="Y667" t="s">
        <v>2109</v>
      </c>
      <c r="Z667" t="b">
        <v>0</v>
      </c>
      <c r="AA667">
        <v>1816.1392997565999</v>
      </c>
      <c r="AN667" t="e">
        <f>100*(1-E667/AL667)</f>
        <v>#DIV/0!</v>
      </c>
    </row>
    <row r="668" spans="1:40" x14ac:dyDescent="0.3">
      <c r="A668" t="s">
        <v>59</v>
      </c>
      <c r="B668" t="s">
        <v>2110</v>
      </c>
      <c r="C668" t="s">
        <v>2111</v>
      </c>
      <c r="D668" s="4">
        <v>46001</v>
      </c>
      <c r="E668">
        <v>70000</v>
      </c>
      <c r="F668" t="s">
        <v>2112</v>
      </c>
      <c r="G668" t="s">
        <v>2113</v>
      </c>
      <c r="H668" t="s">
        <v>124</v>
      </c>
      <c r="I668" t="s">
        <v>2114</v>
      </c>
      <c r="J668" t="s">
        <v>256</v>
      </c>
      <c r="K668" t="s">
        <v>2115</v>
      </c>
      <c r="L668" t="s">
        <v>44</v>
      </c>
      <c r="M668" t="s">
        <v>2116</v>
      </c>
      <c r="N668">
        <v>30002</v>
      </c>
      <c r="O668" t="s">
        <v>97</v>
      </c>
      <c r="P668" t="s">
        <v>118</v>
      </c>
      <c r="Q668">
        <v>0</v>
      </c>
      <c r="R668">
        <v>0</v>
      </c>
      <c r="S668">
        <v>9670.9599999999991</v>
      </c>
      <c r="T668">
        <v>0</v>
      </c>
      <c r="U668">
        <v>0</v>
      </c>
      <c r="V668" t="s">
        <v>2117</v>
      </c>
      <c r="W668">
        <v>47092556</v>
      </c>
      <c r="X668" t="s">
        <v>49</v>
      </c>
      <c r="Y668" t="s">
        <v>2118</v>
      </c>
      <c r="Z668" t="b">
        <v>0</v>
      </c>
      <c r="AA668">
        <v>7.2381645669095942</v>
      </c>
      <c r="AN668" t="e">
        <f>100*(1-E668/AL668)</f>
        <v>#DIV/0!</v>
      </c>
    </row>
    <row r="669" spans="1:40" x14ac:dyDescent="0.3">
      <c r="A669" t="s">
        <v>59</v>
      </c>
      <c r="B669" t="s">
        <v>2119</v>
      </c>
      <c r="C669" t="s">
        <v>2111</v>
      </c>
      <c r="D669" s="4">
        <v>46001</v>
      </c>
      <c r="E669">
        <v>30000</v>
      </c>
      <c r="F669" t="s">
        <v>2120</v>
      </c>
      <c r="G669" t="s">
        <v>2113</v>
      </c>
      <c r="H669" t="s">
        <v>124</v>
      </c>
      <c r="I669" t="s">
        <v>2114</v>
      </c>
      <c r="J669" t="s">
        <v>256</v>
      </c>
      <c r="K669" t="s">
        <v>2121</v>
      </c>
      <c r="L669" t="s">
        <v>44</v>
      </c>
      <c r="M669" t="s">
        <v>2116</v>
      </c>
      <c r="N669">
        <v>30002</v>
      </c>
      <c r="O669" t="s">
        <v>97</v>
      </c>
      <c r="P669" t="s">
        <v>118</v>
      </c>
      <c r="Q669">
        <v>0</v>
      </c>
      <c r="R669">
        <v>0</v>
      </c>
      <c r="S669">
        <v>5257.8</v>
      </c>
      <c r="T669">
        <v>0</v>
      </c>
      <c r="U669">
        <v>0</v>
      </c>
      <c r="V669" t="s">
        <v>2117</v>
      </c>
      <c r="W669">
        <v>47092556</v>
      </c>
      <c r="X669" t="s">
        <v>49</v>
      </c>
      <c r="Y669" t="s">
        <v>2122</v>
      </c>
      <c r="Z669" t="b">
        <v>0</v>
      </c>
      <c r="AA669">
        <v>5.7058085130663017</v>
      </c>
      <c r="AN669" t="e">
        <f>100*(1-E669/AL669)</f>
        <v>#DIV/0!</v>
      </c>
    </row>
    <row r="670" spans="1:40" x14ac:dyDescent="0.3">
      <c r="A670" t="s">
        <v>59</v>
      </c>
      <c r="B670" t="s">
        <v>2123</v>
      </c>
      <c r="C670" t="s">
        <v>2123</v>
      </c>
      <c r="D670" s="4">
        <v>46001</v>
      </c>
      <c r="E670">
        <v>54700</v>
      </c>
      <c r="F670" t="s">
        <v>2124</v>
      </c>
      <c r="G670" t="s">
        <v>425</v>
      </c>
      <c r="H670" t="s">
        <v>230</v>
      </c>
      <c r="I670" t="s">
        <v>426</v>
      </c>
      <c r="J670" t="s">
        <v>426</v>
      </c>
      <c r="K670" t="s">
        <v>2125</v>
      </c>
      <c r="L670" t="s">
        <v>44</v>
      </c>
      <c r="M670" t="s">
        <v>2126</v>
      </c>
      <c r="N670">
        <v>67100</v>
      </c>
      <c r="O670" t="s">
        <v>50</v>
      </c>
      <c r="P670" t="s">
        <v>176</v>
      </c>
      <c r="Q670" t="s">
        <v>55</v>
      </c>
      <c r="R670">
        <v>0</v>
      </c>
      <c r="S670">
        <v>95</v>
      </c>
      <c r="T670">
        <v>0</v>
      </c>
      <c r="U670">
        <v>0</v>
      </c>
      <c r="V670" t="s">
        <v>2127</v>
      </c>
      <c r="W670">
        <v>102735691</v>
      </c>
      <c r="X670" t="s">
        <v>86</v>
      </c>
      <c r="Y670" t="s">
        <v>2128</v>
      </c>
      <c r="Z670" t="b">
        <v>0</v>
      </c>
      <c r="AA670">
        <v>575.78947368421052</v>
      </c>
      <c r="AN670" t="e">
        <f>100*(1-E670/AL670)</f>
        <v>#DIV/0!</v>
      </c>
    </row>
    <row r="671" spans="1:40" x14ac:dyDescent="0.3">
      <c r="A671" t="s">
        <v>59</v>
      </c>
      <c r="B671" t="s">
        <v>2129</v>
      </c>
      <c r="C671" t="s">
        <v>2129</v>
      </c>
      <c r="D671" s="4">
        <v>46001</v>
      </c>
      <c r="E671">
        <v>85000</v>
      </c>
      <c r="F671" t="s">
        <v>2130</v>
      </c>
      <c r="G671" t="s">
        <v>115</v>
      </c>
      <c r="H671" t="s">
        <v>67</v>
      </c>
      <c r="I671" t="s">
        <v>116</v>
      </c>
      <c r="J671" t="s">
        <v>67</v>
      </c>
      <c r="K671" t="s">
        <v>2131</v>
      </c>
      <c r="L671" t="s">
        <v>44</v>
      </c>
      <c r="M671" t="s">
        <v>2132</v>
      </c>
      <c r="N671">
        <v>11472</v>
      </c>
      <c r="O671" t="s">
        <v>45</v>
      </c>
      <c r="P671" t="s">
        <v>54</v>
      </c>
      <c r="Q671" t="s">
        <v>55</v>
      </c>
      <c r="R671">
        <v>0</v>
      </c>
      <c r="S671">
        <v>50</v>
      </c>
      <c r="T671">
        <v>0</v>
      </c>
      <c r="U671">
        <v>0</v>
      </c>
      <c r="V671" t="s">
        <v>2133</v>
      </c>
      <c r="W671">
        <v>27746657</v>
      </c>
      <c r="X671" t="s">
        <v>86</v>
      </c>
      <c r="Y671" t="s">
        <v>2134</v>
      </c>
      <c r="Z671" t="b">
        <v>0</v>
      </c>
      <c r="AA671">
        <v>1700</v>
      </c>
      <c r="AN671" t="e">
        <f>100*(1-E671/AL671)</f>
        <v>#DIV/0!</v>
      </c>
    </row>
    <row r="672" spans="1:40" x14ac:dyDescent="0.3">
      <c r="A672" t="s">
        <v>59</v>
      </c>
      <c r="B672" t="s">
        <v>2135</v>
      </c>
      <c r="C672" t="s">
        <v>2135</v>
      </c>
      <c r="D672" s="4">
        <v>46001</v>
      </c>
      <c r="E672">
        <v>164000</v>
      </c>
      <c r="F672" t="s">
        <v>162</v>
      </c>
      <c r="G672" t="s">
        <v>194</v>
      </c>
      <c r="H672" t="s">
        <v>67</v>
      </c>
      <c r="I672" t="s">
        <v>195</v>
      </c>
      <c r="J672" t="s">
        <v>67</v>
      </c>
      <c r="K672" t="s">
        <v>2136</v>
      </c>
      <c r="L672" t="s">
        <v>44</v>
      </c>
      <c r="M672" t="s">
        <v>2137</v>
      </c>
      <c r="N672">
        <v>18538</v>
      </c>
      <c r="O672" t="s">
        <v>45</v>
      </c>
      <c r="P672" t="s">
        <v>54</v>
      </c>
      <c r="Q672" t="s">
        <v>85</v>
      </c>
      <c r="R672">
        <v>0</v>
      </c>
      <c r="S672">
        <v>70.5</v>
      </c>
      <c r="T672">
        <v>0</v>
      </c>
      <c r="U672">
        <v>0</v>
      </c>
      <c r="V672" t="s">
        <v>2138</v>
      </c>
      <c r="W672">
        <v>28376676</v>
      </c>
      <c r="X672" t="s">
        <v>86</v>
      </c>
      <c r="Y672" t="s">
        <v>2139</v>
      </c>
      <c r="Z672" t="b">
        <v>0</v>
      </c>
      <c r="AA672">
        <v>2326.2411347517732</v>
      </c>
      <c r="AN672" t="e">
        <f>100*(1-E672/AL672)</f>
        <v>#DIV/0!</v>
      </c>
    </row>
    <row r="673" spans="1:40" x14ac:dyDescent="0.3">
      <c r="A673" t="s">
        <v>59</v>
      </c>
      <c r="B673" t="s">
        <v>2140</v>
      </c>
      <c r="C673" t="s">
        <v>2140</v>
      </c>
      <c r="D673" s="4">
        <v>46001</v>
      </c>
      <c r="E673">
        <v>122000</v>
      </c>
      <c r="F673" t="s">
        <v>2141</v>
      </c>
      <c r="G673" t="s">
        <v>456</v>
      </c>
      <c r="H673" t="s">
        <v>62</v>
      </c>
      <c r="I673" t="s">
        <v>457</v>
      </c>
      <c r="J673" t="s">
        <v>63</v>
      </c>
      <c r="K673" t="s">
        <v>2142</v>
      </c>
      <c r="L673" t="s">
        <v>44</v>
      </c>
      <c r="M673" t="s">
        <v>2143</v>
      </c>
      <c r="N673">
        <v>57200</v>
      </c>
      <c r="O673" t="s">
        <v>45</v>
      </c>
      <c r="P673" t="s">
        <v>81</v>
      </c>
      <c r="Q673" t="s">
        <v>55</v>
      </c>
      <c r="R673">
        <v>0</v>
      </c>
      <c r="S673">
        <v>173.43</v>
      </c>
      <c r="T673">
        <v>0</v>
      </c>
      <c r="U673">
        <v>0</v>
      </c>
      <c r="V673" t="s">
        <v>2144</v>
      </c>
      <c r="W673">
        <v>116521190</v>
      </c>
      <c r="X673" t="s">
        <v>86</v>
      </c>
      <c r="Y673" t="s">
        <v>2145</v>
      </c>
      <c r="Z673" t="b">
        <v>0</v>
      </c>
      <c r="AA673">
        <v>703.45384304906872</v>
      </c>
      <c r="AN673" t="e">
        <f>100*(1-E673/AL673)</f>
        <v>#DIV/0!</v>
      </c>
    </row>
    <row r="674" spans="1:40" x14ac:dyDescent="0.3">
      <c r="A674" t="s">
        <v>59</v>
      </c>
      <c r="B674" t="s">
        <v>2146</v>
      </c>
      <c r="C674" t="s">
        <v>2146</v>
      </c>
      <c r="D674" s="4">
        <v>46001</v>
      </c>
      <c r="E674">
        <v>125201</v>
      </c>
      <c r="F674" t="s">
        <v>2147</v>
      </c>
      <c r="G674" t="s">
        <v>2148</v>
      </c>
      <c r="H674" t="s">
        <v>136</v>
      </c>
      <c r="I674" t="s">
        <v>2149</v>
      </c>
      <c r="J674" t="s">
        <v>452</v>
      </c>
      <c r="K674" t="s">
        <v>2150</v>
      </c>
      <c r="L674" t="s">
        <v>44</v>
      </c>
      <c r="M674" t="s">
        <v>2151</v>
      </c>
      <c r="N674">
        <v>37002</v>
      </c>
      <c r="O674" t="s">
        <v>50</v>
      </c>
      <c r="P674" t="s">
        <v>51</v>
      </c>
      <c r="Q674" t="s">
        <v>55</v>
      </c>
      <c r="R674">
        <v>0</v>
      </c>
      <c r="S674">
        <v>77.5</v>
      </c>
      <c r="T674">
        <v>0</v>
      </c>
      <c r="U674">
        <v>0</v>
      </c>
      <c r="V674" t="s">
        <v>2152</v>
      </c>
      <c r="W674">
        <v>107867467</v>
      </c>
      <c r="X674" t="s">
        <v>86</v>
      </c>
      <c r="Y674" t="s">
        <v>2153</v>
      </c>
      <c r="Z674" t="b">
        <v>0</v>
      </c>
      <c r="AA674">
        <v>1615.4967741935479</v>
      </c>
      <c r="AN674" t="e">
        <f>100*(1-E674/AL674)</f>
        <v>#DIV/0!</v>
      </c>
    </row>
    <row r="675" spans="1:40" x14ac:dyDescent="0.3">
      <c r="A675" t="s">
        <v>59</v>
      </c>
      <c r="B675" t="s">
        <v>2154</v>
      </c>
      <c r="C675" t="s">
        <v>2154</v>
      </c>
      <c r="D675" s="4">
        <v>46001</v>
      </c>
      <c r="E675">
        <v>60000</v>
      </c>
      <c r="F675" t="s">
        <v>2155</v>
      </c>
      <c r="G675" t="s">
        <v>141</v>
      </c>
      <c r="H675" t="s">
        <v>67</v>
      </c>
      <c r="I675" t="s">
        <v>142</v>
      </c>
      <c r="J675" t="s">
        <v>67</v>
      </c>
      <c r="K675" t="s">
        <v>2156</v>
      </c>
      <c r="L675" t="s">
        <v>44</v>
      </c>
      <c r="M675" t="s">
        <v>2157</v>
      </c>
      <c r="N675">
        <v>13675</v>
      </c>
      <c r="O675" t="s">
        <v>97</v>
      </c>
      <c r="P675" t="s">
        <v>98</v>
      </c>
      <c r="Q675">
        <v>0</v>
      </c>
      <c r="R675">
        <v>0</v>
      </c>
      <c r="S675">
        <v>395</v>
      </c>
      <c r="T675">
        <v>0</v>
      </c>
      <c r="U675">
        <v>0</v>
      </c>
      <c r="V675" t="s">
        <v>2158</v>
      </c>
      <c r="W675">
        <v>74913645</v>
      </c>
      <c r="X675" t="s">
        <v>86</v>
      </c>
      <c r="Y675" t="s">
        <v>2159</v>
      </c>
      <c r="Z675" t="b">
        <v>0</v>
      </c>
      <c r="AA675">
        <v>151.8987341772152</v>
      </c>
      <c r="AN675" t="e">
        <f>100*(1-E675/AL675)</f>
        <v>#DIV/0!</v>
      </c>
    </row>
    <row r="676" spans="1:40" x14ac:dyDescent="0.3">
      <c r="A676" t="s">
        <v>59</v>
      </c>
      <c r="B676" t="s">
        <v>2123</v>
      </c>
      <c r="C676" t="s">
        <v>2123</v>
      </c>
      <c r="D676" s="4">
        <v>46001</v>
      </c>
      <c r="E676">
        <v>54700</v>
      </c>
      <c r="F676" t="s">
        <v>2124</v>
      </c>
      <c r="G676" t="s">
        <v>425</v>
      </c>
      <c r="H676" t="s">
        <v>230</v>
      </c>
      <c r="I676" t="s">
        <v>426</v>
      </c>
      <c r="J676" t="s">
        <v>426</v>
      </c>
      <c r="K676" t="s">
        <v>2125</v>
      </c>
      <c r="L676" t="s">
        <v>44</v>
      </c>
      <c r="M676" t="s">
        <v>2126</v>
      </c>
      <c r="N676">
        <v>67100</v>
      </c>
      <c r="O676" t="s">
        <v>50</v>
      </c>
      <c r="P676" t="s">
        <v>176</v>
      </c>
      <c r="Q676" t="s">
        <v>55</v>
      </c>
      <c r="R676">
        <v>0</v>
      </c>
      <c r="S676">
        <v>95</v>
      </c>
      <c r="T676">
        <v>0</v>
      </c>
      <c r="U676">
        <v>0</v>
      </c>
      <c r="V676" t="s">
        <v>2127</v>
      </c>
      <c r="W676">
        <v>102735691</v>
      </c>
      <c r="X676" t="s">
        <v>86</v>
      </c>
      <c r="Y676" t="s">
        <v>2128</v>
      </c>
      <c r="Z676" t="b">
        <v>0</v>
      </c>
      <c r="AA676">
        <v>575.78947368421052</v>
      </c>
      <c r="AN676" t="e">
        <f>100*(1-E676/AL676)</f>
        <v>#DIV/0!</v>
      </c>
    </row>
    <row r="677" spans="1:40" x14ac:dyDescent="0.3">
      <c r="A677" t="s">
        <v>59</v>
      </c>
      <c r="B677" t="s">
        <v>2160</v>
      </c>
      <c r="C677" t="s">
        <v>2160</v>
      </c>
      <c r="D677" s="4">
        <v>46001</v>
      </c>
      <c r="E677">
        <v>77500</v>
      </c>
      <c r="F677" t="s">
        <v>488</v>
      </c>
      <c r="G677" t="s">
        <v>115</v>
      </c>
      <c r="H677" t="s">
        <v>67</v>
      </c>
      <c r="I677" t="s">
        <v>116</v>
      </c>
      <c r="J677" t="s">
        <v>67</v>
      </c>
      <c r="K677" t="s">
        <v>2161</v>
      </c>
      <c r="L677" t="s">
        <v>44</v>
      </c>
      <c r="M677" t="s">
        <v>2162</v>
      </c>
      <c r="N677">
        <v>11253</v>
      </c>
      <c r="O677" t="s">
        <v>45</v>
      </c>
      <c r="P677" t="s">
        <v>54</v>
      </c>
      <c r="Q677" t="s">
        <v>55</v>
      </c>
      <c r="R677">
        <v>0</v>
      </c>
      <c r="S677">
        <v>66.3</v>
      </c>
      <c r="T677">
        <v>0</v>
      </c>
      <c r="U677">
        <v>0</v>
      </c>
      <c r="V677" t="s">
        <v>2163</v>
      </c>
      <c r="W677">
        <v>66343620</v>
      </c>
      <c r="X677" t="s">
        <v>86</v>
      </c>
      <c r="Y677" t="s">
        <v>2164</v>
      </c>
      <c r="Z677" t="b">
        <v>0</v>
      </c>
      <c r="AA677">
        <v>1168.929110105581</v>
      </c>
      <c r="AN677" t="e">
        <f>100*(1-E677/AL677)</f>
        <v>#DIV/0!</v>
      </c>
    </row>
    <row r="678" spans="1:40" x14ac:dyDescent="0.3">
      <c r="A678" t="s">
        <v>59</v>
      </c>
      <c r="B678" t="s">
        <v>2165</v>
      </c>
      <c r="C678" t="s">
        <v>2165</v>
      </c>
      <c r="D678" s="4">
        <v>46001</v>
      </c>
      <c r="E678">
        <v>281500</v>
      </c>
      <c r="F678" t="s">
        <v>2166</v>
      </c>
      <c r="G678" t="s">
        <v>257</v>
      </c>
      <c r="H678" t="s">
        <v>94</v>
      </c>
      <c r="I678" t="s">
        <v>258</v>
      </c>
      <c r="J678" t="s">
        <v>96</v>
      </c>
      <c r="K678" t="s">
        <v>2167</v>
      </c>
      <c r="L678" t="s">
        <v>44</v>
      </c>
      <c r="M678" t="s">
        <v>2168</v>
      </c>
      <c r="N678">
        <v>70300</v>
      </c>
      <c r="O678" t="s">
        <v>45</v>
      </c>
      <c r="P678" t="s">
        <v>182</v>
      </c>
      <c r="Q678" t="s">
        <v>55</v>
      </c>
      <c r="R678">
        <v>0</v>
      </c>
      <c r="S678">
        <v>395.82</v>
      </c>
      <c r="T678">
        <v>0</v>
      </c>
      <c r="U678">
        <v>0</v>
      </c>
      <c r="V678" t="s">
        <v>2169</v>
      </c>
      <c r="W678">
        <v>36922815</v>
      </c>
      <c r="X678" t="s">
        <v>49</v>
      </c>
      <c r="Y678">
        <v>170222308028</v>
      </c>
      <c r="Z678" t="b">
        <v>0</v>
      </c>
      <c r="AA678">
        <v>711.18185033601128</v>
      </c>
      <c r="AN678" t="e">
        <f>100*(1-E678/AL678)</f>
        <v>#DIV/0!</v>
      </c>
    </row>
    <row r="679" spans="1:40" x14ac:dyDescent="0.3">
      <c r="A679" t="s">
        <v>59</v>
      </c>
      <c r="B679" t="s">
        <v>2170</v>
      </c>
      <c r="C679" t="s">
        <v>2170</v>
      </c>
      <c r="D679" s="4">
        <v>46001</v>
      </c>
      <c r="E679">
        <v>65000</v>
      </c>
      <c r="F679" t="s">
        <v>2171</v>
      </c>
      <c r="G679" t="s">
        <v>257</v>
      </c>
      <c r="H679" t="s">
        <v>94</v>
      </c>
      <c r="I679" t="s">
        <v>258</v>
      </c>
      <c r="J679" t="s">
        <v>96</v>
      </c>
      <c r="K679" t="s">
        <v>2172</v>
      </c>
      <c r="L679" t="s">
        <v>44</v>
      </c>
      <c r="M679" t="s">
        <v>2173</v>
      </c>
      <c r="N679">
        <v>70010</v>
      </c>
      <c r="O679" t="s">
        <v>97</v>
      </c>
      <c r="P679" t="s">
        <v>98</v>
      </c>
      <c r="Q679">
        <v>0</v>
      </c>
      <c r="R679">
        <v>0</v>
      </c>
      <c r="S679">
        <v>979.82</v>
      </c>
      <c r="T679">
        <v>0</v>
      </c>
      <c r="U679">
        <v>0</v>
      </c>
      <c r="V679" t="s">
        <v>2174</v>
      </c>
      <c r="W679" t="s">
        <v>2175</v>
      </c>
      <c r="X679" t="s">
        <v>49</v>
      </c>
      <c r="Y679" t="s">
        <v>2176</v>
      </c>
      <c r="Z679" t="b">
        <v>0</v>
      </c>
      <c r="AA679">
        <v>66.338715274234033</v>
      </c>
      <c r="AN679" t="e">
        <f>100*(1-E679/AL679)</f>
        <v>#DIV/0!</v>
      </c>
    </row>
    <row r="680" spans="1:40" x14ac:dyDescent="0.3">
      <c r="A680" t="s">
        <v>59</v>
      </c>
      <c r="B680" t="s">
        <v>2177</v>
      </c>
      <c r="C680" t="s">
        <v>2177</v>
      </c>
      <c r="D680" s="4">
        <v>46001</v>
      </c>
      <c r="E680">
        <v>120000</v>
      </c>
      <c r="F680" t="s">
        <v>114</v>
      </c>
      <c r="G680" t="s">
        <v>194</v>
      </c>
      <c r="H680" t="s">
        <v>67</v>
      </c>
      <c r="I680" t="s">
        <v>195</v>
      </c>
      <c r="J680" t="s">
        <v>67</v>
      </c>
      <c r="K680" t="s">
        <v>2178</v>
      </c>
      <c r="L680" t="s">
        <v>44</v>
      </c>
      <c r="M680" t="s">
        <v>2179</v>
      </c>
      <c r="N680">
        <v>18546</v>
      </c>
      <c r="O680" t="s">
        <v>45</v>
      </c>
      <c r="P680" t="s">
        <v>54</v>
      </c>
      <c r="Q680" t="s">
        <v>85</v>
      </c>
      <c r="R680">
        <v>0</v>
      </c>
      <c r="S680">
        <v>75</v>
      </c>
      <c r="T680">
        <v>0</v>
      </c>
      <c r="U680">
        <v>0</v>
      </c>
      <c r="V680" t="s">
        <v>2180</v>
      </c>
      <c r="W680">
        <v>103179169</v>
      </c>
      <c r="X680" t="s">
        <v>86</v>
      </c>
      <c r="Y680" t="s">
        <v>2181</v>
      </c>
      <c r="Z680" t="b">
        <v>0</v>
      </c>
      <c r="AA680">
        <v>1600</v>
      </c>
      <c r="AN680" t="e">
        <f>100*(1-E680/AL680)</f>
        <v>#DIV/0!</v>
      </c>
    </row>
    <row r="681" spans="1:40" x14ac:dyDescent="0.3">
      <c r="A681" t="s">
        <v>215</v>
      </c>
      <c r="B681" t="s">
        <v>2182</v>
      </c>
      <c r="C681" t="s">
        <v>2183</v>
      </c>
      <c r="D681" s="4">
        <v>46001</v>
      </c>
      <c r="E681">
        <v>33000</v>
      </c>
      <c r="F681" t="s">
        <v>2184</v>
      </c>
      <c r="G681" t="s">
        <v>61</v>
      </c>
      <c r="H681" t="s">
        <v>62</v>
      </c>
      <c r="I681" t="s">
        <v>63</v>
      </c>
      <c r="J681" t="s">
        <v>63</v>
      </c>
      <c r="K681" t="s">
        <v>2185</v>
      </c>
      <c r="L681" t="s">
        <v>44</v>
      </c>
      <c r="M681" t="s">
        <v>2186</v>
      </c>
      <c r="N681">
        <v>54454</v>
      </c>
      <c r="O681" t="s">
        <v>50</v>
      </c>
      <c r="P681" t="s">
        <v>51</v>
      </c>
      <c r="Q681">
        <v>0</v>
      </c>
      <c r="R681">
        <v>0</v>
      </c>
      <c r="S681">
        <v>41.7</v>
      </c>
      <c r="T681">
        <v>0</v>
      </c>
      <c r="U681">
        <v>0</v>
      </c>
      <c r="V681" t="s">
        <v>2187</v>
      </c>
      <c r="W681">
        <v>34232730</v>
      </c>
      <c r="X681" t="s">
        <v>49</v>
      </c>
      <c r="Y681" t="s">
        <v>2188</v>
      </c>
      <c r="Z681" t="b">
        <v>0</v>
      </c>
      <c r="AA681">
        <v>791.3669064748201</v>
      </c>
      <c r="AN681" t="e">
        <f>100*(1-E681/AL681)</f>
        <v>#DIV/0!</v>
      </c>
    </row>
    <row r="682" spans="1:40" x14ac:dyDescent="0.3">
      <c r="A682" t="s">
        <v>59</v>
      </c>
      <c r="B682" t="s">
        <v>2189</v>
      </c>
      <c r="C682" t="s">
        <v>2190</v>
      </c>
      <c r="D682" s="4">
        <v>46001</v>
      </c>
      <c r="E682">
        <v>62700</v>
      </c>
      <c r="F682" t="s">
        <v>202</v>
      </c>
      <c r="G682" t="s">
        <v>163</v>
      </c>
      <c r="H682" t="s">
        <v>111</v>
      </c>
      <c r="I682" t="s">
        <v>164</v>
      </c>
      <c r="J682" t="s">
        <v>165</v>
      </c>
      <c r="K682" t="s">
        <v>2191</v>
      </c>
      <c r="L682" t="s">
        <v>44</v>
      </c>
      <c r="M682" t="s">
        <v>2192</v>
      </c>
      <c r="N682">
        <v>32100</v>
      </c>
      <c r="O682" t="s">
        <v>45</v>
      </c>
      <c r="P682" t="s">
        <v>54</v>
      </c>
      <c r="Q682" t="s">
        <v>85</v>
      </c>
      <c r="R682">
        <v>0</v>
      </c>
      <c r="S682">
        <v>84.18</v>
      </c>
      <c r="T682">
        <v>0</v>
      </c>
      <c r="U682">
        <v>0</v>
      </c>
      <c r="V682" t="s">
        <v>2193</v>
      </c>
      <c r="W682" t="s">
        <v>2194</v>
      </c>
      <c r="X682" t="s">
        <v>49</v>
      </c>
      <c r="Y682" t="s">
        <v>2195</v>
      </c>
      <c r="Z682" t="b">
        <v>0</v>
      </c>
      <c r="AA682">
        <v>744.83250178189587</v>
      </c>
      <c r="AN682" t="e">
        <f>100*(1-E682/AL682)</f>
        <v>#DIV/0!</v>
      </c>
    </row>
    <row r="683" spans="1:40" x14ac:dyDescent="0.3">
      <c r="A683" t="s">
        <v>59</v>
      </c>
      <c r="B683" t="s">
        <v>2196</v>
      </c>
      <c r="C683" t="s">
        <v>2190</v>
      </c>
      <c r="D683" s="4">
        <v>46001</v>
      </c>
      <c r="E683">
        <v>46300</v>
      </c>
      <c r="F683" t="s">
        <v>205</v>
      </c>
      <c r="G683" t="s">
        <v>163</v>
      </c>
      <c r="H683" t="s">
        <v>111</v>
      </c>
      <c r="I683" t="s">
        <v>164</v>
      </c>
      <c r="J683" t="s">
        <v>165</v>
      </c>
      <c r="K683" t="s">
        <v>2191</v>
      </c>
      <c r="L683" t="s">
        <v>44</v>
      </c>
      <c r="M683" t="s">
        <v>2192</v>
      </c>
      <c r="N683">
        <v>32100</v>
      </c>
      <c r="O683" t="s">
        <v>45</v>
      </c>
      <c r="P683" t="s">
        <v>54</v>
      </c>
      <c r="Q683" t="s">
        <v>85</v>
      </c>
      <c r="R683">
        <v>0</v>
      </c>
      <c r="S683">
        <v>56.94</v>
      </c>
      <c r="T683">
        <v>0</v>
      </c>
      <c r="U683">
        <v>0</v>
      </c>
      <c r="V683" t="s">
        <v>2193</v>
      </c>
      <c r="W683" t="s">
        <v>2194</v>
      </c>
      <c r="X683" t="s">
        <v>49</v>
      </c>
      <c r="Y683" t="s">
        <v>2197</v>
      </c>
      <c r="Z683" t="b">
        <v>0</v>
      </c>
      <c r="AA683">
        <v>813.13663505444333</v>
      </c>
      <c r="AN683" t="e">
        <f>100*(1-E683/AL683)</f>
        <v>#DIV/0!</v>
      </c>
    </row>
    <row r="684" spans="1:40" x14ac:dyDescent="0.3">
      <c r="A684" t="s">
        <v>215</v>
      </c>
      <c r="B684" t="s">
        <v>2198</v>
      </c>
      <c r="C684" t="s">
        <v>2183</v>
      </c>
      <c r="D684" s="4">
        <v>46001</v>
      </c>
      <c r="E684">
        <v>31000</v>
      </c>
      <c r="F684" t="s">
        <v>2199</v>
      </c>
      <c r="G684" t="s">
        <v>61</v>
      </c>
      <c r="H684" t="s">
        <v>62</v>
      </c>
      <c r="I684" t="s">
        <v>63</v>
      </c>
      <c r="J684" t="s">
        <v>63</v>
      </c>
      <c r="K684" t="s">
        <v>2185</v>
      </c>
      <c r="L684" t="s">
        <v>44</v>
      </c>
      <c r="M684" t="s">
        <v>2186</v>
      </c>
      <c r="N684">
        <v>54454</v>
      </c>
      <c r="O684" t="s">
        <v>50</v>
      </c>
      <c r="P684" t="s">
        <v>51</v>
      </c>
      <c r="Q684" t="s">
        <v>52</v>
      </c>
      <c r="R684">
        <v>0</v>
      </c>
      <c r="S684">
        <v>40.6</v>
      </c>
      <c r="T684">
        <v>0</v>
      </c>
      <c r="U684">
        <v>0</v>
      </c>
      <c r="V684" t="s">
        <v>2187</v>
      </c>
      <c r="W684">
        <v>34232730</v>
      </c>
      <c r="X684" t="s">
        <v>49</v>
      </c>
      <c r="Y684" t="s">
        <v>2200</v>
      </c>
      <c r="Z684" t="b">
        <v>0</v>
      </c>
      <c r="AA684">
        <v>763.54679802955661</v>
      </c>
      <c r="AN684" t="e">
        <f>100*(1-E684/AL684)</f>
        <v>#DIV/0!</v>
      </c>
    </row>
    <row r="685" spans="1:40" x14ac:dyDescent="0.3">
      <c r="A685" t="s">
        <v>215</v>
      </c>
      <c r="B685" t="s">
        <v>2201</v>
      </c>
      <c r="C685" t="s">
        <v>2183</v>
      </c>
      <c r="D685" s="4">
        <v>46001</v>
      </c>
      <c r="E685">
        <v>75000</v>
      </c>
      <c r="F685" t="s">
        <v>2202</v>
      </c>
      <c r="G685" t="s">
        <v>61</v>
      </c>
      <c r="H685" t="s">
        <v>62</v>
      </c>
      <c r="I685" t="s">
        <v>63</v>
      </c>
      <c r="J685" t="s">
        <v>63</v>
      </c>
      <c r="K685" t="s">
        <v>2185</v>
      </c>
      <c r="L685" t="s">
        <v>44</v>
      </c>
      <c r="M685" t="s">
        <v>2186</v>
      </c>
      <c r="N685">
        <v>54454</v>
      </c>
      <c r="O685" t="s">
        <v>50</v>
      </c>
      <c r="P685" t="s">
        <v>51</v>
      </c>
      <c r="Q685">
        <v>0</v>
      </c>
      <c r="R685">
        <v>0</v>
      </c>
      <c r="S685">
        <v>98</v>
      </c>
      <c r="T685">
        <v>0</v>
      </c>
      <c r="U685">
        <v>0</v>
      </c>
      <c r="V685" t="s">
        <v>2187</v>
      </c>
      <c r="W685">
        <v>34232730</v>
      </c>
      <c r="X685" t="s">
        <v>49</v>
      </c>
      <c r="Y685" t="s">
        <v>2203</v>
      </c>
      <c r="Z685" t="b">
        <v>0</v>
      </c>
      <c r="AA685">
        <v>765.30612244897964</v>
      </c>
      <c r="AN685" t="e">
        <f>100*(1-E685/AL685)</f>
        <v>#DIV/0!</v>
      </c>
    </row>
    <row r="686" spans="1:40" x14ac:dyDescent="0.3">
      <c r="A686" t="s">
        <v>71</v>
      </c>
      <c r="B686" t="s">
        <v>2204</v>
      </c>
      <c r="C686" t="s">
        <v>2205</v>
      </c>
      <c r="D686" s="4">
        <v>46001</v>
      </c>
      <c r="E686">
        <v>6107</v>
      </c>
      <c r="F686" t="s">
        <v>1617</v>
      </c>
      <c r="G686" t="s">
        <v>143</v>
      </c>
      <c r="H686" t="s">
        <v>41</v>
      </c>
      <c r="I686" t="s">
        <v>144</v>
      </c>
      <c r="J686" t="s">
        <v>145</v>
      </c>
      <c r="K686" t="s">
        <v>2206</v>
      </c>
      <c r="L686" t="s">
        <v>44</v>
      </c>
      <c r="M686" t="s">
        <v>2207</v>
      </c>
      <c r="N686">
        <v>45333</v>
      </c>
      <c r="O686" t="s">
        <v>45</v>
      </c>
      <c r="P686" t="s">
        <v>56</v>
      </c>
      <c r="Q686">
        <v>0</v>
      </c>
      <c r="R686">
        <v>0</v>
      </c>
      <c r="S686">
        <v>0</v>
      </c>
      <c r="T686" t="s">
        <v>92</v>
      </c>
      <c r="U686">
        <v>100</v>
      </c>
      <c r="V686" t="s">
        <v>2208</v>
      </c>
      <c r="W686">
        <v>114471309</v>
      </c>
      <c r="X686" t="s">
        <v>49</v>
      </c>
      <c r="Y686" t="s">
        <v>2209</v>
      </c>
      <c r="Z686" t="b">
        <v>0</v>
      </c>
      <c r="AA686" t="s">
        <v>58</v>
      </c>
      <c r="AN686" t="e">
        <f>100*(1-E686/AL686)</f>
        <v>#DIV/0!</v>
      </c>
    </row>
    <row r="687" spans="1:40" x14ac:dyDescent="0.3">
      <c r="A687" t="s">
        <v>59</v>
      </c>
      <c r="B687" t="s">
        <v>2210</v>
      </c>
      <c r="C687" t="s">
        <v>2210</v>
      </c>
      <c r="D687" s="4">
        <v>46001</v>
      </c>
      <c r="E687">
        <v>36000</v>
      </c>
      <c r="F687" t="s">
        <v>2211</v>
      </c>
      <c r="G687" t="s">
        <v>203</v>
      </c>
      <c r="H687" t="s">
        <v>62</v>
      </c>
      <c r="I687" t="s">
        <v>204</v>
      </c>
      <c r="J687" t="s">
        <v>204</v>
      </c>
      <c r="K687" t="s">
        <v>2212</v>
      </c>
      <c r="L687" t="s">
        <v>44</v>
      </c>
      <c r="M687" t="s">
        <v>2213</v>
      </c>
      <c r="N687">
        <v>62121</v>
      </c>
      <c r="O687" t="s">
        <v>45</v>
      </c>
      <c r="P687" t="s">
        <v>81</v>
      </c>
      <c r="Q687" t="s">
        <v>52</v>
      </c>
      <c r="R687">
        <v>0</v>
      </c>
      <c r="S687">
        <v>70</v>
      </c>
      <c r="T687">
        <v>0</v>
      </c>
      <c r="U687">
        <v>0</v>
      </c>
      <c r="V687" t="s">
        <v>2214</v>
      </c>
      <c r="W687">
        <v>117136285</v>
      </c>
      <c r="X687" t="s">
        <v>49</v>
      </c>
      <c r="Y687" t="s">
        <v>2215</v>
      </c>
      <c r="Z687" t="b">
        <v>0</v>
      </c>
      <c r="AA687">
        <v>514.28571428571433</v>
      </c>
      <c r="AN687" t="e">
        <f>100*(1-E687/AL687)</f>
        <v>#DIV/0!</v>
      </c>
    </row>
    <row r="688" spans="1:40" x14ac:dyDescent="0.3">
      <c r="A688" t="s">
        <v>39</v>
      </c>
      <c r="B688" t="s">
        <v>2216</v>
      </c>
      <c r="C688" t="s">
        <v>2217</v>
      </c>
      <c r="D688" s="4">
        <v>46001</v>
      </c>
      <c r="E688">
        <v>4000</v>
      </c>
      <c r="F688" t="s">
        <v>2218</v>
      </c>
      <c r="G688" t="s">
        <v>2026</v>
      </c>
      <c r="H688" t="s">
        <v>94</v>
      </c>
      <c r="I688" t="s">
        <v>2027</v>
      </c>
      <c r="J688" t="s">
        <v>96</v>
      </c>
      <c r="K688" t="s">
        <v>2219</v>
      </c>
      <c r="L688" t="s">
        <v>44</v>
      </c>
      <c r="M688" t="s">
        <v>2220</v>
      </c>
      <c r="N688">
        <v>70006</v>
      </c>
      <c r="O688" t="s">
        <v>97</v>
      </c>
      <c r="P688" t="s">
        <v>118</v>
      </c>
      <c r="Q688">
        <v>0</v>
      </c>
      <c r="R688">
        <v>0</v>
      </c>
      <c r="S688">
        <v>891.51</v>
      </c>
      <c r="T688">
        <v>0</v>
      </c>
      <c r="U688">
        <v>0</v>
      </c>
      <c r="V688" t="s">
        <v>2221</v>
      </c>
      <c r="W688">
        <v>103824845</v>
      </c>
      <c r="X688" t="s">
        <v>49</v>
      </c>
      <c r="Y688">
        <v>170640407063</v>
      </c>
      <c r="Z688" t="b">
        <v>0</v>
      </c>
      <c r="AA688">
        <v>4.4867696380298598</v>
      </c>
      <c r="AN688" t="e">
        <f>100*(1-E688/AL688)</f>
        <v>#DIV/0!</v>
      </c>
    </row>
    <row r="689" spans="1:40" x14ac:dyDescent="0.3">
      <c r="A689" t="s">
        <v>39</v>
      </c>
      <c r="B689" t="s">
        <v>2222</v>
      </c>
      <c r="C689" t="s">
        <v>2217</v>
      </c>
      <c r="D689" s="4">
        <v>46001</v>
      </c>
      <c r="E689">
        <v>3000</v>
      </c>
      <c r="F689" t="s">
        <v>2223</v>
      </c>
      <c r="G689" t="s">
        <v>2026</v>
      </c>
      <c r="H689" t="s">
        <v>94</v>
      </c>
      <c r="I689" t="s">
        <v>2027</v>
      </c>
      <c r="J689" t="s">
        <v>96</v>
      </c>
      <c r="K689" t="s">
        <v>2219</v>
      </c>
      <c r="L689" t="s">
        <v>44</v>
      </c>
      <c r="M689" t="s">
        <v>2220</v>
      </c>
      <c r="N689">
        <v>70006</v>
      </c>
      <c r="O689" t="s">
        <v>97</v>
      </c>
      <c r="P689" t="s">
        <v>118</v>
      </c>
      <c r="Q689">
        <v>0</v>
      </c>
      <c r="R689">
        <v>0</v>
      </c>
      <c r="S689">
        <v>510</v>
      </c>
      <c r="T689">
        <v>0</v>
      </c>
      <c r="U689">
        <v>0</v>
      </c>
      <c r="V689" t="s">
        <v>2221</v>
      </c>
      <c r="W689">
        <v>103824845</v>
      </c>
      <c r="X689" t="s">
        <v>49</v>
      </c>
      <c r="Y689">
        <v>170640407084</v>
      </c>
      <c r="Z689" t="b">
        <v>0</v>
      </c>
      <c r="AA689">
        <v>5.882352941176471</v>
      </c>
      <c r="AN689" t="e">
        <f>100*(1-E689/AL689)</f>
        <v>#DIV/0!</v>
      </c>
    </row>
    <row r="690" spans="1:40" x14ac:dyDescent="0.3">
      <c r="A690" t="s">
        <v>39</v>
      </c>
      <c r="B690" t="s">
        <v>2224</v>
      </c>
      <c r="C690" t="s">
        <v>2217</v>
      </c>
      <c r="D690" s="4">
        <v>46001</v>
      </c>
      <c r="E690">
        <v>4000</v>
      </c>
      <c r="F690" t="s">
        <v>2225</v>
      </c>
      <c r="G690" t="s">
        <v>2026</v>
      </c>
      <c r="H690" t="s">
        <v>94</v>
      </c>
      <c r="I690" t="s">
        <v>2027</v>
      </c>
      <c r="J690" t="s">
        <v>96</v>
      </c>
      <c r="K690" t="s">
        <v>2226</v>
      </c>
      <c r="L690" t="s">
        <v>44</v>
      </c>
      <c r="M690" t="s">
        <v>2227</v>
      </c>
      <c r="N690">
        <v>70006</v>
      </c>
      <c r="O690" t="s">
        <v>97</v>
      </c>
      <c r="P690" t="s">
        <v>118</v>
      </c>
      <c r="Q690">
        <v>0</v>
      </c>
      <c r="R690">
        <v>0</v>
      </c>
      <c r="S690">
        <v>1011.24</v>
      </c>
      <c r="T690">
        <v>0</v>
      </c>
      <c r="U690">
        <v>0</v>
      </c>
      <c r="V690" t="s">
        <v>2221</v>
      </c>
      <c r="W690">
        <v>103824845</v>
      </c>
      <c r="X690" t="s">
        <v>49</v>
      </c>
      <c r="Y690">
        <v>170640411016</v>
      </c>
      <c r="Z690" t="b">
        <v>0</v>
      </c>
      <c r="AA690">
        <v>3.955539733396622</v>
      </c>
      <c r="AN690" t="e">
        <f>100*(1-E690/AL690)</f>
        <v>#DIV/0!</v>
      </c>
    </row>
    <row r="691" spans="1:40" x14ac:dyDescent="0.3">
      <c r="A691" t="s">
        <v>39</v>
      </c>
      <c r="B691" t="s">
        <v>2228</v>
      </c>
      <c r="C691" t="s">
        <v>2217</v>
      </c>
      <c r="D691" s="4">
        <v>46001</v>
      </c>
      <c r="E691">
        <v>2000</v>
      </c>
      <c r="F691" t="s">
        <v>2229</v>
      </c>
      <c r="G691" t="s">
        <v>2026</v>
      </c>
      <c r="H691" t="s">
        <v>94</v>
      </c>
      <c r="I691" t="s">
        <v>2027</v>
      </c>
      <c r="J691" t="s">
        <v>96</v>
      </c>
      <c r="K691" t="s">
        <v>2230</v>
      </c>
      <c r="L691" t="s">
        <v>44</v>
      </c>
      <c r="M691" t="s">
        <v>2231</v>
      </c>
      <c r="N691">
        <v>70006</v>
      </c>
      <c r="O691" t="s">
        <v>97</v>
      </c>
      <c r="P691" t="s">
        <v>118</v>
      </c>
      <c r="Q691">
        <v>0</v>
      </c>
      <c r="R691">
        <v>0</v>
      </c>
      <c r="S691">
        <v>657.58</v>
      </c>
      <c r="T691">
        <v>0</v>
      </c>
      <c r="U691">
        <v>0</v>
      </c>
      <c r="V691" t="s">
        <v>2221</v>
      </c>
      <c r="W691">
        <v>103824845</v>
      </c>
      <c r="X691" t="s">
        <v>49</v>
      </c>
      <c r="Y691">
        <v>170640507004</v>
      </c>
      <c r="Z691" t="b">
        <v>0</v>
      </c>
      <c r="AA691">
        <v>3.041455032087351</v>
      </c>
      <c r="AN691" t="e">
        <f>100*(1-E691/AL691)</f>
        <v>#DIV/0!</v>
      </c>
    </row>
    <row r="692" spans="1:40" x14ac:dyDescent="0.3">
      <c r="A692" t="s">
        <v>39</v>
      </c>
      <c r="B692" t="s">
        <v>2232</v>
      </c>
      <c r="C692" t="s">
        <v>2217</v>
      </c>
      <c r="D692" s="4">
        <v>46001</v>
      </c>
      <c r="E692">
        <v>2000</v>
      </c>
      <c r="F692" t="s">
        <v>2233</v>
      </c>
      <c r="G692" t="s">
        <v>2026</v>
      </c>
      <c r="H692" t="s">
        <v>94</v>
      </c>
      <c r="I692" t="s">
        <v>2027</v>
      </c>
      <c r="J692" t="s">
        <v>96</v>
      </c>
      <c r="K692" t="s">
        <v>2234</v>
      </c>
      <c r="L692" t="s">
        <v>44</v>
      </c>
      <c r="M692" t="s">
        <v>2235</v>
      </c>
      <c r="N692">
        <v>70006</v>
      </c>
      <c r="O692" t="s">
        <v>97</v>
      </c>
      <c r="P692" t="s">
        <v>118</v>
      </c>
      <c r="Q692">
        <v>0</v>
      </c>
      <c r="R692">
        <v>0</v>
      </c>
      <c r="S692">
        <v>286.24</v>
      </c>
      <c r="T692">
        <v>0</v>
      </c>
      <c r="U692">
        <v>0</v>
      </c>
      <c r="V692" t="s">
        <v>2221</v>
      </c>
      <c r="W692">
        <v>103824845</v>
      </c>
      <c r="X692" t="s">
        <v>49</v>
      </c>
      <c r="Y692">
        <v>170640502014</v>
      </c>
      <c r="Z692" t="b">
        <v>0</v>
      </c>
      <c r="AA692">
        <v>6.9871436556735604</v>
      </c>
      <c r="AN692" t="e">
        <f>100*(1-E692/AL692)</f>
        <v>#DIV/0!</v>
      </c>
    </row>
    <row r="693" spans="1:40" x14ac:dyDescent="0.3">
      <c r="A693" t="s">
        <v>39</v>
      </c>
      <c r="B693" t="s">
        <v>2236</v>
      </c>
      <c r="C693" t="s">
        <v>2217</v>
      </c>
      <c r="D693" s="4">
        <v>46001</v>
      </c>
      <c r="E693">
        <v>7000</v>
      </c>
      <c r="F693" t="s">
        <v>2237</v>
      </c>
      <c r="G693" t="s">
        <v>2026</v>
      </c>
      <c r="H693" t="s">
        <v>94</v>
      </c>
      <c r="I693" t="s">
        <v>2027</v>
      </c>
      <c r="J693" t="s">
        <v>96</v>
      </c>
      <c r="K693" t="s">
        <v>2238</v>
      </c>
      <c r="L693" t="s">
        <v>44</v>
      </c>
      <c r="M693" t="s">
        <v>2235</v>
      </c>
      <c r="N693">
        <v>70006</v>
      </c>
      <c r="O693" t="s">
        <v>97</v>
      </c>
      <c r="P693" t="s">
        <v>118</v>
      </c>
      <c r="Q693">
        <v>0</v>
      </c>
      <c r="R693">
        <v>0</v>
      </c>
      <c r="S693">
        <v>1694.68</v>
      </c>
      <c r="T693">
        <v>0</v>
      </c>
      <c r="U693">
        <v>0</v>
      </c>
      <c r="V693" t="s">
        <v>2221</v>
      </c>
      <c r="W693">
        <v>103824845</v>
      </c>
      <c r="X693" t="s">
        <v>49</v>
      </c>
      <c r="Y693">
        <v>170640502034</v>
      </c>
      <c r="Z693" t="b">
        <v>0</v>
      </c>
      <c r="AA693">
        <v>4.1305733235773134</v>
      </c>
      <c r="AN693" t="e">
        <f>100*(1-E693/AL693)</f>
        <v>#DIV/0!</v>
      </c>
    </row>
    <row r="694" spans="1:40" x14ac:dyDescent="0.3">
      <c r="A694" t="s">
        <v>39</v>
      </c>
      <c r="B694" t="s">
        <v>2239</v>
      </c>
      <c r="C694" t="s">
        <v>2217</v>
      </c>
      <c r="D694" s="4">
        <v>46001</v>
      </c>
      <c r="E694">
        <v>3000</v>
      </c>
      <c r="F694" t="s">
        <v>2240</v>
      </c>
      <c r="G694" t="s">
        <v>2026</v>
      </c>
      <c r="H694" t="s">
        <v>94</v>
      </c>
      <c r="I694" t="s">
        <v>2027</v>
      </c>
      <c r="J694" t="s">
        <v>96</v>
      </c>
      <c r="K694" t="s">
        <v>2241</v>
      </c>
      <c r="L694" t="s">
        <v>44</v>
      </c>
      <c r="M694" t="s">
        <v>2235</v>
      </c>
      <c r="N694">
        <v>70006</v>
      </c>
      <c r="O694" t="s">
        <v>97</v>
      </c>
      <c r="P694" t="s">
        <v>118</v>
      </c>
      <c r="Q694">
        <v>0</v>
      </c>
      <c r="R694">
        <v>0</v>
      </c>
      <c r="S694">
        <v>1269.24</v>
      </c>
      <c r="T694">
        <v>0</v>
      </c>
      <c r="U694">
        <v>0</v>
      </c>
      <c r="V694" t="s">
        <v>2221</v>
      </c>
      <c r="W694">
        <v>103824845</v>
      </c>
      <c r="X694" t="s">
        <v>49</v>
      </c>
      <c r="Y694">
        <v>170640502029</v>
      </c>
      <c r="Z694" t="b">
        <v>0</v>
      </c>
      <c r="AA694">
        <v>2.3636191736787371</v>
      </c>
      <c r="AN694" t="e">
        <f>100*(1-E694/AL694)</f>
        <v>#DIV/0!</v>
      </c>
    </row>
    <row r="695" spans="1:40" x14ac:dyDescent="0.3">
      <c r="A695" t="s">
        <v>39</v>
      </c>
      <c r="B695" t="s">
        <v>2242</v>
      </c>
      <c r="C695" t="s">
        <v>2217</v>
      </c>
      <c r="D695" s="4">
        <v>46001</v>
      </c>
      <c r="E695">
        <v>5000</v>
      </c>
      <c r="F695" t="s">
        <v>2243</v>
      </c>
      <c r="G695" t="s">
        <v>2026</v>
      </c>
      <c r="H695" t="s">
        <v>94</v>
      </c>
      <c r="I695" t="s">
        <v>2027</v>
      </c>
      <c r="J695" t="s">
        <v>96</v>
      </c>
      <c r="K695" t="s">
        <v>2244</v>
      </c>
      <c r="L695" t="s">
        <v>44</v>
      </c>
      <c r="M695" t="s">
        <v>2235</v>
      </c>
      <c r="N695">
        <v>70006</v>
      </c>
      <c r="O695" t="s">
        <v>97</v>
      </c>
      <c r="P695" t="s">
        <v>118</v>
      </c>
      <c r="Q695">
        <v>0</v>
      </c>
      <c r="R695">
        <v>0</v>
      </c>
      <c r="S695">
        <v>786.31</v>
      </c>
      <c r="T695">
        <v>0</v>
      </c>
      <c r="U695">
        <v>0</v>
      </c>
      <c r="V695" t="s">
        <v>2221</v>
      </c>
      <c r="W695">
        <v>103824845</v>
      </c>
      <c r="X695" t="s">
        <v>49</v>
      </c>
      <c r="Y695">
        <v>170640502022</v>
      </c>
      <c r="Z695" t="b">
        <v>0</v>
      </c>
      <c r="AA695">
        <v>6.3588152255471764</v>
      </c>
      <c r="AN695" t="e">
        <f>100*(1-E695/AL695)</f>
        <v>#DIV/0!</v>
      </c>
    </row>
    <row r="696" spans="1:40" x14ac:dyDescent="0.3">
      <c r="A696" t="s">
        <v>39</v>
      </c>
      <c r="B696" t="s">
        <v>2245</v>
      </c>
      <c r="C696" t="s">
        <v>2217</v>
      </c>
      <c r="D696" s="4">
        <v>46001</v>
      </c>
      <c r="E696">
        <v>2200</v>
      </c>
      <c r="F696" t="s">
        <v>2246</v>
      </c>
      <c r="G696" t="s">
        <v>2026</v>
      </c>
      <c r="H696" t="s">
        <v>94</v>
      </c>
      <c r="I696" t="s">
        <v>2027</v>
      </c>
      <c r="J696" t="s">
        <v>96</v>
      </c>
      <c r="K696" t="s">
        <v>2247</v>
      </c>
      <c r="L696" t="s">
        <v>44</v>
      </c>
      <c r="M696" t="s">
        <v>2248</v>
      </c>
      <c r="N696">
        <v>70006</v>
      </c>
      <c r="O696" t="s">
        <v>97</v>
      </c>
      <c r="P696" t="s">
        <v>118</v>
      </c>
      <c r="Q696">
        <v>0</v>
      </c>
      <c r="R696">
        <v>0</v>
      </c>
      <c r="S696">
        <v>41.41</v>
      </c>
      <c r="T696">
        <v>0</v>
      </c>
      <c r="U696">
        <v>0</v>
      </c>
      <c r="V696" t="s">
        <v>2221</v>
      </c>
      <c r="W696">
        <v>103824845</v>
      </c>
      <c r="X696" t="s">
        <v>49</v>
      </c>
      <c r="Y696">
        <v>170640605250</v>
      </c>
      <c r="Z696" t="b">
        <v>0</v>
      </c>
      <c r="AA696">
        <v>53.12726394590679</v>
      </c>
      <c r="AN696" t="e">
        <f>100*(1-E696/AL696)</f>
        <v>#DIV/0!</v>
      </c>
    </row>
    <row r="697" spans="1:40" x14ac:dyDescent="0.3">
      <c r="A697" t="s">
        <v>39</v>
      </c>
      <c r="B697" t="s">
        <v>2249</v>
      </c>
      <c r="C697" t="s">
        <v>2217</v>
      </c>
      <c r="D697" s="4">
        <v>46001</v>
      </c>
      <c r="E697">
        <v>54000</v>
      </c>
      <c r="F697" t="s">
        <v>2250</v>
      </c>
      <c r="G697" t="s">
        <v>2026</v>
      </c>
      <c r="H697" t="s">
        <v>94</v>
      </c>
      <c r="I697" t="s">
        <v>2027</v>
      </c>
      <c r="J697" t="s">
        <v>96</v>
      </c>
      <c r="K697" t="s">
        <v>2251</v>
      </c>
      <c r="L697" t="s">
        <v>44</v>
      </c>
      <c r="M697" t="s">
        <v>2252</v>
      </c>
      <c r="N697">
        <v>70006</v>
      </c>
      <c r="O697" t="s">
        <v>45</v>
      </c>
      <c r="P697" t="s">
        <v>81</v>
      </c>
      <c r="Q697" t="s">
        <v>52</v>
      </c>
      <c r="R697">
        <v>0</v>
      </c>
      <c r="S697">
        <v>70</v>
      </c>
      <c r="T697">
        <v>0</v>
      </c>
      <c r="U697">
        <v>0</v>
      </c>
      <c r="V697" t="s">
        <v>2221</v>
      </c>
      <c r="W697">
        <v>103824845</v>
      </c>
      <c r="X697" t="s">
        <v>49</v>
      </c>
      <c r="Y697">
        <v>170640103013</v>
      </c>
      <c r="Z697" t="b">
        <v>0</v>
      </c>
      <c r="AA697">
        <v>771.42857142857144</v>
      </c>
      <c r="AN697" t="e">
        <f>100*(1-E697/AL697)</f>
        <v>#DIV/0!</v>
      </c>
    </row>
    <row r="698" spans="1:40" x14ac:dyDescent="0.3">
      <c r="A698" t="s">
        <v>39</v>
      </c>
      <c r="B698" t="s">
        <v>2253</v>
      </c>
      <c r="C698" t="s">
        <v>2217</v>
      </c>
      <c r="D698" s="4">
        <v>46001</v>
      </c>
      <c r="E698">
        <v>13000</v>
      </c>
      <c r="F698" t="s">
        <v>2254</v>
      </c>
      <c r="G698" t="s">
        <v>2026</v>
      </c>
      <c r="H698" t="s">
        <v>94</v>
      </c>
      <c r="I698" t="s">
        <v>2027</v>
      </c>
      <c r="J698" t="s">
        <v>96</v>
      </c>
      <c r="K698" t="s">
        <v>2255</v>
      </c>
      <c r="L698" t="s">
        <v>44</v>
      </c>
      <c r="M698" t="s">
        <v>2256</v>
      </c>
      <c r="N698">
        <v>70006</v>
      </c>
      <c r="O698" t="s">
        <v>97</v>
      </c>
      <c r="P698" t="s">
        <v>118</v>
      </c>
      <c r="Q698">
        <v>0</v>
      </c>
      <c r="R698">
        <v>0</v>
      </c>
      <c r="S698">
        <v>2739.52</v>
      </c>
      <c r="T698">
        <v>0</v>
      </c>
      <c r="U698">
        <v>0</v>
      </c>
      <c r="V698" t="s">
        <v>2221</v>
      </c>
      <c r="W698">
        <v>103824845</v>
      </c>
      <c r="X698" t="s">
        <v>49</v>
      </c>
      <c r="Y698">
        <v>170640604110</v>
      </c>
      <c r="Z698" t="b">
        <v>0</v>
      </c>
      <c r="AA698">
        <v>4.7453568508351829</v>
      </c>
      <c r="AN698" t="e">
        <f>100*(1-E698/AL698)</f>
        <v>#DIV/0!</v>
      </c>
    </row>
    <row r="699" spans="1:40" x14ac:dyDescent="0.3">
      <c r="A699" t="s">
        <v>166</v>
      </c>
      <c r="B699" t="s">
        <v>2257</v>
      </c>
      <c r="C699" t="s">
        <v>2257</v>
      </c>
      <c r="D699" s="4">
        <v>46001</v>
      </c>
      <c r="E699">
        <v>8000</v>
      </c>
      <c r="F699" t="s">
        <v>2258</v>
      </c>
      <c r="G699" t="s">
        <v>2259</v>
      </c>
      <c r="H699" t="s">
        <v>41</v>
      </c>
      <c r="I699" t="s">
        <v>760</v>
      </c>
      <c r="J699" t="s">
        <v>679</v>
      </c>
      <c r="K699" t="s">
        <v>2260</v>
      </c>
      <c r="L699" t="s">
        <v>44</v>
      </c>
      <c r="M699" t="s">
        <v>2261</v>
      </c>
      <c r="N699">
        <v>46100</v>
      </c>
      <c r="O699" t="s">
        <v>97</v>
      </c>
      <c r="P699" t="s">
        <v>98</v>
      </c>
      <c r="Q699">
        <v>0</v>
      </c>
      <c r="R699">
        <v>0</v>
      </c>
      <c r="S699">
        <v>2360</v>
      </c>
      <c r="T699">
        <v>0</v>
      </c>
      <c r="U699">
        <v>0</v>
      </c>
      <c r="V699" t="s">
        <v>2262</v>
      </c>
      <c r="W699">
        <v>25297225</v>
      </c>
      <c r="X699" t="s">
        <v>49</v>
      </c>
      <c r="Y699" t="s">
        <v>2263</v>
      </c>
      <c r="Z699" t="b">
        <v>0</v>
      </c>
      <c r="AA699">
        <v>3.3898305084745761</v>
      </c>
      <c r="AN699" t="e">
        <f>100*(1-E699/AL699)</f>
        <v>#DIV/0!</v>
      </c>
    </row>
    <row r="700" spans="1:40" x14ac:dyDescent="0.3">
      <c r="A700" t="s">
        <v>39</v>
      </c>
      <c r="B700" t="s">
        <v>2264</v>
      </c>
      <c r="C700" t="s">
        <v>2217</v>
      </c>
      <c r="D700" s="4">
        <v>46001</v>
      </c>
      <c r="E700">
        <v>4000</v>
      </c>
      <c r="F700" t="s">
        <v>2265</v>
      </c>
      <c r="G700" t="s">
        <v>2026</v>
      </c>
      <c r="H700" t="s">
        <v>94</v>
      </c>
      <c r="I700" t="s">
        <v>2027</v>
      </c>
      <c r="J700" t="s">
        <v>96</v>
      </c>
      <c r="K700" t="s">
        <v>2266</v>
      </c>
      <c r="L700" t="s">
        <v>44</v>
      </c>
      <c r="M700" t="s">
        <v>2252</v>
      </c>
      <c r="N700">
        <v>70006</v>
      </c>
      <c r="O700" t="s">
        <v>97</v>
      </c>
      <c r="P700" t="s">
        <v>98</v>
      </c>
      <c r="Q700">
        <v>0</v>
      </c>
      <c r="R700">
        <v>0</v>
      </c>
      <c r="S700">
        <v>96.11</v>
      </c>
      <c r="T700">
        <v>0</v>
      </c>
      <c r="U700">
        <v>0</v>
      </c>
      <c r="V700" t="s">
        <v>2221</v>
      </c>
      <c r="W700">
        <v>103824845</v>
      </c>
      <c r="X700" t="s">
        <v>49</v>
      </c>
      <c r="Y700">
        <v>170640103020</v>
      </c>
      <c r="Z700" t="b">
        <v>0</v>
      </c>
      <c r="AA700">
        <v>41.618978254083864</v>
      </c>
      <c r="AN700" t="e">
        <f>100*(1-E700/AL700)</f>
        <v>#DIV/0!</v>
      </c>
    </row>
    <row r="701" spans="1:40" x14ac:dyDescent="0.3">
      <c r="A701" t="s">
        <v>39</v>
      </c>
      <c r="B701" t="s">
        <v>2267</v>
      </c>
      <c r="C701" t="s">
        <v>2217</v>
      </c>
      <c r="D701" s="4">
        <v>46001</v>
      </c>
      <c r="E701">
        <v>2000</v>
      </c>
      <c r="F701" t="s">
        <v>2268</v>
      </c>
      <c r="G701" t="s">
        <v>2026</v>
      </c>
      <c r="H701" t="s">
        <v>94</v>
      </c>
      <c r="I701" t="s">
        <v>2027</v>
      </c>
      <c r="J701" t="s">
        <v>96</v>
      </c>
      <c r="K701" t="s">
        <v>2269</v>
      </c>
      <c r="L701" t="s">
        <v>44</v>
      </c>
      <c r="M701" t="s">
        <v>2270</v>
      </c>
      <c r="N701">
        <v>70006</v>
      </c>
      <c r="O701" t="s">
        <v>97</v>
      </c>
      <c r="P701" t="s">
        <v>118</v>
      </c>
      <c r="Q701">
        <v>0</v>
      </c>
      <c r="R701">
        <v>0</v>
      </c>
      <c r="S701">
        <v>446.25</v>
      </c>
      <c r="T701">
        <v>0</v>
      </c>
      <c r="U701">
        <v>0</v>
      </c>
      <c r="V701" t="s">
        <v>2221</v>
      </c>
      <c r="W701">
        <v>103824845</v>
      </c>
      <c r="X701" t="s">
        <v>49</v>
      </c>
      <c r="Y701">
        <v>170640510279</v>
      </c>
      <c r="Z701" t="b">
        <v>0</v>
      </c>
      <c r="AA701">
        <v>4.4817927170868348</v>
      </c>
      <c r="AN701" t="e">
        <f>100*(1-E701/AL701)</f>
        <v>#DIV/0!</v>
      </c>
    </row>
    <row r="702" spans="1:40" x14ac:dyDescent="0.3">
      <c r="A702" t="s">
        <v>166</v>
      </c>
      <c r="B702" t="s">
        <v>2271</v>
      </c>
      <c r="C702" t="s">
        <v>2271</v>
      </c>
      <c r="D702" s="4">
        <v>46001</v>
      </c>
      <c r="E702">
        <v>131000</v>
      </c>
      <c r="F702" t="s">
        <v>486</v>
      </c>
      <c r="G702" t="s">
        <v>300</v>
      </c>
      <c r="H702" t="s">
        <v>67</v>
      </c>
      <c r="I702" t="s">
        <v>301</v>
      </c>
      <c r="J702" t="s">
        <v>67</v>
      </c>
      <c r="K702" t="s">
        <v>2272</v>
      </c>
      <c r="L702" t="s">
        <v>44</v>
      </c>
      <c r="M702" t="s">
        <v>2273</v>
      </c>
      <c r="N702">
        <v>18453</v>
      </c>
      <c r="O702" t="s">
        <v>45</v>
      </c>
      <c r="P702" t="s">
        <v>81</v>
      </c>
      <c r="Q702" t="s">
        <v>52</v>
      </c>
      <c r="R702">
        <v>0</v>
      </c>
      <c r="S702">
        <v>81</v>
      </c>
      <c r="T702">
        <v>0</v>
      </c>
      <c r="U702">
        <v>0</v>
      </c>
      <c r="V702" t="s">
        <v>2274</v>
      </c>
      <c r="W702">
        <v>76139665</v>
      </c>
      <c r="X702" t="s">
        <v>86</v>
      </c>
      <c r="Y702" t="s">
        <v>2275</v>
      </c>
      <c r="Z702" t="b">
        <v>0</v>
      </c>
      <c r="AA702">
        <v>1617.2839506172841</v>
      </c>
      <c r="AN702" t="e">
        <f>100*(1-E702/AL702)</f>
        <v>#DIV/0!</v>
      </c>
    </row>
    <row r="703" spans="1:40" x14ac:dyDescent="0.3">
      <c r="A703" t="s">
        <v>59</v>
      </c>
      <c r="B703" t="s">
        <v>2276</v>
      </c>
      <c r="C703" t="s">
        <v>2276</v>
      </c>
      <c r="D703" s="4">
        <v>46001</v>
      </c>
      <c r="E703">
        <v>215000</v>
      </c>
      <c r="F703" t="s">
        <v>2277</v>
      </c>
      <c r="G703" t="s">
        <v>2278</v>
      </c>
      <c r="H703" t="s">
        <v>111</v>
      </c>
      <c r="I703" t="s">
        <v>2279</v>
      </c>
      <c r="J703" t="s">
        <v>175</v>
      </c>
      <c r="K703" t="s">
        <v>2280</v>
      </c>
      <c r="L703" t="s">
        <v>44</v>
      </c>
      <c r="M703" t="s">
        <v>2281</v>
      </c>
      <c r="N703">
        <v>34004</v>
      </c>
      <c r="O703" t="s">
        <v>45</v>
      </c>
      <c r="P703" t="s">
        <v>81</v>
      </c>
      <c r="Q703" t="s">
        <v>55</v>
      </c>
      <c r="R703">
        <v>0</v>
      </c>
      <c r="S703">
        <v>175.5</v>
      </c>
      <c r="T703">
        <v>0</v>
      </c>
      <c r="U703">
        <v>0</v>
      </c>
      <c r="V703" t="s">
        <v>2282</v>
      </c>
      <c r="W703" t="s">
        <v>2283</v>
      </c>
      <c r="X703" t="s">
        <v>86</v>
      </c>
      <c r="Y703" t="s">
        <v>2284</v>
      </c>
      <c r="Z703" t="b">
        <v>0</v>
      </c>
      <c r="AA703">
        <v>1225.0712250712249</v>
      </c>
      <c r="AN703" t="e">
        <f>100*(1-E703/AL703)</f>
        <v>#DIV/0!</v>
      </c>
    </row>
    <row r="704" spans="1:40" x14ac:dyDescent="0.3">
      <c r="A704" t="s">
        <v>166</v>
      </c>
      <c r="B704" t="s">
        <v>2285</v>
      </c>
      <c r="C704" t="s">
        <v>2285</v>
      </c>
      <c r="D704" s="4">
        <v>46001</v>
      </c>
      <c r="E704">
        <v>18214</v>
      </c>
      <c r="F704" t="s">
        <v>2286</v>
      </c>
      <c r="G704" t="s">
        <v>484</v>
      </c>
      <c r="H704" t="s">
        <v>124</v>
      </c>
      <c r="I704" t="s">
        <v>485</v>
      </c>
      <c r="J704" t="s">
        <v>325</v>
      </c>
      <c r="K704" t="s">
        <v>2287</v>
      </c>
      <c r="L704" t="s">
        <v>44</v>
      </c>
      <c r="M704" t="s">
        <v>2288</v>
      </c>
      <c r="N704">
        <v>27200</v>
      </c>
      <c r="O704" t="s">
        <v>97</v>
      </c>
      <c r="P704" t="s">
        <v>98</v>
      </c>
      <c r="Q704">
        <v>0</v>
      </c>
      <c r="R704">
        <v>0</v>
      </c>
      <c r="S704">
        <v>203.5</v>
      </c>
      <c r="T704">
        <v>0</v>
      </c>
      <c r="U704">
        <v>0</v>
      </c>
      <c r="V704" t="s">
        <v>2289</v>
      </c>
      <c r="W704">
        <v>41981336</v>
      </c>
      <c r="X704" t="s">
        <v>49</v>
      </c>
      <c r="Y704" t="s">
        <v>2290</v>
      </c>
      <c r="Z704" t="b">
        <v>0</v>
      </c>
      <c r="AA704">
        <v>89.503685503685503</v>
      </c>
      <c r="AN704" t="e">
        <f>100*(1-E704/AL704)</f>
        <v>#DIV/0!</v>
      </c>
    </row>
    <row r="705" spans="1:40" x14ac:dyDescent="0.3">
      <c r="A705" t="s">
        <v>59</v>
      </c>
      <c r="B705" t="s">
        <v>2291</v>
      </c>
      <c r="C705" t="s">
        <v>2292</v>
      </c>
      <c r="D705" s="4">
        <v>46001</v>
      </c>
      <c r="E705">
        <v>33000</v>
      </c>
      <c r="F705" t="s">
        <v>2293</v>
      </c>
      <c r="G705" t="s">
        <v>2294</v>
      </c>
      <c r="H705" t="s">
        <v>225</v>
      </c>
      <c r="I705" t="s">
        <v>2295</v>
      </c>
      <c r="J705" t="s">
        <v>2295</v>
      </c>
      <c r="K705" t="s">
        <v>2296</v>
      </c>
      <c r="L705" t="s">
        <v>44</v>
      </c>
      <c r="M705" t="s">
        <v>2297</v>
      </c>
      <c r="N705">
        <v>81100</v>
      </c>
      <c r="O705" t="s">
        <v>45</v>
      </c>
      <c r="P705" t="s">
        <v>54</v>
      </c>
      <c r="Q705" t="s">
        <v>85</v>
      </c>
      <c r="R705">
        <v>0</v>
      </c>
      <c r="S705">
        <v>32.4</v>
      </c>
      <c r="T705">
        <v>0</v>
      </c>
      <c r="U705">
        <v>0</v>
      </c>
      <c r="V705" t="s">
        <v>2298</v>
      </c>
      <c r="W705">
        <v>52141064</v>
      </c>
      <c r="X705" t="s">
        <v>49</v>
      </c>
      <c r="Y705" t="s">
        <v>2299</v>
      </c>
      <c r="Z705" t="b">
        <v>0</v>
      </c>
      <c r="AA705">
        <v>1018.518518518519</v>
      </c>
      <c r="AN705" t="e">
        <f>100*(1-E705/AL705)</f>
        <v>#DIV/0!</v>
      </c>
    </row>
    <row r="706" spans="1:40" x14ac:dyDescent="0.3">
      <c r="A706" t="s">
        <v>166</v>
      </c>
      <c r="B706" t="s">
        <v>2300</v>
      </c>
      <c r="C706" t="s">
        <v>2300</v>
      </c>
      <c r="D706" s="4">
        <v>46001</v>
      </c>
      <c r="E706">
        <v>30208</v>
      </c>
      <c r="F706" t="s">
        <v>2301</v>
      </c>
      <c r="G706" t="s">
        <v>2302</v>
      </c>
      <c r="H706" t="s">
        <v>62</v>
      </c>
      <c r="I706" t="s">
        <v>363</v>
      </c>
      <c r="J706" t="s">
        <v>63</v>
      </c>
      <c r="K706" t="s">
        <v>2303</v>
      </c>
      <c r="L706" t="s">
        <v>44</v>
      </c>
      <c r="M706" t="s">
        <v>1325</v>
      </c>
      <c r="N706">
        <v>54500</v>
      </c>
      <c r="O706" t="s">
        <v>97</v>
      </c>
      <c r="P706" t="s">
        <v>118</v>
      </c>
      <c r="Q706">
        <v>0</v>
      </c>
      <c r="R706">
        <v>0</v>
      </c>
      <c r="S706">
        <v>10750</v>
      </c>
      <c r="T706">
        <v>0</v>
      </c>
      <c r="U706">
        <v>0</v>
      </c>
      <c r="V706" t="s">
        <v>2304</v>
      </c>
      <c r="W706">
        <v>32771962</v>
      </c>
      <c r="X706" t="s">
        <v>49</v>
      </c>
      <c r="Y706" t="s">
        <v>2305</v>
      </c>
      <c r="Z706" t="b">
        <v>0</v>
      </c>
      <c r="AA706">
        <v>2.810046511627907</v>
      </c>
      <c r="AN706" t="e">
        <f>100*(1-E706/AL706)</f>
        <v>#DIV/0!</v>
      </c>
    </row>
    <row r="707" spans="1:40" x14ac:dyDescent="0.3">
      <c r="A707" t="s">
        <v>71</v>
      </c>
      <c r="B707" t="s">
        <v>2306</v>
      </c>
      <c r="C707" t="s">
        <v>2306</v>
      </c>
      <c r="D707" s="4">
        <v>46001</v>
      </c>
      <c r="E707">
        <v>32400</v>
      </c>
      <c r="F707" t="s">
        <v>2307</v>
      </c>
      <c r="G707" t="s">
        <v>392</v>
      </c>
      <c r="H707" t="s">
        <v>62</v>
      </c>
      <c r="I707" t="s">
        <v>391</v>
      </c>
      <c r="J707" t="s">
        <v>63</v>
      </c>
      <c r="K707" t="s">
        <v>2308</v>
      </c>
      <c r="L707" t="s">
        <v>44</v>
      </c>
      <c r="M707" t="s">
        <v>2309</v>
      </c>
      <c r="N707">
        <v>56430</v>
      </c>
      <c r="O707" t="s">
        <v>45</v>
      </c>
      <c r="P707" t="s">
        <v>54</v>
      </c>
      <c r="Q707" t="s">
        <v>85</v>
      </c>
      <c r="R707">
        <v>0</v>
      </c>
      <c r="S707">
        <v>87</v>
      </c>
      <c r="T707">
        <v>0</v>
      </c>
      <c r="U707">
        <v>0</v>
      </c>
      <c r="V707" t="s">
        <v>2310</v>
      </c>
      <c r="W707">
        <v>58430520</v>
      </c>
      <c r="X707" t="s">
        <v>49</v>
      </c>
      <c r="Y707" t="s">
        <v>2311</v>
      </c>
      <c r="Z707" t="b">
        <v>0</v>
      </c>
      <c r="AA707">
        <v>372.41379310344831</v>
      </c>
      <c r="AN707" t="e">
        <f>100*(1-E707/AL707)</f>
        <v>#DIV/0!</v>
      </c>
    </row>
    <row r="708" spans="1:40" x14ac:dyDescent="0.3">
      <c r="A708" t="s">
        <v>117</v>
      </c>
      <c r="B708" t="s">
        <v>2312</v>
      </c>
      <c r="C708" t="s">
        <v>2313</v>
      </c>
      <c r="D708" s="4">
        <v>46001</v>
      </c>
      <c r="E708">
        <v>68000</v>
      </c>
      <c r="F708" t="s">
        <v>2314</v>
      </c>
      <c r="G708" t="s">
        <v>442</v>
      </c>
      <c r="H708" t="s">
        <v>111</v>
      </c>
      <c r="I708" t="s">
        <v>443</v>
      </c>
      <c r="J708" t="s">
        <v>165</v>
      </c>
      <c r="K708" t="s">
        <v>2315</v>
      </c>
      <c r="L708" t="s">
        <v>44</v>
      </c>
      <c r="M708" t="s">
        <v>2316</v>
      </c>
      <c r="N708">
        <v>32200</v>
      </c>
      <c r="O708" t="s">
        <v>45</v>
      </c>
      <c r="P708" t="s">
        <v>54</v>
      </c>
      <c r="Q708" t="s">
        <v>55</v>
      </c>
      <c r="R708">
        <v>0</v>
      </c>
      <c r="S708">
        <v>127.02</v>
      </c>
      <c r="T708">
        <v>0</v>
      </c>
      <c r="U708">
        <v>0</v>
      </c>
      <c r="V708" t="s">
        <v>2317</v>
      </c>
      <c r="W708">
        <v>94026678</v>
      </c>
      <c r="X708" t="s">
        <v>49</v>
      </c>
      <c r="Y708" t="s">
        <v>2318</v>
      </c>
      <c r="Z708" t="b">
        <v>0</v>
      </c>
      <c r="AA708">
        <v>535.34876397417736</v>
      </c>
      <c r="AN708" t="e">
        <f>100*(1-E708/AL708)</f>
        <v>#DIV/0!</v>
      </c>
    </row>
    <row r="709" spans="1:40" x14ac:dyDescent="0.3">
      <c r="A709" t="s">
        <v>117</v>
      </c>
      <c r="B709" t="s">
        <v>2319</v>
      </c>
      <c r="C709" t="s">
        <v>2313</v>
      </c>
      <c r="D709" s="4">
        <v>46001</v>
      </c>
      <c r="E709">
        <v>20000</v>
      </c>
      <c r="F709" t="s">
        <v>564</v>
      </c>
      <c r="G709" t="s">
        <v>442</v>
      </c>
      <c r="H709" t="s">
        <v>111</v>
      </c>
      <c r="I709" t="s">
        <v>443</v>
      </c>
      <c r="J709" t="s">
        <v>165</v>
      </c>
      <c r="K709" t="s">
        <v>2315</v>
      </c>
      <c r="L709" t="s">
        <v>44</v>
      </c>
      <c r="M709" t="s">
        <v>2316</v>
      </c>
      <c r="N709">
        <v>32200</v>
      </c>
      <c r="O709" t="s">
        <v>45</v>
      </c>
      <c r="P709" t="s">
        <v>54</v>
      </c>
      <c r="Q709" t="s">
        <v>47</v>
      </c>
      <c r="R709">
        <v>0</v>
      </c>
      <c r="S709">
        <v>54.37</v>
      </c>
      <c r="T709">
        <v>0</v>
      </c>
      <c r="U709">
        <v>0</v>
      </c>
      <c r="V709" t="s">
        <v>2317</v>
      </c>
      <c r="W709">
        <v>94026678</v>
      </c>
      <c r="X709" t="s">
        <v>49</v>
      </c>
      <c r="Y709" t="s">
        <v>2318</v>
      </c>
      <c r="Z709" t="b">
        <v>0</v>
      </c>
      <c r="AA709">
        <v>367.84991723376862</v>
      </c>
      <c r="AN709" t="e">
        <f>100*(1-E709/AL709)</f>
        <v>#DIV/0!</v>
      </c>
    </row>
    <row r="710" spans="1:40" x14ac:dyDescent="0.3">
      <c r="A710" t="s">
        <v>166</v>
      </c>
      <c r="B710" t="s">
        <v>3436</v>
      </c>
      <c r="C710" t="s">
        <v>3436</v>
      </c>
      <c r="D710" s="4">
        <v>46001</v>
      </c>
      <c r="E710">
        <v>103000</v>
      </c>
      <c r="F710" t="s">
        <v>2487</v>
      </c>
      <c r="G710" t="s">
        <v>2294</v>
      </c>
      <c r="H710" t="s">
        <v>225</v>
      </c>
      <c r="I710" t="s">
        <v>2295</v>
      </c>
      <c r="J710" t="s">
        <v>2295</v>
      </c>
      <c r="K710" t="s">
        <v>3437</v>
      </c>
      <c r="L710" t="s">
        <v>44</v>
      </c>
      <c r="M710" t="s">
        <v>3438</v>
      </c>
      <c r="N710">
        <v>81100</v>
      </c>
      <c r="O710" t="s">
        <v>45</v>
      </c>
      <c r="P710" t="s">
        <v>81</v>
      </c>
      <c r="Q710" t="s">
        <v>55</v>
      </c>
      <c r="R710">
        <v>1920</v>
      </c>
      <c r="S710">
        <v>215.12</v>
      </c>
      <c r="T710">
        <v>0</v>
      </c>
      <c r="U710">
        <v>0</v>
      </c>
      <c r="V710" t="s">
        <v>3439</v>
      </c>
      <c r="W710">
        <v>116977410</v>
      </c>
      <c r="X710" t="s">
        <v>49</v>
      </c>
      <c r="Y710" t="s">
        <v>3440</v>
      </c>
      <c r="Z710" t="b">
        <v>0</v>
      </c>
      <c r="AA710">
        <v>478.80252882112308</v>
      </c>
      <c r="AN710" t="e">
        <f>100*(1-E710/AL710)</f>
        <v>#DIV/0!</v>
      </c>
    </row>
    <row r="711" spans="1:40" x14ac:dyDescent="0.3">
      <c r="A711" t="s">
        <v>71</v>
      </c>
      <c r="B711" t="s">
        <v>3446</v>
      </c>
      <c r="C711" t="s">
        <v>3446</v>
      </c>
      <c r="D711" s="4">
        <v>46001</v>
      </c>
      <c r="E711">
        <v>41108</v>
      </c>
      <c r="F711" t="s">
        <v>3447</v>
      </c>
      <c r="G711" t="s">
        <v>3448</v>
      </c>
      <c r="H711" t="s">
        <v>230</v>
      </c>
      <c r="I711" t="s">
        <v>3449</v>
      </c>
      <c r="J711" t="s">
        <v>231</v>
      </c>
      <c r="K711" t="s">
        <v>3450</v>
      </c>
      <c r="L711" t="s">
        <v>44</v>
      </c>
      <c r="M711" t="s">
        <v>3451</v>
      </c>
      <c r="N711">
        <v>64100</v>
      </c>
      <c r="O711" t="s">
        <v>45</v>
      </c>
      <c r="P711" t="s">
        <v>81</v>
      </c>
      <c r="Q711">
        <v>0</v>
      </c>
      <c r="R711">
        <v>1950</v>
      </c>
      <c r="S711">
        <v>160</v>
      </c>
      <c r="T711">
        <v>0</v>
      </c>
      <c r="U711">
        <v>0</v>
      </c>
      <c r="V711" t="s">
        <v>3452</v>
      </c>
      <c r="W711">
        <v>42769095</v>
      </c>
      <c r="X711" t="s">
        <v>86</v>
      </c>
      <c r="Y711" t="s">
        <v>3453</v>
      </c>
      <c r="Z711" t="b">
        <v>0</v>
      </c>
      <c r="AA711">
        <v>256.92500000000001</v>
      </c>
      <c r="AN711" t="e">
        <f>100*(1-E711/AL711)</f>
        <v>#DIV/0!</v>
      </c>
    </row>
    <row r="712" spans="1:40" x14ac:dyDescent="0.3">
      <c r="A712" t="s">
        <v>139</v>
      </c>
      <c r="B712" t="s">
        <v>3482</v>
      </c>
      <c r="C712" t="s">
        <v>3482</v>
      </c>
      <c r="D712" s="4">
        <v>46001</v>
      </c>
      <c r="E712">
        <v>26000</v>
      </c>
      <c r="F712" t="s">
        <v>2211</v>
      </c>
      <c r="G712" t="s">
        <v>3483</v>
      </c>
      <c r="H712" t="s">
        <v>230</v>
      </c>
      <c r="I712" t="s">
        <v>3484</v>
      </c>
      <c r="J712" t="s">
        <v>260</v>
      </c>
      <c r="K712" t="s">
        <v>3485</v>
      </c>
      <c r="L712" t="s">
        <v>44</v>
      </c>
      <c r="M712" t="s">
        <v>3486</v>
      </c>
      <c r="N712">
        <v>66035</v>
      </c>
      <c r="O712" t="s">
        <v>45</v>
      </c>
      <c r="P712" t="s">
        <v>81</v>
      </c>
      <c r="Q712" t="s">
        <v>52</v>
      </c>
      <c r="R712">
        <v>1955</v>
      </c>
      <c r="S712">
        <v>134</v>
      </c>
      <c r="T712">
        <v>0</v>
      </c>
      <c r="U712">
        <v>0</v>
      </c>
      <c r="V712" t="s">
        <v>3487</v>
      </c>
      <c r="W712">
        <v>56047534</v>
      </c>
      <c r="X712" t="s">
        <v>49</v>
      </c>
      <c r="Y712" t="s">
        <v>3488</v>
      </c>
      <c r="Z712" t="b">
        <v>0</v>
      </c>
      <c r="AA712">
        <v>194.02985074626869</v>
      </c>
      <c r="AN712" t="e">
        <f>100*(1-E712/AL712)</f>
        <v>#DIV/0!</v>
      </c>
    </row>
    <row r="713" spans="1:40" x14ac:dyDescent="0.3">
      <c r="A713" t="s">
        <v>39</v>
      </c>
      <c r="B713" t="s">
        <v>3489</v>
      </c>
      <c r="C713" t="s">
        <v>3489</v>
      </c>
      <c r="D713" s="4">
        <v>46001</v>
      </c>
      <c r="E713">
        <v>35903</v>
      </c>
      <c r="F713" t="s">
        <v>3490</v>
      </c>
      <c r="G713" t="s">
        <v>3491</v>
      </c>
      <c r="H713" t="s">
        <v>41</v>
      </c>
      <c r="I713" t="s">
        <v>3492</v>
      </c>
      <c r="J713" t="s">
        <v>145</v>
      </c>
      <c r="K713" t="s">
        <v>3493</v>
      </c>
      <c r="L713" t="s">
        <v>44</v>
      </c>
      <c r="M713" t="s">
        <v>3494</v>
      </c>
      <c r="N713">
        <v>44007</v>
      </c>
      <c r="O713" t="s">
        <v>45</v>
      </c>
      <c r="P713" t="s">
        <v>81</v>
      </c>
      <c r="Q713" t="s">
        <v>52</v>
      </c>
      <c r="R713">
        <v>1955</v>
      </c>
      <c r="S713">
        <v>60.49</v>
      </c>
      <c r="T713">
        <v>0</v>
      </c>
      <c r="U713">
        <v>0</v>
      </c>
      <c r="V713" t="s">
        <v>3495</v>
      </c>
      <c r="W713">
        <v>28227622</v>
      </c>
      <c r="X713" t="s">
        <v>49</v>
      </c>
      <c r="Y713" t="s">
        <v>3496</v>
      </c>
      <c r="Z713" t="b">
        <v>0</v>
      </c>
      <c r="AA713">
        <v>593.53612167300378</v>
      </c>
      <c r="AN713" t="e">
        <f>100*(1-E713/AL713)</f>
        <v>#DIV/0!</v>
      </c>
    </row>
    <row r="714" spans="1:40" x14ac:dyDescent="0.3">
      <c r="A714" t="s">
        <v>59</v>
      </c>
      <c r="B714" t="s">
        <v>3514</v>
      </c>
      <c r="C714" t="s">
        <v>3514</v>
      </c>
      <c r="D714" s="4">
        <v>46001</v>
      </c>
      <c r="E714">
        <v>110436</v>
      </c>
      <c r="F714" t="s">
        <v>3515</v>
      </c>
      <c r="G714" t="s">
        <v>61</v>
      </c>
      <c r="H714" t="s">
        <v>62</v>
      </c>
      <c r="I714" t="s">
        <v>63</v>
      </c>
      <c r="J714" t="s">
        <v>63</v>
      </c>
      <c r="K714" t="s">
        <v>3516</v>
      </c>
      <c r="L714" t="s">
        <v>44</v>
      </c>
      <c r="M714" t="s">
        <v>3517</v>
      </c>
      <c r="N714">
        <v>54635</v>
      </c>
      <c r="O714" t="s">
        <v>45</v>
      </c>
      <c r="P714" t="s">
        <v>54</v>
      </c>
      <c r="Q714" t="s">
        <v>3071</v>
      </c>
      <c r="R714">
        <v>1959</v>
      </c>
      <c r="S714">
        <v>41</v>
      </c>
      <c r="T714">
        <v>0</v>
      </c>
      <c r="U714">
        <v>0</v>
      </c>
      <c r="V714" t="s">
        <v>3518</v>
      </c>
      <c r="W714">
        <v>19423790</v>
      </c>
      <c r="X714" t="s">
        <v>49</v>
      </c>
      <c r="Y714" t="s">
        <v>3519</v>
      </c>
      <c r="Z714" t="b">
        <v>0</v>
      </c>
      <c r="AA714">
        <v>2693.560975609756</v>
      </c>
      <c r="AN714" t="e">
        <f>100*(1-E714/AL714)</f>
        <v>#DIV/0!</v>
      </c>
    </row>
    <row r="715" spans="1:40" x14ac:dyDescent="0.3">
      <c r="A715" t="s">
        <v>166</v>
      </c>
      <c r="B715" t="s">
        <v>3545</v>
      </c>
      <c r="C715" t="s">
        <v>3545</v>
      </c>
      <c r="D715" s="4">
        <v>46001</v>
      </c>
      <c r="E715">
        <v>77925</v>
      </c>
      <c r="F715" t="s">
        <v>3546</v>
      </c>
      <c r="G715" t="s">
        <v>421</v>
      </c>
      <c r="H715" t="s">
        <v>62</v>
      </c>
      <c r="I715" t="s">
        <v>422</v>
      </c>
      <c r="J715" t="s">
        <v>108</v>
      </c>
      <c r="K715" t="s">
        <v>3547</v>
      </c>
      <c r="L715" t="s">
        <v>44</v>
      </c>
      <c r="M715" t="s">
        <v>3548</v>
      </c>
      <c r="N715">
        <v>59200</v>
      </c>
      <c r="O715" t="s">
        <v>45</v>
      </c>
      <c r="P715" t="s">
        <v>288</v>
      </c>
      <c r="Q715" t="s">
        <v>55</v>
      </c>
      <c r="R715">
        <v>1960</v>
      </c>
      <c r="S715">
        <v>117.14</v>
      </c>
      <c r="T715">
        <v>0</v>
      </c>
      <c r="U715">
        <v>0</v>
      </c>
      <c r="V715" t="s">
        <v>3549</v>
      </c>
      <c r="W715">
        <v>20298350</v>
      </c>
      <c r="X715" t="s">
        <v>49</v>
      </c>
      <c r="Y715" t="s">
        <v>3550</v>
      </c>
      <c r="Z715" t="b">
        <v>0</v>
      </c>
      <c r="AA715">
        <v>665.2296397473109</v>
      </c>
      <c r="AN715" t="e">
        <f>100*(1-E715/AL715)</f>
        <v>#DIV/0!</v>
      </c>
    </row>
    <row r="716" spans="1:40" x14ac:dyDescent="0.3">
      <c r="A716" t="s">
        <v>166</v>
      </c>
      <c r="B716" t="s">
        <v>3556</v>
      </c>
      <c r="C716" t="s">
        <v>3556</v>
      </c>
      <c r="D716" s="4">
        <v>46001</v>
      </c>
      <c r="E716">
        <v>165000</v>
      </c>
      <c r="F716" t="s">
        <v>435</v>
      </c>
      <c r="G716" t="s">
        <v>115</v>
      </c>
      <c r="H716" t="s">
        <v>67</v>
      </c>
      <c r="I716" t="s">
        <v>116</v>
      </c>
      <c r="J716" t="s">
        <v>67</v>
      </c>
      <c r="K716" t="s">
        <v>3557</v>
      </c>
      <c r="L716" t="s">
        <v>44</v>
      </c>
      <c r="M716" t="s">
        <v>3558</v>
      </c>
      <c r="N716">
        <v>11633</v>
      </c>
      <c r="O716" t="s">
        <v>45</v>
      </c>
      <c r="P716" t="s">
        <v>54</v>
      </c>
      <c r="Q716" t="s">
        <v>291</v>
      </c>
      <c r="R716">
        <v>1962</v>
      </c>
      <c r="S716">
        <v>95.6</v>
      </c>
      <c r="T716">
        <v>0</v>
      </c>
      <c r="U716">
        <v>0</v>
      </c>
      <c r="V716" t="s">
        <v>3559</v>
      </c>
      <c r="W716">
        <v>127772181</v>
      </c>
      <c r="X716" t="s">
        <v>49</v>
      </c>
      <c r="Y716" t="s">
        <v>3560</v>
      </c>
      <c r="Z716" t="b">
        <v>0</v>
      </c>
      <c r="AA716">
        <v>1725.9414225941421</v>
      </c>
      <c r="AN716" t="e">
        <f>100*(1-E716/AL716)</f>
        <v>#DIV/0!</v>
      </c>
    </row>
    <row r="717" spans="1:40" x14ac:dyDescent="0.3">
      <c r="A717" t="s">
        <v>71</v>
      </c>
      <c r="B717" t="s">
        <v>3561</v>
      </c>
      <c r="C717" t="s">
        <v>3561</v>
      </c>
      <c r="D717" s="4">
        <v>46001</v>
      </c>
      <c r="E717">
        <v>35000</v>
      </c>
      <c r="F717" t="s">
        <v>3562</v>
      </c>
      <c r="G717" t="s">
        <v>115</v>
      </c>
      <c r="H717" t="s">
        <v>67</v>
      </c>
      <c r="I717" t="s">
        <v>116</v>
      </c>
      <c r="J717" t="s">
        <v>67</v>
      </c>
      <c r="K717" t="s">
        <v>3563</v>
      </c>
      <c r="L717" t="s">
        <v>44</v>
      </c>
      <c r="M717" t="s">
        <v>3564</v>
      </c>
      <c r="N717">
        <v>10677</v>
      </c>
      <c r="O717" t="s">
        <v>50</v>
      </c>
      <c r="P717" t="s">
        <v>176</v>
      </c>
      <c r="Q717" t="s">
        <v>3565</v>
      </c>
      <c r="R717">
        <v>1962</v>
      </c>
      <c r="S717">
        <v>28.44</v>
      </c>
      <c r="T717">
        <v>0</v>
      </c>
      <c r="U717">
        <v>0</v>
      </c>
      <c r="V717" t="s">
        <v>3566</v>
      </c>
      <c r="W717">
        <v>22041969</v>
      </c>
      <c r="X717" t="s">
        <v>49</v>
      </c>
      <c r="Y717" t="s">
        <v>3567</v>
      </c>
      <c r="Z717" t="b">
        <v>0</v>
      </c>
      <c r="AA717">
        <v>1230.6610407876231</v>
      </c>
      <c r="AN717" t="e">
        <f>100*(1-E717/AL717)</f>
        <v>#DIV/0!</v>
      </c>
    </row>
    <row r="718" spans="1:40" x14ac:dyDescent="0.3">
      <c r="A718" t="s">
        <v>71</v>
      </c>
      <c r="B718" t="s">
        <v>3588</v>
      </c>
      <c r="C718" t="s">
        <v>3588</v>
      </c>
      <c r="D718" s="4">
        <v>46001</v>
      </c>
      <c r="E718">
        <v>164000</v>
      </c>
      <c r="F718" t="s">
        <v>280</v>
      </c>
      <c r="G718" t="s">
        <v>115</v>
      </c>
      <c r="H718" t="s">
        <v>67</v>
      </c>
      <c r="I718" t="s">
        <v>116</v>
      </c>
      <c r="J718" t="s">
        <v>67</v>
      </c>
      <c r="K718" t="s">
        <v>3589</v>
      </c>
      <c r="L718" t="s">
        <v>44</v>
      </c>
      <c r="M718" t="s">
        <v>3590</v>
      </c>
      <c r="N718">
        <v>11633</v>
      </c>
      <c r="O718" t="s">
        <v>45</v>
      </c>
      <c r="P718" t="s">
        <v>54</v>
      </c>
      <c r="Q718" t="s">
        <v>291</v>
      </c>
      <c r="R718">
        <v>1964</v>
      </c>
      <c r="S718">
        <v>87</v>
      </c>
      <c r="T718">
        <v>0</v>
      </c>
      <c r="U718">
        <v>0</v>
      </c>
      <c r="V718" t="s">
        <v>3591</v>
      </c>
      <c r="W718" t="s">
        <v>3592</v>
      </c>
      <c r="X718" t="s">
        <v>49</v>
      </c>
      <c r="Y718" t="s">
        <v>3593</v>
      </c>
      <c r="Z718" t="b">
        <v>0</v>
      </c>
      <c r="AA718">
        <v>1885.0574712643679</v>
      </c>
      <c r="AN718" t="e">
        <f>100*(1-E718/AL718)</f>
        <v>#DIV/0!</v>
      </c>
    </row>
    <row r="719" spans="1:40" x14ac:dyDescent="0.3">
      <c r="A719" t="s">
        <v>59</v>
      </c>
      <c r="B719" t="s">
        <v>3594</v>
      </c>
      <c r="C719" t="s">
        <v>3594</v>
      </c>
      <c r="D719" s="4">
        <v>46001</v>
      </c>
      <c r="E719">
        <v>124000</v>
      </c>
      <c r="F719" t="s">
        <v>202</v>
      </c>
      <c r="G719" t="s">
        <v>115</v>
      </c>
      <c r="H719" t="s">
        <v>67</v>
      </c>
      <c r="I719" t="s">
        <v>116</v>
      </c>
      <c r="J719" t="s">
        <v>67</v>
      </c>
      <c r="K719" t="s">
        <v>3595</v>
      </c>
      <c r="L719" t="s">
        <v>44</v>
      </c>
      <c r="M719" t="s">
        <v>3596</v>
      </c>
      <c r="N719">
        <v>11475</v>
      </c>
      <c r="O719" t="s">
        <v>45</v>
      </c>
      <c r="P719" t="s">
        <v>54</v>
      </c>
      <c r="Q719" t="s">
        <v>85</v>
      </c>
      <c r="R719">
        <v>1964</v>
      </c>
      <c r="S719">
        <v>83.7</v>
      </c>
      <c r="T719">
        <v>0</v>
      </c>
      <c r="U719">
        <v>0</v>
      </c>
      <c r="V719" t="s">
        <v>3597</v>
      </c>
      <c r="W719">
        <v>33117138</v>
      </c>
      <c r="X719" t="s">
        <v>86</v>
      </c>
      <c r="Y719" t="s">
        <v>3598</v>
      </c>
      <c r="Z719" t="b">
        <v>0</v>
      </c>
      <c r="AA719">
        <v>1481.481481481482</v>
      </c>
      <c r="AN719" t="e">
        <f>100*(1-E719/AL719)</f>
        <v>#DIV/0!</v>
      </c>
    </row>
    <row r="720" spans="1:40" x14ac:dyDescent="0.3">
      <c r="A720" t="s">
        <v>39</v>
      </c>
      <c r="B720" t="s">
        <v>3599</v>
      </c>
      <c r="C720" t="s">
        <v>3599</v>
      </c>
      <c r="D720" s="4">
        <v>46001</v>
      </c>
      <c r="E720">
        <v>46000</v>
      </c>
      <c r="F720" t="s">
        <v>1562</v>
      </c>
      <c r="G720" t="s">
        <v>490</v>
      </c>
      <c r="H720" t="s">
        <v>62</v>
      </c>
      <c r="I720" t="s">
        <v>491</v>
      </c>
      <c r="J720" t="s">
        <v>389</v>
      </c>
      <c r="K720" t="s">
        <v>3600</v>
      </c>
      <c r="L720" t="s">
        <v>44</v>
      </c>
      <c r="M720" t="s">
        <v>3601</v>
      </c>
      <c r="N720">
        <v>63077</v>
      </c>
      <c r="O720" t="s">
        <v>50</v>
      </c>
      <c r="P720" t="s">
        <v>46</v>
      </c>
      <c r="Q720">
        <v>0</v>
      </c>
      <c r="R720">
        <v>1964</v>
      </c>
      <c r="S720">
        <v>90</v>
      </c>
      <c r="T720">
        <v>0</v>
      </c>
      <c r="U720">
        <v>0</v>
      </c>
      <c r="V720" t="s">
        <v>3602</v>
      </c>
      <c r="W720" t="s">
        <v>3603</v>
      </c>
      <c r="X720" t="s">
        <v>86</v>
      </c>
      <c r="Y720" t="s">
        <v>3604</v>
      </c>
      <c r="Z720" t="b">
        <v>0</v>
      </c>
      <c r="AA720">
        <v>511.11111111111109</v>
      </c>
      <c r="AN720" t="e">
        <f>100*(1-E720/AL720)</f>
        <v>#DIV/0!</v>
      </c>
    </row>
    <row r="721" spans="1:40" x14ac:dyDescent="0.3">
      <c r="A721" t="s">
        <v>166</v>
      </c>
      <c r="B721" t="s">
        <v>3616</v>
      </c>
      <c r="C721" t="s">
        <v>3617</v>
      </c>
      <c r="D721" s="4">
        <v>46001</v>
      </c>
      <c r="E721">
        <v>94000</v>
      </c>
      <c r="F721" t="s">
        <v>3618</v>
      </c>
      <c r="G721" t="s">
        <v>267</v>
      </c>
      <c r="H721" t="s">
        <v>67</v>
      </c>
      <c r="I721" t="s">
        <v>96</v>
      </c>
      <c r="J721" t="s">
        <v>67</v>
      </c>
      <c r="K721" t="s">
        <v>3619</v>
      </c>
      <c r="L721" t="s">
        <v>44</v>
      </c>
      <c r="M721" t="s">
        <v>3620</v>
      </c>
      <c r="N721">
        <v>14122</v>
      </c>
      <c r="O721" t="s">
        <v>45</v>
      </c>
      <c r="P721" t="s">
        <v>54</v>
      </c>
      <c r="Q721" t="s">
        <v>52</v>
      </c>
      <c r="R721">
        <v>1965</v>
      </c>
      <c r="S721">
        <v>70</v>
      </c>
      <c r="T721" t="s">
        <v>161</v>
      </c>
      <c r="U721">
        <v>100</v>
      </c>
      <c r="V721" t="s">
        <v>3621</v>
      </c>
      <c r="W721">
        <v>30984799</v>
      </c>
      <c r="X721" t="s">
        <v>49</v>
      </c>
      <c r="Y721" t="s">
        <v>3622</v>
      </c>
      <c r="Z721" t="b">
        <v>0</v>
      </c>
      <c r="AA721">
        <v>1342.8571428571429</v>
      </c>
      <c r="AN721" t="e">
        <f>100*(1-E721/AL721)</f>
        <v>#DIV/0!</v>
      </c>
    </row>
    <row r="722" spans="1:40" x14ac:dyDescent="0.3">
      <c r="A722" t="s">
        <v>166</v>
      </c>
      <c r="B722" t="s">
        <v>3623</v>
      </c>
      <c r="C722" t="s">
        <v>3617</v>
      </c>
      <c r="D722" s="4">
        <v>46001</v>
      </c>
      <c r="E722">
        <v>36000</v>
      </c>
      <c r="F722" t="s">
        <v>3624</v>
      </c>
      <c r="G722" t="s">
        <v>267</v>
      </c>
      <c r="H722" t="s">
        <v>67</v>
      </c>
      <c r="I722" t="s">
        <v>96</v>
      </c>
      <c r="J722" t="s">
        <v>67</v>
      </c>
      <c r="K722" t="s">
        <v>3619</v>
      </c>
      <c r="L722" t="s">
        <v>44</v>
      </c>
      <c r="M722" t="s">
        <v>3620</v>
      </c>
      <c r="N722">
        <v>14122</v>
      </c>
      <c r="O722" t="s">
        <v>45</v>
      </c>
      <c r="P722" t="s">
        <v>54</v>
      </c>
      <c r="Q722" t="s">
        <v>52</v>
      </c>
      <c r="R722">
        <v>1965</v>
      </c>
      <c r="S722">
        <v>27</v>
      </c>
      <c r="T722" t="s">
        <v>161</v>
      </c>
      <c r="U722">
        <v>100</v>
      </c>
      <c r="V722" t="s">
        <v>3621</v>
      </c>
      <c r="W722">
        <v>30984799</v>
      </c>
      <c r="X722" t="s">
        <v>49</v>
      </c>
      <c r="Y722" t="s">
        <v>3625</v>
      </c>
      <c r="Z722" t="b">
        <v>0</v>
      </c>
      <c r="AA722">
        <v>1333.333333333333</v>
      </c>
      <c r="AN722" t="e">
        <f>100*(1-E722/AL722)</f>
        <v>#DIV/0!</v>
      </c>
    </row>
    <row r="723" spans="1:40" x14ac:dyDescent="0.3">
      <c r="A723" t="s">
        <v>59</v>
      </c>
      <c r="B723" t="s">
        <v>3626</v>
      </c>
      <c r="C723" t="s">
        <v>3626</v>
      </c>
      <c r="D723" s="4">
        <v>46001</v>
      </c>
      <c r="E723">
        <v>38000</v>
      </c>
      <c r="F723" t="s">
        <v>3627</v>
      </c>
      <c r="G723" t="s">
        <v>3628</v>
      </c>
      <c r="H723" t="s">
        <v>62</v>
      </c>
      <c r="I723" t="s">
        <v>457</v>
      </c>
      <c r="J723" t="s">
        <v>63</v>
      </c>
      <c r="K723" t="s">
        <v>3629</v>
      </c>
      <c r="L723" t="s">
        <v>44</v>
      </c>
      <c r="M723" t="s">
        <v>3628</v>
      </c>
      <c r="N723">
        <v>57020</v>
      </c>
      <c r="O723" t="s">
        <v>45</v>
      </c>
      <c r="P723" t="s">
        <v>81</v>
      </c>
      <c r="Q723" t="s">
        <v>52</v>
      </c>
      <c r="R723">
        <v>1965</v>
      </c>
      <c r="S723">
        <v>64</v>
      </c>
      <c r="T723">
        <v>0</v>
      </c>
      <c r="U723">
        <v>0</v>
      </c>
      <c r="V723" t="s">
        <v>3630</v>
      </c>
      <c r="W723">
        <v>108941393</v>
      </c>
      <c r="X723" t="s">
        <v>86</v>
      </c>
      <c r="Y723" t="s">
        <v>3631</v>
      </c>
      <c r="Z723" t="b">
        <v>0</v>
      </c>
      <c r="AA723">
        <v>593.75</v>
      </c>
      <c r="AN723" t="e">
        <f>100*(1-E723/AL723)</f>
        <v>#DIV/0!</v>
      </c>
    </row>
    <row r="724" spans="1:40" x14ac:dyDescent="0.3">
      <c r="A724" t="s">
        <v>39</v>
      </c>
      <c r="B724" t="s">
        <v>3660</v>
      </c>
      <c r="C724" t="s">
        <v>3660</v>
      </c>
      <c r="D724" s="4">
        <v>46001</v>
      </c>
      <c r="E724">
        <v>161000</v>
      </c>
      <c r="F724" t="s">
        <v>1509</v>
      </c>
      <c r="G724" t="s">
        <v>115</v>
      </c>
      <c r="H724" t="s">
        <v>67</v>
      </c>
      <c r="I724" t="s">
        <v>116</v>
      </c>
      <c r="J724" t="s">
        <v>67</v>
      </c>
      <c r="K724" t="s">
        <v>3661</v>
      </c>
      <c r="L724" t="s">
        <v>44</v>
      </c>
      <c r="M724" t="s">
        <v>3662</v>
      </c>
      <c r="N724">
        <v>10433</v>
      </c>
      <c r="O724" t="s">
        <v>45</v>
      </c>
      <c r="P724" t="s">
        <v>54</v>
      </c>
      <c r="Q724" t="s">
        <v>100</v>
      </c>
      <c r="R724">
        <v>1966</v>
      </c>
      <c r="S724">
        <v>113</v>
      </c>
      <c r="T724">
        <v>0</v>
      </c>
      <c r="U724">
        <v>0</v>
      </c>
      <c r="V724" t="s">
        <v>3663</v>
      </c>
      <c r="W724">
        <v>29873132</v>
      </c>
      <c r="X724" t="s">
        <v>49</v>
      </c>
      <c r="Y724" t="s">
        <v>3664</v>
      </c>
      <c r="Z724" t="b">
        <v>0</v>
      </c>
      <c r="AA724">
        <v>1424.7787610619471</v>
      </c>
      <c r="AN724" t="e">
        <f>100*(1-E724/AL724)</f>
        <v>#DIV/0!</v>
      </c>
    </row>
    <row r="725" spans="1:40" x14ac:dyDescent="0.3">
      <c r="A725" t="s">
        <v>39</v>
      </c>
      <c r="B725" t="s">
        <v>3665</v>
      </c>
      <c r="C725" t="s">
        <v>3666</v>
      </c>
      <c r="D725" s="4">
        <v>46001</v>
      </c>
      <c r="E725">
        <v>97000</v>
      </c>
      <c r="F725" t="s">
        <v>3667</v>
      </c>
      <c r="G725" t="s">
        <v>3668</v>
      </c>
      <c r="H725" t="s">
        <v>136</v>
      </c>
      <c r="I725" t="s">
        <v>3669</v>
      </c>
      <c r="J725" t="s">
        <v>452</v>
      </c>
      <c r="K725" t="s">
        <v>3670</v>
      </c>
      <c r="L725" t="s">
        <v>44</v>
      </c>
      <c r="M725" t="s">
        <v>3668</v>
      </c>
      <c r="N725">
        <v>37003</v>
      </c>
      <c r="O725" t="s">
        <v>45</v>
      </c>
      <c r="P725" t="s">
        <v>182</v>
      </c>
      <c r="Q725" t="s">
        <v>55</v>
      </c>
      <c r="R725">
        <v>1966</v>
      </c>
      <c r="S725">
        <v>90</v>
      </c>
      <c r="T725">
        <v>0</v>
      </c>
      <c r="U725">
        <v>0</v>
      </c>
      <c r="V725" t="s">
        <v>3671</v>
      </c>
      <c r="W725">
        <v>40698000</v>
      </c>
      <c r="X725" t="s">
        <v>49</v>
      </c>
      <c r="Y725" t="s">
        <v>3672</v>
      </c>
      <c r="Z725" t="b">
        <v>0</v>
      </c>
      <c r="AA725">
        <v>1077.7777777777781</v>
      </c>
      <c r="AN725" t="e">
        <f>100*(1-E725/AL725)</f>
        <v>#DIV/0!</v>
      </c>
    </row>
    <row r="726" spans="1:40" x14ac:dyDescent="0.3">
      <c r="A726" t="s">
        <v>166</v>
      </c>
      <c r="B726" t="s">
        <v>3684</v>
      </c>
      <c r="C726" t="s">
        <v>3684</v>
      </c>
      <c r="D726" s="4">
        <v>46001</v>
      </c>
      <c r="E726">
        <v>70000</v>
      </c>
      <c r="F726" t="s">
        <v>283</v>
      </c>
      <c r="G726" t="s">
        <v>3685</v>
      </c>
      <c r="H726" t="s">
        <v>62</v>
      </c>
      <c r="I726" t="s">
        <v>388</v>
      </c>
      <c r="J726" t="s">
        <v>389</v>
      </c>
      <c r="K726" t="s">
        <v>3686</v>
      </c>
      <c r="L726" t="s">
        <v>44</v>
      </c>
      <c r="M726" t="s">
        <v>3687</v>
      </c>
      <c r="N726">
        <v>63200</v>
      </c>
      <c r="O726" t="s">
        <v>45</v>
      </c>
      <c r="P726" t="s">
        <v>81</v>
      </c>
      <c r="Q726" t="s">
        <v>52</v>
      </c>
      <c r="R726">
        <v>1967</v>
      </c>
      <c r="S726">
        <v>100</v>
      </c>
      <c r="T726">
        <v>0</v>
      </c>
      <c r="U726">
        <v>0</v>
      </c>
      <c r="V726" t="s">
        <v>3688</v>
      </c>
      <c r="W726">
        <v>22905518</v>
      </c>
      <c r="X726" t="s">
        <v>86</v>
      </c>
      <c r="Y726" t="s">
        <v>3689</v>
      </c>
      <c r="Z726" t="b">
        <v>0</v>
      </c>
      <c r="AA726">
        <v>700</v>
      </c>
      <c r="AN726" t="e">
        <f>100*(1-E726/AL726)</f>
        <v>#DIV/0!</v>
      </c>
    </row>
    <row r="727" spans="1:40" x14ac:dyDescent="0.3">
      <c r="A727" t="s">
        <v>166</v>
      </c>
      <c r="B727" t="s">
        <v>3684</v>
      </c>
      <c r="C727" t="s">
        <v>3684</v>
      </c>
      <c r="D727" s="4">
        <v>46001</v>
      </c>
      <c r="E727">
        <v>70000</v>
      </c>
      <c r="F727" t="s">
        <v>283</v>
      </c>
      <c r="G727" t="s">
        <v>3685</v>
      </c>
      <c r="H727" t="s">
        <v>62</v>
      </c>
      <c r="I727" t="s">
        <v>388</v>
      </c>
      <c r="J727" t="s">
        <v>389</v>
      </c>
      <c r="K727" t="s">
        <v>3686</v>
      </c>
      <c r="L727" t="s">
        <v>44</v>
      </c>
      <c r="M727" t="s">
        <v>3687</v>
      </c>
      <c r="N727">
        <v>63200</v>
      </c>
      <c r="O727" t="s">
        <v>45</v>
      </c>
      <c r="P727" t="s">
        <v>81</v>
      </c>
      <c r="Q727" t="s">
        <v>52</v>
      </c>
      <c r="R727">
        <v>1967</v>
      </c>
      <c r="S727">
        <v>100</v>
      </c>
      <c r="T727">
        <v>0</v>
      </c>
      <c r="U727">
        <v>0</v>
      </c>
      <c r="V727" t="s">
        <v>3688</v>
      </c>
      <c r="W727">
        <v>22905518</v>
      </c>
      <c r="X727" t="s">
        <v>86</v>
      </c>
      <c r="Y727" t="s">
        <v>3689</v>
      </c>
      <c r="Z727" t="b">
        <v>0</v>
      </c>
      <c r="AA727">
        <v>700</v>
      </c>
      <c r="AN727" t="e">
        <f>100*(1-E727/AL727)</f>
        <v>#DIV/0!</v>
      </c>
    </row>
    <row r="728" spans="1:40" x14ac:dyDescent="0.3">
      <c r="A728" t="s">
        <v>166</v>
      </c>
      <c r="B728" t="s">
        <v>3710</v>
      </c>
      <c r="C728" t="s">
        <v>3710</v>
      </c>
      <c r="D728" s="4">
        <v>46001</v>
      </c>
      <c r="E728">
        <v>48000</v>
      </c>
      <c r="F728" t="s">
        <v>920</v>
      </c>
      <c r="G728" t="s">
        <v>61</v>
      </c>
      <c r="H728" t="s">
        <v>62</v>
      </c>
      <c r="I728" t="s">
        <v>63</v>
      </c>
      <c r="J728" t="s">
        <v>63</v>
      </c>
      <c r="K728" t="s">
        <v>3711</v>
      </c>
      <c r="L728" t="s">
        <v>44</v>
      </c>
      <c r="M728" t="s">
        <v>3712</v>
      </c>
      <c r="N728">
        <v>54632</v>
      </c>
      <c r="O728" t="s">
        <v>45</v>
      </c>
      <c r="P728" t="s">
        <v>54</v>
      </c>
      <c r="Q728" t="s">
        <v>100</v>
      </c>
      <c r="R728">
        <v>1968</v>
      </c>
      <c r="S728">
        <v>44</v>
      </c>
      <c r="T728">
        <v>0</v>
      </c>
      <c r="U728">
        <v>0</v>
      </c>
      <c r="V728" t="s">
        <v>3713</v>
      </c>
      <c r="W728">
        <v>113491728</v>
      </c>
      <c r="X728" t="s">
        <v>86</v>
      </c>
      <c r="Y728" t="s">
        <v>3714</v>
      </c>
      <c r="Z728" t="b">
        <v>0</v>
      </c>
      <c r="AA728">
        <v>1090.909090909091</v>
      </c>
      <c r="AN728" t="e">
        <f>100*(1-E728/AL728)</f>
        <v>#DIV/0!</v>
      </c>
    </row>
    <row r="729" spans="1:40" x14ac:dyDescent="0.3">
      <c r="A729" t="s">
        <v>139</v>
      </c>
      <c r="B729" t="s">
        <v>3737</v>
      </c>
      <c r="C729" t="s">
        <v>3737</v>
      </c>
      <c r="D729" s="4">
        <v>46001</v>
      </c>
      <c r="E729">
        <v>51500</v>
      </c>
      <c r="F729" t="s">
        <v>140</v>
      </c>
      <c r="G729" t="s">
        <v>430</v>
      </c>
      <c r="H729" t="s">
        <v>62</v>
      </c>
      <c r="I729" t="s">
        <v>348</v>
      </c>
      <c r="J729" t="s">
        <v>238</v>
      </c>
      <c r="K729" t="s">
        <v>3738</v>
      </c>
      <c r="L729" t="s">
        <v>44</v>
      </c>
      <c r="M729" t="s">
        <v>3739</v>
      </c>
      <c r="N729">
        <v>61400</v>
      </c>
      <c r="O729" t="s">
        <v>45</v>
      </c>
      <c r="P729" t="s">
        <v>54</v>
      </c>
      <c r="Q729" t="s">
        <v>55</v>
      </c>
      <c r="R729">
        <v>1969</v>
      </c>
      <c r="S729">
        <v>106.6</v>
      </c>
      <c r="T729">
        <v>0</v>
      </c>
      <c r="U729">
        <v>0</v>
      </c>
      <c r="V729" t="s">
        <v>3740</v>
      </c>
      <c r="W729" t="s">
        <v>3741</v>
      </c>
      <c r="X729" t="s">
        <v>86</v>
      </c>
      <c r="Y729" t="s">
        <v>3742</v>
      </c>
      <c r="Z729" t="b">
        <v>0</v>
      </c>
      <c r="AA729">
        <v>483.11444652908068</v>
      </c>
      <c r="AN729" t="e">
        <f>100*(1-E729/AL729)</f>
        <v>#DIV/0!</v>
      </c>
    </row>
    <row r="730" spans="1:40" x14ac:dyDescent="0.3">
      <c r="A730" t="s">
        <v>166</v>
      </c>
      <c r="B730" t="s">
        <v>3813</v>
      </c>
      <c r="C730" t="s">
        <v>3813</v>
      </c>
      <c r="D730" s="4">
        <v>46001</v>
      </c>
      <c r="E730">
        <v>55500</v>
      </c>
      <c r="F730" t="s">
        <v>3814</v>
      </c>
      <c r="G730" t="s">
        <v>194</v>
      </c>
      <c r="H730" t="s">
        <v>67</v>
      </c>
      <c r="I730" t="s">
        <v>195</v>
      </c>
      <c r="J730" t="s">
        <v>67</v>
      </c>
      <c r="K730" t="s">
        <v>3815</v>
      </c>
      <c r="L730" t="s">
        <v>44</v>
      </c>
      <c r="M730" t="s">
        <v>3816</v>
      </c>
      <c r="N730">
        <v>18537</v>
      </c>
      <c r="O730" t="s">
        <v>45</v>
      </c>
      <c r="P730" t="s">
        <v>54</v>
      </c>
      <c r="Q730" t="s">
        <v>55</v>
      </c>
      <c r="R730">
        <v>1970</v>
      </c>
      <c r="S730">
        <v>113.09</v>
      </c>
      <c r="T730" t="s">
        <v>48</v>
      </c>
      <c r="U730" t="s">
        <v>2462</v>
      </c>
      <c r="V730" t="s">
        <v>3817</v>
      </c>
      <c r="W730">
        <v>47946578</v>
      </c>
      <c r="X730" t="s">
        <v>86</v>
      </c>
      <c r="Y730" t="s">
        <v>3818</v>
      </c>
      <c r="Z730" t="b">
        <v>0</v>
      </c>
      <c r="AA730">
        <v>490.75957202228312</v>
      </c>
      <c r="AN730" t="e">
        <f>100*(1-E730/AL730)</f>
        <v>#DIV/0!</v>
      </c>
    </row>
    <row r="731" spans="1:40" x14ac:dyDescent="0.3">
      <c r="A731" t="s">
        <v>166</v>
      </c>
      <c r="B731" t="s">
        <v>3819</v>
      </c>
      <c r="C731" t="s">
        <v>3819</v>
      </c>
      <c r="D731" s="4">
        <v>46001</v>
      </c>
      <c r="E731">
        <v>123300</v>
      </c>
      <c r="F731" t="s">
        <v>303</v>
      </c>
      <c r="G731" t="s">
        <v>158</v>
      </c>
      <c r="H731" t="s">
        <v>67</v>
      </c>
      <c r="I731" t="s">
        <v>159</v>
      </c>
      <c r="J731" t="s">
        <v>67</v>
      </c>
      <c r="K731" t="s">
        <v>3820</v>
      </c>
      <c r="L731" t="s">
        <v>44</v>
      </c>
      <c r="M731" t="s">
        <v>3821</v>
      </c>
      <c r="N731">
        <v>15121</v>
      </c>
      <c r="O731" t="s">
        <v>45</v>
      </c>
      <c r="P731" t="s">
        <v>54</v>
      </c>
      <c r="Q731" t="s">
        <v>52</v>
      </c>
      <c r="R731">
        <v>1970</v>
      </c>
      <c r="S731">
        <v>74</v>
      </c>
      <c r="T731">
        <v>0</v>
      </c>
      <c r="U731">
        <v>0</v>
      </c>
      <c r="V731" t="s">
        <v>3822</v>
      </c>
      <c r="W731">
        <v>825728</v>
      </c>
      <c r="X731" t="s">
        <v>49</v>
      </c>
      <c r="Y731" t="s">
        <v>3823</v>
      </c>
      <c r="Z731" t="b">
        <v>0</v>
      </c>
      <c r="AA731">
        <v>1666.216216216216</v>
      </c>
      <c r="AN731" t="e">
        <f>100*(1-E731/AL731)</f>
        <v>#DIV/0!</v>
      </c>
    </row>
    <row r="732" spans="1:40" x14ac:dyDescent="0.3">
      <c r="A732" t="s">
        <v>71</v>
      </c>
      <c r="B732" t="s">
        <v>3824</v>
      </c>
      <c r="C732" t="s">
        <v>3824</v>
      </c>
      <c r="D732" s="4">
        <v>46001</v>
      </c>
      <c r="E732">
        <v>99000</v>
      </c>
      <c r="F732" t="s">
        <v>435</v>
      </c>
      <c r="G732" t="s">
        <v>2026</v>
      </c>
      <c r="H732" t="s">
        <v>94</v>
      </c>
      <c r="I732" t="s">
        <v>2027</v>
      </c>
      <c r="J732" t="s">
        <v>96</v>
      </c>
      <c r="K732" t="s">
        <v>3825</v>
      </c>
      <c r="L732" t="s">
        <v>44</v>
      </c>
      <c r="M732" t="s">
        <v>3826</v>
      </c>
      <c r="N732">
        <v>71303</v>
      </c>
      <c r="O732" t="s">
        <v>45</v>
      </c>
      <c r="P732" t="s">
        <v>54</v>
      </c>
      <c r="Q732" t="s">
        <v>55</v>
      </c>
      <c r="R732">
        <v>1970</v>
      </c>
      <c r="S732">
        <v>95.75</v>
      </c>
      <c r="T732">
        <v>0</v>
      </c>
      <c r="U732">
        <v>0</v>
      </c>
      <c r="V732" t="s">
        <v>3827</v>
      </c>
      <c r="W732">
        <v>46385042</v>
      </c>
      <c r="X732" t="s">
        <v>49</v>
      </c>
      <c r="Y732" t="s">
        <v>3828</v>
      </c>
      <c r="Z732" t="b">
        <v>0</v>
      </c>
      <c r="AA732">
        <v>1033.942558746736</v>
      </c>
      <c r="AN732" t="e">
        <f>100*(1-E732/AL732)</f>
        <v>#DIV/0!</v>
      </c>
    </row>
    <row r="733" spans="1:40" x14ac:dyDescent="0.3">
      <c r="A733" t="s">
        <v>59</v>
      </c>
      <c r="B733" t="s">
        <v>3829</v>
      </c>
      <c r="C733" t="s">
        <v>3829</v>
      </c>
      <c r="D733" s="4">
        <v>46001</v>
      </c>
      <c r="E733">
        <v>63000</v>
      </c>
      <c r="F733" t="s">
        <v>397</v>
      </c>
      <c r="G733" t="s">
        <v>106</v>
      </c>
      <c r="H733" t="s">
        <v>62</v>
      </c>
      <c r="I733" t="s">
        <v>107</v>
      </c>
      <c r="J733" t="s">
        <v>108</v>
      </c>
      <c r="K733" t="s">
        <v>3830</v>
      </c>
      <c r="L733" t="s">
        <v>44</v>
      </c>
      <c r="M733" t="s">
        <v>3831</v>
      </c>
      <c r="N733">
        <v>59132</v>
      </c>
      <c r="O733" t="s">
        <v>45</v>
      </c>
      <c r="P733" t="s">
        <v>54</v>
      </c>
      <c r="Q733" t="s">
        <v>55</v>
      </c>
      <c r="R733">
        <v>1970</v>
      </c>
      <c r="S733">
        <v>88.6</v>
      </c>
      <c r="T733">
        <v>0</v>
      </c>
      <c r="U733">
        <v>0</v>
      </c>
      <c r="V733" t="s">
        <v>3832</v>
      </c>
      <c r="W733" t="s">
        <v>3833</v>
      </c>
      <c r="X733" t="s">
        <v>49</v>
      </c>
      <c r="Y733" t="s">
        <v>3834</v>
      </c>
      <c r="Z733" t="b">
        <v>0</v>
      </c>
      <c r="AA733">
        <v>711.0609480812642</v>
      </c>
      <c r="AN733" t="e">
        <f>100*(1-E733/AL733)</f>
        <v>#DIV/0!</v>
      </c>
    </row>
    <row r="734" spans="1:40" x14ac:dyDescent="0.3">
      <c r="A734" t="s">
        <v>71</v>
      </c>
      <c r="B734" t="s">
        <v>3835</v>
      </c>
      <c r="C734" t="s">
        <v>3835</v>
      </c>
      <c r="D734" s="4">
        <v>46001</v>
      </c>
      <c r="E734">
        <v>97000</v>
      </c>
      <c r="F734" t="s">
        <v>3836</v>
      </c>
      <c r="G734" t="s">
        <v>3837</v>
      </c>
      <c r="H734" t="s">
        <v>94</v>
      </c>
      <c r="I734" t="s">
        <v>1824</v>
      </c>
      <c r="J734" t="s">
        <v>96</v>
      </c>
      <c r="K734" t="s">
        <v>3838</v>
      </c>
      <c r="L734" t="s">
        <v>44</v>
      </c>
      <c r="M734" t="s">
        <v>3839</v>
      </c>
      <c r="N734">
        <v>70003</v>
      </c>
      <c r="O734" t="s">
        <v>45</v>
      </c>
      <c r="P734" t="s">
        <v>81</v>
      </c>
      <c r="Q734" t="s">
        <v>52</v>
      </c>
      <c r="R734">
        <v>1970</v>
      </c>
      <c r="S734">
        <v>142.81</v>
      </c>
      <c r="T734">
        <v>0</v>
      </c>
      <c r="U734">
        <v>0</v>
      </c>
      <c r="V734" t="s">
        <v>3840</v>
      </c>
      <c r="W734">
        <v>118922859</v>
      </c>
      <c r="X734" t="s">
        <v>49</v>
      </c>
      <c r="Y734">
        <v>170021456005</v>
      </c>
      <c r="Z734" t="b">
        <v>0</v>
      </c>
      <c r="AA734">
        <v>679.22414396750924</v>
      </c>
      <c r="AN734" t="e">
        <f>100*(1-E734/AL734)</f>
        <v>#DIV/0!</v>
      </c>
    </row>
    <row r="735" spans="1:40" x14ac:dyDescent="0.3">
      <c r="A735" t="s">
        <v>71</v>
      </c>
      <c r="B735" t="s">
        <v>3841</v>
      </c>
      <c r="C735" t="s">
        <v>3842</v>
      </c>
      <c r="D735" s="4">
        <v>46001</v>
      </c>
      <c r="E735">
        <v>18000</v>
      </c>
      <c r="F735" t="s">
        <v>1439</v>
      </c>
      <c r="G735" t="s">
        <v>3581</v>
      </c>
      <c r="H735" t="s">
        <v>62</v>
      </c>
      <c r="I735" t="s">
        <v>3582</v>
      </c>
      <c r="J735" t="s">
        <v>204</v>
      </c>
      <c r="K735" t="s">
        <v>3843</v>
      </c>
      <c r="L735" t="s">
        <v>44</v>
      </c>
      <c r="M735" t="s">
        <v>3844</v>
      </c>
      <c r="N735">
        <v>62200</v>
      </c>
      <c r="O735" t="s">
        <v>45</v>
      </c>
      <c r="P735" t="s">
        <v>54</v>
      </c>
      <c r="Q735" t="s">
        <v>52</v>
      </c>
      <c r="R735">
        <v>1970</v>
      </c>
      <c r="S735">
        <v>65</v>
      </c>
      <c r="T735">
        <v>0</v>
      </c>
      <c r="U735">
        <v>0</v>
      </c>
      <c r="V735" t="s">
        <v>3845</v>
      </c>
      <c r="W735">
        <v>77019874</v>
      </c>
      <c r="X735" t="s">
        <v>49</v>
      </c>
      <c r="Y735" t="s">
        <v>3846</v>
      </c>
      <c r="Z735" t="b">
        <v>0</v>
      </c>
      <c r="AA735">
        <v>276.92307692307691</v>
      </c>
      <c r="AN735" t="e">
        <f>100*(1-E735/AL735)</f>
        <v>#DIV/0!</v>
      </c>
    </row>
    <row r="736" spans="1:40" x14ac:dyDescent="0.3">
      <c r="A736" t="s">
        <v>278</v>
      </c>
      <c r="B736" t="s">
        <v>3895</v>
      </c>
      <c r="C736" t="s">
        <v>3895</v>
      </c>
      <c r="D736" s="4">
        <v>46001</v>
      </c>
      <c r="E736">
        <v>71000</v>
      </c>
      <c r="F736" t="s">
        <v>53</v>
      </c>
      <c r="G736" t="s">
        <v>61</v>
      </c>
      <c r="H736" t="s">
        <v>62</v>
      </c>
      <c r="I736" t="s">
        <v>63</v>
      </c>
      <c r="J736" t="s">
        <v>63</v>
      </c>
      <c r="K736" t="s">
        <v>3896</v>
      </c>
      <c r="L736" t="s">
        <v>44</v>
      </c>
      <c r="M736" t="s">
        <v>3897</v>
      </c>
      <c r="N736">
        <v>54644</v>
      </c>
      <c r="O736" t="s">
        <v>45</v>
      </c>
      <c r="P736" t="s">
        <v>54</v>
      </c>
      <c r="Q736" t="s">
        <v>55</v>
      </c>
      <c r="R736">
        <v>1971</v>
      </c>
      <c r="S736">
        <v>100</v>
      </c>
      <c r="T736" t="s">
        <v>48</v>
      </c>
      <c r="U736">
        <v>50</v>
      </c>
      <c r="V736" t="s">
        <v>3898</v>
      </c>
      <c r="W736">
        <v>40526298</v>
      </c>
      <c r="X736" t="s">
        <v>86</v>
      </c>
      <c r="Y736" t="s">
        <v>3899</v>
      </c>
      <c r="Z736" t="b">
        <v>0</v>
      </c>
      <c r="AA736">
        <v>710</v>
      </c>
      <c r="AN736" t="e">
        <f>100*(1-E736/AL736)</f>
        <v>#DIV/0!</v>
      </c>
    </row>
    <row r="737" spans="1:40" x14ac:dyDescent="0.3">
      <c r="A737" t="s">
        <v>166</v>
      </c>
      <c r="B737" t="s">
        <v>3900</v>
      </c>
      <c r="C737" t="s">
        <v>1945</v>
      </c>
      <c r="D737" s="4">
        <v>46001</v>
      </c>
      <c r="E737">
        <v>93000</v>
      </c>
      <c r="F737" t="s">
        <v>3901</v>
      </c>
      <c r="G737" t="s">
        <v>276</v>
      </c>
      <c r="H737" t="s">
        <v>152</v>
      </c>
      <c r="I737" t="s">
        <v>277</v>
      </c>
      <c r="J737" t="s">
        <v>221</v>
      </c>
      <c r="K737" t="s">
        <v>1947</v>
      </c>
      <c r="L737" t="s">
        <v>44</v>
      </c>
      <c r="M737" t="s">
        <v>1948</v>
      </c>
      <c r="N737">
        <v>20100</v>
      </c>
      <c r="O737" t="s">
        <v>45</v>
      </c>
      <c r="P737" t="s">
        <v>54</v>
      </c>
      <c r="Q737" t="s">
        <v>52</v>
      </c>
      <c r="R737">
        <v>1971</v>
      </c>
      <c r="S737">
        <v>85.79</v>
      </c>
      <c r="T737" t="s">
        <v>1949</v>
      </c>
      <c r="U737" t="s">
        <v>1950</v>
      </c>
      <c r="V737" t="s">
        <v>1951</v>
      </c>
      <c r="W737">
        <v>59503015</v>
      </c>
      <c r="X737" t="s">
        <v>49</v>
      </c>
      <c r="Y737" t="s">
        <v>1955</v>
      </c>
      <c r="Z737" t="b">
        <v>0</v>
      </c>
      <c r="AA737">
        <v>1084.0424291875511</v>
      </c>
      <c r="AN737" t="e">
        <f>100*(1-E737/AL737)</f>
        <v>#DIV/0!</v>
      </c>
    </row>
    <row r="738" spans="1:40" x14ac:dyDescent="0.3">
      <c r="A738" t="s">
        <v>166</v>
      </c>
      <c r="B738" t="s">
        <v>3902</v>
      </c>
      <c r="C738" t="s">
        <v>1945</v>
      </c>
      <c r="D738" s="4">
        <v>46001</v>
      </c>
      <c r="E738">
        <v>65000</v>
      </c>
      <c r="F738" t="s">
        <v>3903</v>
      </c>
      <c r="G738" t="s">
        <v>276</v>
      </c>
      <c r="H738" t="s">
        <v>152</v>
      </c>
      <c r="I738" t="s">
        <v>277</v>
      </c>
      <c r="J738" t="s">
        <v>221</v>
      </c>
      <c r="K738" t="s">
        <v>1947</v>
      </c>
      <c r="L738" t="s">
        <v>44</v>
      </c>
      <c r="M738" t="s">
        <v>1948</v>
      </c>
      <c r="N738">
        <v>20100</v>
      </c>
      <c r="O738" t="s">
        <v>45</v>
      </c>
      <c r="P738" t="s">
        <v>54</v>
      </c>
      <c r="Q738" t="s">
        <v>52</v>
      </c>
      <c r="R738">
        <v>1971</v>
      </c>
      <c r="S738">
        <v>56.73</v>
      </c>
      <c r="T738" t="s">
        <v>1949</v>
      </c>
      <c r="U738" t="s">
        <v>1950</v>
      </c>
      <c r="V738" t="s">
        <v>1951</v>
      </c>
      <c r="W738">
        <v>59503015</v>
      </c>
      <c r="X738" t="s">
        <v>49</v>
      </c>
      <c r="Y738" t="s">
        <v>3904</v>
      </c>
      <c r="Z738" t="b">
        <v>0</v>
      </c>
      <c r="AA738">
        <v>1145.7782478406491</v>
      </c>
      <c r="AN738" t="e">
        <f>100*(1-E738/AL738)</f>
        <v>#DIV/0!</v>
      </c>
    </row>
    <row r="739" spans="1:40" x14ac:dyDescent="0.3">
      <c r="A739" t="s">
        <v>59</v>
      </c>
      <c r="B739" t="s">
        <v>3905</v>
      </c>
      <c r="C739" t="s">
        <v>3905</v>
      </c>
      <c r="D739" s="4">
        <v>46001</v>
      </c>
      <c r="E739">
        <v>72000</v>
      </c>
      <c r="F739" t="s">
        <v>346</v>
      </c>
      <c r="G739" t="s">
        <v>889</v>
      </c>
      <c r="H739" t="s">
        <v>62</v>
      </c>
      <c r="I739" t="s">
        <v>890</v>
      </c>
      <c r="J739" t="s">
        <v>63</v>
      </c>
      <c r="K739" t="s">
        <v>3906</v>
      </c>
      <c r="L739" t="s">
        <v>44</v>
      </c>
      <c r="M739" t="s">
        <v>3907</v>
      </c>
      <c r="N739">
        <v>56727</v>
      </c>
      <c r="O739" t="s">
        <v>45</v>
      </c>
      <c r="P739" t="s">
        <v>54</v>
      </c>
      <c r="Q739" t="s">
        <v>100</v>
      </c>
      <c r="R739">
        <v>1971</v>
      </c>
      <c r="S739">
        <v>76</v>
      </c>
      <c r="T739">
        <v>0</v>
      </c>
      <c r="U739">
        <v>0</v>
      </c>
      <c r="V739" t="s">
        <v>3908</v>
      </c>
      <c r="W739">
        <v>59776447</v>
      </c>
      <c r="X739" t="s">
        <v>86</v>
      </c>
      <c r="Y739" t="s">
        <v>3909</v>
      </c>
      <c r="Z739" t="b">
        <v>0</v>
      </c>
      <c r="AA739">
        <v>947.36842105263156</v>
      </c>
      <c r="AN739" t="e">
        <f>100*(1-E739/AL739)</f>
        <v>#DIV/0!</v>
      </c>
    </row>
    <row r="740" spans="1:40" x14ac:dyDescent="0.3">
      <c r="A740" t="s">
        <v>39</v>
      </c>
      <c r="B740" t="s">
        <v>3976</v>
      </c>
      <c r="C740" t="s">
        <v>3976</v>
      </c>
      <c r="D740" s="4">
        <v>46001</v>
      </c>
      <c r="E740">
        <v>211000</v>
      </c>
      <c r="F740" t="s">
        <v>3977</v>
      </c>
      <c r="G740" t="s">
        <v>990</v>
      </c>
      <c r="H740" t="s">
        <v>67</v>
      </c>
      <c r="I740" t="s">
        <v>991</v>
      </c>
      <c r="J740" t="s">
        <v>67</v>
      </c>
      <c r="K740" t="s">
        <v>3978</v>
      </c>
      <c r="L740" t="s">
        <v>44</v>
      </c>
      <c r="M740" t="s">
        <v>3979</v>
      </c>
      <c r="N740">
        <v>17122</v>
      </c>
      <c r="O740" t="s">
        <v>45</v>
      </c>
      <c r="P740" t="s">
        <v>54</v>
      </c>
      <c r="Q740" t="s">
        <v>52</v>
      </c>
      <c r="R740">
        <v>1973</v>
      </c>
      <c r="S740">
        <v>141.75</v>
      </c>
      <c r="T740">
        <v>0</v>
      </c>
      <c r="U740">
        <v>0</v>
      </c>
      <c r="V740" t="s">
        <v>3980</v>
      </c>
      <c r="W740">
        <v>39610432</v>
      </c>
      <c r="X740" t="s">
        <v>49</v>
      </c>
      <c r="Y740" t="s">
        <v>3981</v>
      </c>
      <c r="Z740" t="b">
        <v>0</v>
      </c>
      <c r="AA740">
        <v>1488.5361552028221</v>
      </c>
      <c r="AN740" t="e">
        <f>100*(1-E740/AL740)</f>
        <v>#DIV/0!</v>
      </c>
    </row>
    <row r="741" spans="1:40" x14ac:dyDescent="0.3">
      <c r="A741" t="s">
        <v>39</v>
      </c>
      <c r="B741" t="s">
        <v>3982</v>
      </c>
      <c r="C741" t="s">
        <v>3666</v>
      </c>
      <c r="D741" s="4">
        <v>46001</v>
      </c>
      <c r="E741">
        <v>307000</v>
      </c>
      <c r="F741" t="s">
        <v>3983</v>
      </c>
      <c r="G741" t="s">
        <v>3668</v>
      </c>
      <c r="H741" t="s">
        <v>136</v>
      </c>
      <c r="I741" t="s">
        <v>3669</v>
      </c>
      <c r="J741" t="s">
        <v>452</v>
      </c>
      <c r="K741" t="s">
        <v>3984</v>
      </c>
      <c r="L741" t="s">
        <v>44</v>
      </c>
      <c r="M741" t="s">
        <v>3985</v>
      </c>
      <c r="N741">
        <v>37003</v>
      </c>
      <c r="O741" t="s">
        <v>50</v>
      </c>
      <c r="P741" t="s">
        <v>2521</v>
      </c>
      <c r="Q741" t="s">
        <v>100</v>
      </c>
      <c r="R741">
        <v>1973</v>
      </c>
      <c r="S741">
        <v>399</v>
      </c>
      <c r="T741">
        <v>0</v>
      </c>
      <c r="U741">
        <v>0</v>
      </c>
      <c r="V741" t="s">
        <v>3671</v>
      </c>
      <c r="W741">
        <v>40698000</v>
      </c>
      <c r="X741" t="s">
        <v>49</v>
      </c>
      <c r="Y741" t="s">
        <v>3986</v>
      </c>
      <c r="Z741" t="b">
        <v>0</v>
      </c>
      <c r="AA741">
        <v>769.42355889724308</v>
      </c>
      <c r="AN741" t="e">
        <f>100*(1-E741/AL741)</f>
        <v>#DIV/0!</v>
      </c>
    </row>
    <row r="742" spans="1:40" x14ac:dyDescent="0.3">
      <c r="A742" t="s">
        <v>39</v>
      </c>
      <c r="B742" t="s">
        <v>4016</v>
      </c>
      <c r="C742" t="s">
        <v>4016</v>
      </c>
      <c r="D742" s="4">
        <v>46001</v>
      </c>
      <c r="E742">
        <v>53000</v>
      </c>
      <c r="F742" t="s">
        <v>4017</v>
      </c>
      <c r="G742" t="s">
        <v>404</v>
      </c>
      <c r="H742" t="s">
        <v>124</v>
      </c>
      <c r="I742" t="s">
        <v>405</v>
      </c>
      <c r="J742" t="s">
        <v>126</v>
      </c>
      <c r="K742" t="s">
        <v>4018</v>
      </c>
      <c r="L742" t="s">
        <v>44</v>
      </c>
      <c r="M742" t="s">
        <v>4019</v>
      </c>
      <c r="N742">
        <v>26221</v>
      </c>
      <c r="O742" t="s">
        <v>50</v>
      </c>
      <c r="P742" t="s">
        <v>51</v>
      </c>
      <c r="Q742" t="s">
        <v>52</v>
      </c>
      <c r="R742">
        <v>1974</v>
      </c>
      <c r="S742">
        <v>24.32</v>
      </c>
      <c r="T742">
        <v>0</v>
      </c>
      <c r="U742">
        <v>0</v>
      </c>
      <c r="V742" t="s">
        <v>4020</v>
      </c>
      <c r="W742">
        <v>41603811</v>
      </c>
      <c r="X742" t="s">
        <v>86</v>
      </c>
      <c r="Y742" t="s">
        <v>4021</v>
      </c>
      <c r="Z742" t="b">
        <v>0</v>
      </c>
      <c r="AA742">
        <v>2179.2763157894742</v>
      </c>
      <c r="AN742" t="e">
        <f>100*(1-E742/AL742)</f>
        <v>#DIV/0!</v>
      </c>
    </row>
    <row r="743" spans="1:40" x14ac:dyDescent="0.3">
      <c r="A743" t="s">
        <v>39</v>
      </c>
      <c r="B743" t="s">
        <v>4022</v>
      </c>
      <c r="C743" t="s">
        <v>4022</v>
      </c>
      <c r="D743" s="4">
        <v>46001</v>
      </c>
      <c r="E743">
        <v>62000</v>
      </c>
      <c r="F743" t="s">
        <v>564</v>
      </c>
      <c r="G743" t="s">
        <v>404</v>
      </c>
      <c r="H743" t="s">
        <v>124</v>
      </c>
      <c r="I743" t="s">
        <v>405</v>
      </c>
      <c r="J743" t="s">
        <v>126</v>
      </c>
      <c r="K743" t="s">
        <v>4023</v>
      </c>
      <c r="L743" t="s">
        <v>44</v>
      </c>
      <c r="M743" t="s">
        <v>4024</v>
      </c>
      <c r="N743">
        <v>26223</v>
      </c>
      <c r="O743" t="s">
        <v>45</v>
      </c>
      <c r="P743" t="s">
        <v>54</v>
      </c>
      <c r="Q743" t="s">
        <v>85</v>
      </c>
      <c r="R743">
        <v>1974</v>
      </c>
      <c r="S743">
        <v>54.49</v>
      </c>
      <c r="T743">
        <v>0</v>
      </c>
      <c r="U743">
        <v>0</v>
      </c>
      <c r="V743" t="s">
        <v>4025</v>
      </c>
      <c r="W743">
        <v>134686096</v>
      </c>
      <c r="X743" t="s">
        <v>86</v>
      </c>
      <c r="Y743" t="s">
        <v>4026</v>
      </c>
      <c r="Z743" t="b">
        <v>0</v>
      </c>
      <c r="AA743">
        <v>1137.8234538447421</v>
      </c>
      <c r="AN743" t="e">
        <f>100*(1-E743/AL743)</f>
        <v>#DIV/0!</v>
      </c>
    </row>
    <row r="744" spans="1:40" x14ac:dyDescent="0.3">
      <c r="A744" t="s">
        <v>59</v>
      </c>
      <c r="B744" t="s">
        <v>4088</v>
      </c>
      <c r="C744" t="s">
        <v>4089</v>
      </c>
      <c r="D744" s="4">
        <v>46001</v>
      </c>
      <c r="E744">
        <v>41500</v>
      </c>
      <c r="F744" t="s">
        <v>4090</v>
      </c>
      <c r="G744" t="s">
        <v>236</v>
      </c>
      <c r="H744" t="s">
        <v>102</v>
      </c>
      <c r="I744" t="s">
        <v>237</v>
      </c>
      <c r="J744" t="s">
        <v>237</v>
      </c>
      <c r="K744" t="s">
        <v>4091</v>
      </c>
      <c r="L744" t="s">
        <v>44</v>
      </c>
      <c r="M744" t="s">
        <v>4092</v>
      </c>
      <c r="N744">
        <v>52100</v>
      </c>
      <c r="O744" t="s">
        <v>45</v>
      </c>
      <c r="P744" t="s">
        <v>54</v>
      </c>
      <c r="Q744" t="s">
        <v>55</v>
      </c>
      <c r="R744">
        <v>1975</v>
      </c>
      <c r="S744">
        <v>114</v>
      </c>
      <c r="T744">
        <v>0</v>
      </c>
      <c r="U744">
        <v>0</v>
      </c>
      <c r="V744" t="s">
        <v>4093</v>
      </c>
      <c r="W744">
        <v>103019440</v>
      </c>
      <c r="X744" t="s">
        <v>49</v>
      </c>
      <c r="Y744" t="s">
        <v>4094</v>
      </c>
      <c r="Z744" t="b">
        <v>0</v>
      </c>
      <c r="AA744">
        <v>364.03508771929819</v>
      </c>
      <c r="AN744" t="e">
        <f>100*(1-E744/AL744)</f>
        <v>#DIV/0!</v>
      </c>
    </row>
    <row r="745" spans="1:40" x14ac:dyDescent="0.3">
      <c r="A745" t="s">
        <v>59</v>
      </c>
      <c r="B745" t="s">
        <v>4095</v>
      </c>
      <c r="C745" t="s">
        <v>4089</v>
      </c>
      <c r="D745" s="4">
        <v>46001</v>
      </c>
      <c r="E745">
        <v>43500</v>
      </c>
      <c r="F745" t="s">
        <v>4090</v>
      </c>
      <c r="G745" t="s">
        <v>236</v>
      </c>
      <c r="H745" t="s">
        <v>102</v>
      </c>
      <c r="I745" t="s">
        <v>237</v>
      </c>
      <c r="J745" t="s">
        <v>237</v>
      </c>
      <c r="K745" t="s">
        <v>4091</v>
      </c>
      <c r="L745" t="s">
        <v>44</v>
      </c>
      <c r="M745" t="s">
        <v>4092</v>
      </c>
      <c r="N745">
        <v>52100</v>
      </c>
      <c r="O745" t="s">
        <v>45</v>
      </c>
      <c r="P745" t="s">
        <v>54</v>
      </c>
      <c r="Q745" t="s">
        <v>85</v>
      </c>
      <c r="R745">
        <v>1975</v>
      </c>
      <c r="S745">
        <v>114</v>
      </c>
      <c r="T745">
        <v>0</v>
      </c>
      <c r="U745">
        <v>0</v>
      </c>
      <c r="V745" t="s">
        <v>4093</v>
      </c>
      <c r="W745">
        <v>103019440</v>
      </c>
      <c r="X745" t="s">
        <v>49</v>
      </c>
      <c r="Y745" t="s">
        <v>4096</v>
      </c>
      <c r="Z745" t="b">
        <v>0</v>
      </c>
      <c r="AA745">
        <v>381.57894736842098</v>
      </c>
      <c r="AN745" t="e">
        <f>100*(1-E745/AL745)</f>
        <v>#DIV/0!</v>
      </c>
    </row>
    <row r="746" spans="1:40" x14ac:dyDescent="0.3">
      <c r="A746" t="s">
        <v>166</v>
      </c>
      <c r="B746" t="s">
        <v>4097</v>
      </c>
      <c r="C746" t="s">
        <v>4097</v>
      </c>
      <c r="D746" s="4">
        <v>46001</v>
      </c>
      <c r="E746">
        <v>120000</v>
      </c>
      <c r="F746" t="s">
        <v>4098</v>
      </c>
      <c r="G746" t="s">
        <v>374</v>
      </c>
      <c r="H746" t="s">
        <v>67</v>
      </c>
      <c r="I746" t="s">
        <v>375</v>
      </c>
      <c r="J746" t="s">
        <v>67</v>
      </c>
      <c r="K746" t="s">
        <v>4099</v>
      </c>
      <c r="L746" t="s">
        <v>44</v>
      </c>
      <c r="M746" t="s">
        <v>4100</v>
      </c>
      <c r="N746">
        <v>16342</v>
      </c>
      <c r="O746" t="s">
        <v>45</v>
      </c>
      <c r="P746" t="s">
        <v>54</v>
      </c>
      <c r="Q746" t="s">
        <v>100</v>
      </c>
      <c r="R746">
        <v>1975</v>
      </c>
      <c r="S746">
        <v>71</v>
      </c>
      <c r="T746" t="s">
        <v>161</v>
      </c>
      <c r="U746">
        <v>100</v>
      </c>
      <c r="V746" t="s">
        <v>4101</v>
      </c>
      <c r="W746">
        <v>54837966</v>
      </c>
      <c r="X746" t="s">
        <v>49</v>
      </c>
      <c r="Y746" t="s">
        <v>4102</v>
      </c>
      <c r="Z746" t="b">
        <v>0</v>
      </c>
      <c r="AA746">
        <v>1690.140845070423</v>
      </c>
      <c r="AN746" t="e">
        <f>100*(1-E746/AL746)</f>
        <v>#DIV/0!</v>
      </c>
    </row>
    <row r="747" spans="1:40" x14ac:dyDescent="0.3">
      <c r="A747" t="s">
        <v>71</v>
      </c>
      <c r="B747" t="s">
        <v>4103</v>
      </c>
      <c r="C747" t="s">
        <v>4103</v>
      </c>
      <c r="D747" s="4">
        <v>46001</v>
      </c>
      <c r="E747">
        <v>163000</v>
      </c>
      <c r="F747" t="s">
        <v>4104</v>
      </c>
      <c r="G747" t="s">
        <v>669</v>
      </c>
      <c r="H747" t="s">
        <v>152</v>
      </c>
      <c r="I747" t="s">
        <v>670</v>
      </c>
      <c r="J747" t="s">
        <v>221</v>
      </c>
      <c r="K747" t="s">
        <v>4105</v>
      </c>
      <c r="L747" t="s">
        <v>44</v>
      </c>
      <c r="M747" t="s">
        <v>4106</v>
      </c>
      <c r="N747">
        <v>20300</v>
      </c>
      <c r="O747" t="s">
        <v>45</v>
      </c>
      <c r="P747" t="s">
        <v>54</v>
      </c>
      <c r="Q747" t="s">
        <v>55</v>
      </c>
      <c r="R747">
        <v>1975</v>
      </c>
      <c r="S747">
        <v>131.6</v>
      </c>
      <c r="T747">
        <v>0</v>
      </c>
      <c r="U747">
        <v>0</v>
      </c>
      <c r="V747" t="s">
        <v>4107</v>
      </c>
      <c r="W747">
        <v>14691352</v>
      </c>
      <c r="X747" t="s">
        <v>49</v>
      </c>
      <c r="Y747" t="s">
        <v>4108</v>
      </c>
      <c r="Z747" t="b">
        <v>0</v>
      </c>
      <c r="AA747">
        <v>1238.6018237082069</v>
      </c>
      <c r="AN747" t="e">
        <f>100*(1-E747/AL747)</f>
        <v>#DIV/0!</v>
      </c>
    </row>
    <row r="748" spans="1:40" x14ac:dyDescent="0.3">
      <c r="A748" t="s">
        <v>71</v>
      </c>
      <c r="B748" t="s">
        <v>4109</v>
      </c>
      <c r="C748" t="s">
        <v>4109</v>
      </c>
      <c r="D748" s="4">
        <v>46001</v>
      </c>
      <c r="E748">
        <v>264600</v>
      </c>
      <c r="F748" t="s">
        <v>4110</v>
      </c>
      <c r="G748" t="s">
        <v>187</v>
      </c>
      <c r="H748" t="s">
        <v>67</v>
      </c>
      <c r="I748" t="s">
        <v>188</v>
      </c>
      <c r="J748" t="s">
        <v>67</v>
      </c>
      <c r="K748" t="s">
        <v>4111</v>
      </c>
      <c r="L748" t="s">
        <v>44</v>
      </c>
      <c r="M748" t="s">
        <v>4112</v>
      </c>
      <c r="N748">
        <v>16122</v>
      </c>
      <c r="O748" t="s">
        <v>45</v>
      </c>
      <c r="P748" t="s">
        <v>288</v>
      </c>
      <c r="Q748" t="s">
        <v>85</v>
      </c>
      <c r="R748">
        <v>1975</v>
      </c>
      <c r="S748">
        <v>213.4</v>
      </c>
      <c r="T748">
        <v>0</v>
      </c>
      <c r="U748">
        <v>0</v>
      </c>
      <c r="V748" t="s">
        <v>4113</v>
      </c>
      <c r="W748">
        <v>100001509</v>
      </c>
      <c r="X748" t="s">
        <v>86</v>
      </c>
      <c r="Y748" t="s">
        <v>4114</v>
      </c>
      <c r="Z748" t="b">
        <v>0</v>
      </c>
      <c r="AA748">
        <v>1239.925023430178</v>
      </c>
      <c r="AN748" t="e">
        <f>100*(1-E748/AL748)</f>
        <v>#DIV/0!</v>
      </c>
    </row>
    <row r="749" spans="1:40" x14ac:dyDescent="0.3">
      <c r="A749" t="s">
        <v>59</v>
      </c>
      <c r="B749" t="s">
        <v>4115</v>
      </c>
      <c r="C749" t="s">
        <v>4115</v>
      </c>
      <c r="D749" s="4">
        <v>46001</v>
      </c>
      <c r="E749">
        <v>68000</v>
      </c>
      <c r="F749" t="s">
        <v>3526</v>
      </c>
      <c r="G749" t="s">
        <v>404</v>
      </c>
      <c r="H749" t="s">
        <v>124</v>
      </c>
      <c r="I749" t="s">
        <v>405</v>
      </c>
      <c r="J749" t="s">
        <v>126</v>
      </c>
      <c r="K749" t="s">
        <v>4116</v>
      </c>
      <c r="L749" t="s">
        <v>44</v>
      </c>
      <c r="M749" t="s">
        <v>4117</v>
      </c>
      <c r="N749">
        <v>26333</v>
      </c>
      <c r="O749" t="s">
        <v>45</v>
      </c>
      <c r="P749" t="s">
        <v>81</v>
      </c>
      <c r="Q749" t="s">
        <v>52</v>
      </c>
      <c r="R749">
        <v>1975</v>
      </c>
      <c r="S749">
        <v>75.599999999999994</v>
      </c>
      <c r="T749">
        <v>0</v>
      </c>
      <c r="U749">
        <v>0</v>
      </c>
      <c r="V749" t="s">
        <v>4118</v>
      </c>
      <c r="W749">
        <v>53506922</v>
      </c>
      <c r="X749" t="s">
        <v>49</v>
      </c>
      <c r="Y749" t="s">
        <v>4119</v>
      </c>
      <c r="Z749" t="b">
        <v>0</v>
      </c>
      <c r="AA749">
        <v>899.47089947089955</v>
      </c>
      <c r="AN749" t="e">
        <f>100*(1-E749/AL749)</f>
        <v>#DIV/0!</v>
      </c>
    </row>
    <row r="750" spans="1:40" x14ac:dyDescent="0.3">
      <c r="A750" t="s">
        <v>59</v>
      </c>
      <c r="B750" t="s">
        <v>4120</v>
      </c>
      <c r="C750" t="s">
        <v>4120</v>
      </c>
      <c r="D750" s="4">
        <v>46001</v>
      </c>
      <c r="E750">
        <v>63700</v>
      </c>
      <c r="F750" t="s">
        <v>4121</v>
      </c>
      <c r="G750" t="s">
        <v>272</v>
      </c>
      <c r="H750" t="s">
        <v>102</v>
      </c>
      <c r="I750" t="s">
        <v>273</v>
      </c>
      <c r="J750" t="s">
        <v>273</v>
      </c>
      <c r="K750" t="s">
        <v>4122</v>
      </c>
      <c r="L750" t="s">
        <v>44</v>
      </c>
      <c r="M750" t="s">
        <v>4123</v>
      </c>
      <c r="N750">
        <v>51100</v>
      </c>
      <c r="O750" t="s">
        <v>45</v>
      </c>
      <c r="P750" t="s">
        <v>54</v>
      </c>
      <c r="Q750" t="s">
        <v>85</v>
      </c>
      <c r="R750">
        <v>1975</v>
      </c>
      <c r="S750">
        <v>130</v>
      </c>
      <c r="T750">
        <v>0</v>
      </c>
      <c r="U750">
        <v>0</v>
      </c>
      <c r="V750" t="s">
        <v>4124</v>
      </c>
      <c r="W750">
        <v>44083610</v>
      </c>
      <c r="X750" t="s">
        <v>49</v>
      </c>
      <c r="Y750" t="s">
        <v>4125</v>
      </c>
      <c r="Z750" t="b">
        <v>0</v>
      </c>
      <c r="AA750">
        <v>490</v>
      </c>
      <c r="AN750" t="e">
        <f>100*(1-E750/AL750)</f>
        <v>#DIV/0!</v>
      </c>
    </row>
    <row r="751" spans="1:40" x14ac:dyDescent="0.3">
      <c r="A751" t="s">
        <v>71</v>
      </c>
      <c r="B751" t="s">
        <v>4126</v>
      </c>
      <c r="C751" t="s">
        <v>4126</v>
      </c>
      <c r="D751" s="4">
        <v>46001</v>
      </c>
      <c r="E751">
        <v>29400</v>
      </c>
      <c r="F751" t="s">
        <v>4127</v>
      </c>
      <c r="G751" t="s">
        <v>404</v>
      </c>
      <c r="H751" t="s">
        <v>124</v>
      </c>
      <c r="I751" t="s">
        <v>405</v>
      </c>
      <c r="J751" t="s">
        <v>126</v>
      </c>
      <c r="K751" t="s">
        <v>4128</v>
      </c>
      <c r="L751" t="s">
        <v>44</v>
      </c>
      <c r="M751" t="s">
        <v>4129</v>
      </c>
      <c r="N751">
        <v>26332</v>
      </c>
      <c r="O751" t="s">
        <v>50</v>
      </c>
      <c r="P751" t="s">
        <v>51</v>
      </c>
      <c r="Q751" t="s">
        <v>52</v>
      </c>
      <c r="R751">
        <v>1975</v>
      </c>
      <c r="S751">
        <v>110</v>
      </c>
      <c r="T751" t="s">
        <v>161</v>
      </c>
      <c r="U751">
        <v>100</v>
      </c>
      <c r="V751" t="s">
        <v>4130</v>
      </c>
      <c r="W751">
        <v>125823915</v>
      </c>
      <c r="X751" t="s">
        <v>49</v>
      </c>
      <c r="Y751" t="s">
        <v>4131</v>
      </c>
      <c r="Z751" t="b">
        <v>0</v>
      </c>
      <c r="AA751">
        <v>267.27272727272731</v>
      </c>
      <c r="AN751" t="e">
        <f>100*(1-E751/AL751)</f>
        <v>#DIV/0!</v>
      </c>
    </row>
    <row r="752" spans="1:40" x14ac:dyDescent="0.3">
      <c r="A752" t="s">
        <v>166</v>
      </c>
      <c r="B752" t="s">
        <v>4161</v>
      </c>
      <c r="C752" t="s">
        <v>4161</v>
      </c>
      <c r="D752" s="4">
        <v>46001</v>
      </c>
      <c r="E752">
        <v>50000</v>
      </c>
      <c r="F752" t="s">
        <v>4162</v>
      </c>
      <c r="G752" t="s">
        <v>437</v>
      </c>
      <c r="H752" t="s">
        <v>67</v>
      </c>
      <c r="I752" t="s">
        <v>438</v>
      </c>
      <c r="J752" t="s">
        <v>67</v>
      </c>
      <c r="K752" t="s">
        <v>4163</v>
      </c>
      <c r="L752" t="s">
        <v>44</v>
      </c>
      <c r="M752" t="s">
        <v>4164</v>
      </c>
      <c r="N752">
        <v>15343</v>
      </c>
      <c r="O752" t="s">
        <v>45</v>
      </c>
      <c r="P752" t="s">
        <v>54</v>
      </c>
      <c r="Q752" t="s">
        <v>55</v>
      </c>
      <c r="R752">
        <v>1976</v>
      </c>
      <c r="S752">
        <v>72</v>
      </c>
      <c r="T752" t="s">
        <v>48</v>
      </c>
      <c r="U752" t="s">
        <v>2462</v>
      </c>
      <c r="V752" t="s">
        <v>4165</v>
      </c>
      <c r="W752">
        <v>29103414</v>
      </c>
      <c r="X752" t="s">
        <v>86</v>
      </c>
      <c r="Y752" t="s">
        <v>4166</v>
      </c>
      <c r="Z752" t="b">
        <v>0</v>
      </c>
      <c r="AA752">
        <v>694.44444444444446</v>
      </c>
      <c r="AN752" t="e">
        <f>100*(1-E752/AL752)</f>
        <v>#DIV/0!</v>
      </c>
    </row>
    <row r="753" spans="1:40" x14ac:dyDescent="0.3">
      <c r="A753" t="s">
        <v>215</v>
      </c>
      <c r="B753" t="s">
        <v>4226</v>
      </c>
      <c r="C753" t="s">
        <v>4226</v>
      </c>
      <c r="D753" s="4">
        <v>46001</v>
      </c>
      <c r="E753">
        <v>65000</v>
      </c>
      <c r="F753" t="s">
        <v>4227</v>
      </c>
      <c r="G753" t="s">
        <v>2459</v>
      </c>
      <c r="H753" t="s">
        <v>124</v>
      </c>
      <c r="I753" t="s">
        <v>255</v>
      </c>
      <c r="J753" t="s">
        <v>256</v>
      </c>
      <c r="K753" t="s">
        <v>4228</v>
      </c>
      <c r="L753" t="s">
        <v>44</v>
      </c>
      <c r="M753" t="s">
        <v>4229</v>
      </c>
      <c r="N753">
        <v>30027</v>
      </c>
      <c r="O753" t="s">
        <v>45</v>
      </c>
      <c r="P753" t="s">
        <v>54</v>
      </c>
      <c r="Q753" t="s">
        <v>55</v>
      </c>
      <c r="R753">
        <v>1977</v>
      </c>
      <c r="S753">
        <v>92.65</v>
      </c>
      <c r="T753">
        <v>0</v>
      </c>
      <c r="U753">
        <v>0</v>
      </c>
      <c r="V753" t="s">
        <v>4230</v>
      </c>
      <c r="W753">
        <v>66268480</v>
      </c>
      <c r="X753" t="s">
        <v>49</v>
      </c>
      <c r="Y753" t="s">
        <v>4231</v>
      </c>
      <c r="Z753" t="b">
        <v>0</v>
      </c>
      <c r="AA753">
        <v>701.56502968159737</v>
      </c>
      <c r="AN753" t="e">
        <f>100*(1-E753/AL753)</f>
        <v>#DIV/0!</v>
      </c>
    </row>
    <row r="754" spans="1:40" x14ac:dyDescent="0.3">
      <c r="A754" t="s">
        <v>166</v>
      </c>
      <c r="B754" t="s">
        <v>4232</v>
      </c>
      <c r="C754" t="s">
        <v>4232</v>
      </c>
      <c r="D754" s="4">
        <v>46001</v>
      </c>
      <c r="E754">
        <v>31000</v>
      </c>
      <c r="F754" t="s">
        <v>4233</v>
      </c>
      <c r="G754" t="s">
        <v>135</v>
      </c>
      <c r="H754" t="s">
        <v>136</v>
      </c>
      <c r="I754" t="s">
        <v>137</v>
      </c>
      <c r="J754" t="s">
        <v>138</v>
      </c>
      <c r="K754" t="s">
        <v>4234</v>
      </c>
      <c r="L754" t="s">
        <v>44</v>
      </c>
      <c r="M754" t="s">
        <v>4235</v>
      </c>
      <c r="N754">
        <v>42100</v>
      </c>
      <c r="O754" t="s">
        <v>45</v>
      </c>
      <c r="P754" t="s">
        <v>54</v>
      </c>
      <c r="Q754" t="s">
        <v>64</v>
      </c>
      <c r="R754">
        <v>1977</v>
      </c>
      <c r="S754">
        <v>60.81</v>
      </c>
      <c r="T754" t="s">
        <v>48</v>
      </c>
      <c r="U754">
        <v>50</v>
      </c>
      <c r="V754" t="s">
        <v>4236</v>
      </c>
      <c r="W754">
        <v>100262758</v>
      </c>
      <c r="X754" t="s">
        <v>49</v>
      </c>
      <c r="Y754" t="s">
        <v>4237</v>
      </c>
      <c r="Z754" t="b">
        <v>0</v>
      </c>
      <c r="AA754">
        <v>509.78457490544321</v>
      </c>
      <c r="AN754" t="e">
        <f>100*(1-E754/AL754)</f>
        <v>#DIV/0!</v>
      </c>
    </row>
    <row r="755" spans="1:40" x14ac:dyDescent="0.3">
      <c r="A755" t="s">
        <v>39</v>
      </c>
      <c r="B755" t="s">
        <v>4238</v>
      </c>
      <c r="C755" t="s">
        <v>4238</v>
      </c>
      <c r="D755" s="4">
        <v>46001</v>
      </c>
      <c r="E755">
        <v>90000</v>
      </c>
      <c r="F755" t="s">
        <v>4239</v>
      </c>
      <c r="G755" t="s">
        <v>387</v>
      </c>
      <c r="H755" t="s">
        <v>62</v>
      </c>
      <c r="I755" t="s">
        <v>388</v>
      </c>
      <c r="J755" t="s">
        <v>389</v>
      </c>
      <c r="K755" t="s">
        <v>4240</v>
      </c>
      <c r="L755" t="s">
        <v>44</v>
      </c>
      <c r="M755" t="s">
        <v>4241</v>
      </c>
      <c r="N755">
        <v>63080</v>
      </c>
      <c r="O755" t="s">
        <v>45</v>
      </c>
      <c r="P755" t="s">
        <v>288</v>
      </c>
      <c r="Q755" t="s">
        <v>55</v>
      </c>
      <c r="R755">
        <v>1977</v>
      </c>
      <c r="S755">
        <v>65.2</v>
      </c>
      <c r="T755">
        <v>0</v>
      </c>
      <c r="U755">
        <v>0</v>
      </c>
      <c r="V755" t="s">
        <v>4242</v>
      </c>
      <c r="W755">
        <v>79227529</v>
      </c>
      <c r="X755" t="s">
        <v>86</v>
      </c>
      <c r="Y755">
        <v>0</v>
      </c>
      <c r="Z755" t="b">
        <v>0</v>
      </c>
      <c r="AA755">
        <v>1380.3680981595089</v>
      </c>
      <c r="AN755" t="e">
        <f>100*(1-E755/AL755)</f>
        <v>#DIV/0!</v>
      </c>
    </row>
    <row r="756" spans="1:40" x14ac:dyDescent="0.3">
      <c r="A756" t="s">
        <v>166</v>
      </c>
      <c r="B756" t="s">
        <v>4243</v>
      </c>
      <c r="C756" t="s">
        <v>4243</v>
      </c>
      <c r="D756" s="4">
        <v>46001</v>
      </c>
      <c r="E756">
        <v>85500</v>
      </c>
      <c r="F756" t="s">
        <v>4244</v>
      </c>
      <c r="G756" t="s">
        <v>90</v>
      </c>
      <c r="H756" t="s">
        <v>67</v>
      </c>
      <c r="I756" t="s">
        <v>91</v>
      </c>
      <c r="J756" t="s">
        <v>67</v>
      </c>
      <c r="K756" t="s">
        <v>4245</v>
      </c>
      <c r="L756" t="s">
        <v>44</v>
      </c>
      <c r="M756" t="s">
        <v>4246</v>
      </c>
      <c r="N756">
        <v>17674</v>
      </c>
      <c r="O756" t="s">
        <v>45</v>
      </c>
      <c r="P756" t="s">
        <v>54</v>
      </c>
      <c r="Q756" t="s">
        <v>291</v>
      </c>
      <c r="R756">
        <v>1978</v>
      </c>
      <c r="S756">
        <v>103</v>
      </c>
      <c r="T756" t="s">
        <v>48</v>
      </c>
      <c r="U756">
        <v>50</v>
      </c>
      <c r="V756" t="s">
        <v>4247</v>
      </c>
      <c r="W756">
        <v>29418713</v>
      </c>
      <c r="X756" t="s">
        <v>86</v>
      </c>
      <c r="Y756" t="s">
        <v>4248</v>
      </c>
      <c r="Z756" t="b">
        <v>0</v>
      </c>
      <c r="AA756">
        <v>830.09708737864082</v>
      </c>
      <c r="AN756" t="e">
        <f>100*(1-E756/AL756)</f>
        <v>#DIV/0!</v>
      </c>
    </row>
    <row r="757" spans="1:40" x14ac:dyDescent="0.3">
      <c r="A757" t="s">
        <v>139</v>
      </c>
      <c r="B757" t="s">
        <v>4249</v>
      </c>
      <c r="C757" t="s">
        <v>4249</v>
      </c>
      <c r="D757" s="4">
        <v>46001</v>
      </c>
      <c r="E757">
        <v>58000</v>
      </c>
      <c r="F757" t="s">
        <v>718</v>
      </c>
      <c r="G757" t="s">
        <v>4250</v>
      </c>
      <c r="H757" t="s">
        <v>225</v>
      </c>
      <c r="I757" t="s">
        <v>226</v>
      </c>
      <c r="J757" t="s">
        <v>226</v>
      </c>
      <c r="K757" t="s">
        <v>4251</v>
      </c>
      <c r="L757" t="s">
        <v>44</v>
      </c>
      <c r="M757" t="s">
        <v>4252</v>
      </c>
      <c r="N757">
        <v>82100</v>
      </c>
      <c r="O757" t="s">
        <v>45</v>
      </c>
      <c r="P757" t="s">
        <v>54</v>
      </c>
      <c r="Q757" t="s">
        <v>52</v>
      </c>
      <c r="R757">
        <v>1978</v>
      </c>
      <c r="S757">
        <v>72</v>
      </c>
      <c r="T757">
        <v>0</v>
      </c>
      <c r="U757">
        <v>0</v>
      </c>
      <c r="V757" t="s">
        <v>4253</v>
      </c>
      <c r="W757">
        <v>47552946</v>
      </c>
      <c r="X757" t="s">
        <v>49</v>
      </c>
      <c r="Y757" t="s">
        <v>4254</v>
      </c>
      <c r="Z757" t="b">
        <v>0</v>
      </c>
      <c r="AA757">
        <v>805.55555555555554</v>
      </c>
      <c r="AN757" t="e">
        <f>100*(1-E757/AL757)</f>
        <v>#DIV/0!</v>
      </c>
    </row>
    <row r="758" spans="1:40" x14ac:dyDescent="0.3">
      <c r="A758" t="s">
        <v>59</v>
      </c>
      <c r="B758" t="s">
        <v>4255</v>
      </c>
      <c r="C758" t="s">
        <v>4255</v>
      </c>
      <c r="D758" s="4">
        <v>46001</v>
      </c>
      <c r="E758">
        <v>45725</v>
      </c>
      <c r="F758" t="s">
        <v>271</v>
      </c>
      <c r="G758" t="s">
        <v>206</v>
      </c>
      <c r="H758" t="s">
        <v>67</v>
      </c>
      <c r="I758" t="s">
        <v>207</v>
      </c>
      <c r="J758" t="s">
        <v>67</v>
      </c>
      <c r="K758" t="s">
        <v>4256</v>
      </c>
      <c r="L758" t="s">
        <v>44</v>
      </c>
      <c r="M758" t="s">
        <v>4257</v>
      </c>
      <c r="N758">
        <v>18755</v>
      </c>
      <c r="O758" t="s">
        <v>45</v>
      </c>
      <c r="P758" t="s">
        <v>54</v>
      </c>
      <c r="Q758" t="s">
        <v>64</v>
      </c>
      <c r="R758">
        <v>1978</v>
      </c>
      <c r="S758">
        <v>40.06</v>
      </c>
      <c r="T758">
        <v>0</v>
      </c>
      <c r="U758">
        <v>0</v>
      </c>
      <c r="V758" t="s">
        <v>4258</v>
      </c>
      <c r="W758">
        <v>68962790</v>
      </c>
      <c r="X758" t="s">
        <v>49</v>
      </c>
      <c r="Y758" t="s">
        <v>4259</v>
      </c>
      <c r="Z758" t="b">
        <v>0</v>
      </c>
      <c r="AA758">
        <v>1141.412880678982</v>
      </c>
      <c r="AN758" t="e">
        <f>100*(1-E758/AL758)</f>
        <v>#DIV/0!</v>
      </c>
    </row>
    <row r="759" spans="1:40" x14ac:dyDescent="0.3">
      <c r="A759" t="s">
        <v>166</v>
      </c>
      <c r="B759" t="s">
        <v>4303</v>
      </c>
      <c r="C759" t="s">
        <v>4303</v>
      </c>
      <c r="D759" s="4">
        <v>46001</v>
      </c>
      <c r="E759">
        <v>60000</v>
      </c>
      <c r="F759" t="s">
        <v>4304</v>
      </c>
      <c r="G759" t="s">
        <v>374</v>
      </c>
      <c r="H759" t="s">
        <v>67</v>
      </c>
      <c r="I759" t="s">
        <v>375</v>
      </c>
      <c r="J759" t="s">
        <v>67</v>
      </c>
      <c r="K759" t="s">
        <v>4305</v>
      </c>
      <c r="L759" t="s">
        <v>44</v>
      </c>
      <c r="M759" t="s">
        <v>4306</v>
      </c>
      <c r="N759">
        <v>16346</v>
      </c>
      <c r="O759" t="s">
        <v>50</v>
      </c>
      <c r="P759" t="s">
        <v>46</v>
      </c>
      <c r="Q759">
        <v>0</v>
      </c>
      <c r="R759">
        <v>1979</v>
      </c>
      <c r="S759">
        <v>96.01</v>
      </c>
      <c r="T759">
        <v>0</v>
      </c>
      <c r="U759">
        <v>0</v>
      </c>
      <c r="V759" t="s">
        <v>4307</v>
      </c>
      <c r="W759">
        <v>91172756</v>
      </c>
      <c r="X759" t="s">
        <v>49</v>
      </c>
      <c r="Y759" t="s">
        <v>4308</v>
      </c>
      <c r="Z759" t="b">
        <v>0</v>
      </c>
      <c r="AA759">
        <v>624.934902614311</v>
      </c>
      <c r="AN759" t="e">
        <f>100*(1-E759/AL759)</f>
        <v>#DIV/0!</v>
      </c>
    </row>
    <row r="760" spans="1:40" x14ac:dyDescent="0.3">
      <c r="A760" t="s">
        <v>39</v>
      </c>
      <c r="B760" t="s">
        <v>4309</v>
      </c>
      <c r="C760" t="s">
        <v>4309</v>
      </c>
      <c r="D760" s="4">
        <v>46001</v>
      </c>
      <c r="E760">
        <v>39000</v>
      </c>
      <c r="F760" t="s">
        <v>4310</v>
      </c>
      <c r="G760" t="s">
        <v>274</v>
      </c>
      <c r="H760" t="s">
        <v>67</v>
      </c>
      <c r="I760" t="s">
        <v>275</v>
      </c>
      <c r="J760" t="s">
        <v>67</v>
      </c>
      <c r="K760" t="s">
        <v>4311</v>
      </c>
      <c r="L760" t="s">
        <v>44</v>
      </c>
      <c r="M760" t="s">
        <v>4312</v>
      </c>
      <c r="N760">
        <v>13341</v>
      </c>
      <c r="O760" t="s">
        <v>50</v>
      </c>
      <c r="P760" t="s">
        <v>51</v>
      </c>
      <c r="Q760" t="s">
        <v>52</v>
      </c>
      <c r="R760">
        <v>1979</v>
      </c>
      <c r="S760">
        <v>39.950000000000003</v>
      </c>
      <c r="T760">
        <v>0</v>
      </c>
      <c r="U760">
        <v>0</v>
      </c>
      <c r="V760" t="s">
        <v>4313</v>
      </c>
      <c r="W760">
        <v>132020961</v>
      </c>
      <c r="X760" t="s">
        <v>86</v>
      </c>
      <c r="Y760" t="s">
        <v>4314</v>
      </c>
      <c r="Z760" t="b">
        <v>0</v>
      </c>
      <c r="AA760">
        <v>976.22027534418021</v>
      </c>
      <c r="AN760" t="e">
        <f>100*(1-E760/AL760)</f>
        <v>#DIV/0!</v>
      </c>
    </row>
    <row r="761" spans="1:40" x14ac:dyDescent="0.3">
      <c r="A761" t="s">
        <v>39</v>
      </c>
      <c r="B761" t="s">
        <v>4309</v>
      </c>
      <c r="C761" t="s">
        <v>4309</v>
      </c>
      <c r="D761" s="4">
        <v>46001</v>
      </c>
      <c r="E761">
        <v>39000</v>
      </c>
      <c r="F761" t="s">
        <v>4310</v>
      </c>
      <c r="G761" t="s">
        <v>274</v>
      </c>
      <c r="H761" t="s">
        <v>67</v>
      </c>
      <c r="I761" t="s">
        <v>275</v>
      </c>
      <c r="J761" t="s">
        <v>67</v>
      </c>
      <c r="K761" t="s">
        <v>4311</v>
      </c>
      <c r="L761" t="s">
        <v>44</v>
      </c>
      <c r="M761" t="s">
        <v>4312</v>
      </c>
      <c r="N761">
        <v>13341</v>
      </c>
      <c r="O761" t="s">
        <v>50</v>
      </c>
      <c r="P761" t="s">
        <v>51</v>
      </c>
      <c r="Q761" t="s">
        <v>52</v>
      </c>
      <c r="R761">
        <v>1979</v>
      </c>
      <c r="S761">
        <v>39.950000000000003</v>
      </c>
      <c r="T761">
        <v>0</v>
      </c>
      <c r="U761">
        <v>0</v>
      </c>
      <c r="V761" t="s">
        <v>4313</v>
      </c>
      <c r="W761">
        <v>132020961</v>
      </c>
      <c r="X761" t="s">
        <v>86</v>
      </c>
      <c r="Y761" t="s">
        <v>4314</v>
      </c>
      <c r="Z761" t="b">
        <v>0</v>
      </c>
      <c r="AA761">
        <v>976.22027534418021</v>
      </c>
      <c r="AN761" t="e">
        <f>100*(1-E761/AL761)</f>
        <v>#DIV/0!</v>
      </c>
    </row>
    <row r="762" spans="1:40" x14ac:dyDescent="0.3">
      <c r="A762" t="s">
        <v>278</v>
      </c>
      <c r="B762" t="s">
        <v>4315</v>
      </c>
      <c r="C762" t="s">
        <v>4315</v>
      </c>
      <c r="D762" s="4">
        <v>46001</v>
      </c>
      <c r="E762">
        <v>94000</v>
      </c>
      <c r="F762" t="s">
        <v>4316</v>
      </c>
      <c r="G762" t="s">
        <v>259</v>
      </c>
      <c r="H762" t="s">
        <v>230</v>
      </c>
      <c r="I762" t="s">
        <v>260</v>
      </c>
      <c r="J762" t="s">
        <v>260</v>
      </c>
      <c r="K762" t="s">
        <v>4317</v>
      </c>
      <c r="L762" t="s">
        <v>44</v>
      </c>
      <c r="M762" t="s">
        <v>4318</v>
      </c>
      <c r="N762">
        <v>66100</v>
      </c>
      <c r="O762" t="s">
        <v>50</v>
      </c>
      <c r="P762" t="s">
        <v>186</v>
      </c>
      <c r="Q762">
        <v>0</v>
      </c>
      <c r="R762">
        <v>1979</v>
      </c>
      <c r="S762">
        <v>377.2</v>
      </c>
      <c r="T762">
        <v>0</v>
      </c>
      <c r="U762">
        <v>0</v>
      </c>
      <c r="V762" t="s">
        <v>4319</v>
      </c>
      <c r="W762">
        <v>45878674</v>
      </c>
      <c r="X762" t="s">
        <v>49</v>
      </c>
      <c r="Y762" t="s">
        <v>4320</v>
      </c>
      <c r="Z762" t="b">
        <v>0</v>
      </c>
      <c r="AA762">
        <v>249.20466595970311</v>
      </c>
      <c r="AN762" t="e">
        <f>100*(1-E762/AL762)</f>
        <v>#DIV/0!</v>
      </c>
    </row>
    <row r="763" spans="1:40" x14ac:dyDescent="0.3">
      <c r="A763" t="s">
        <v>215</v>
      </c>
      <c r="B763" t="s">
        <v>4383</v>
      </c>
      <c r="C763" t="s">
        <v>4384</v>
      </c>
      <c r="D763" s="4">
        <v>46001</v>
      </c>
      <c r="E763">
        <v>159000</v>
      </c>
      <c r="F763" t="s">
        <v>4385</v>
      </c>
      <c r="G763" t="s">
        <v>420</v>
      </c>
      <c r="H763" t="s">
        <v>67</v>
      </c>
      <c r="I763" t="s">
        <v>305</v>
      </c>
      <c r="J763" t="s">
        <v>67</v>
      </c>
      <c r="K763" t="s">
        <v>4386</v>
      </c>
      <c r="L763" t="s">
        <v>44</v>
      </c>
      <c r="M763" t="s">
        <v>4387</v>
      </c>
      <c r="N763">
        <v>15344</v>
      </c>
      <c r="O763" t="s">
        <v>50</v>
      </c>
      <c r="P763" t="s">
        <v>51</v>
      </c>
      <c r="Q763" t="s">
        <v>52</v>
      </c>
      <c r="R763">
        <v>1980</v>
      </c>
      <c r="S763">
        <v>129.44999999999999</v>
      </c>
      <c r="T763">
        <v>0</v>
      </c>
      <c r="U763">
        <v>0</v>
      </c>
      <c r="V763" t="s">
        <v>4388</v>
      </c>
      <c r="W763">
        <v>39160545</v>
      </c>
      <c r="X763" t="s">
        <v>49</v>
      </c>
      <c r="Y763" t="s">
        <v>4389</v>
      </c>
      <c r="Z763" t="b">
        <v>0</v>
      </c>
      <c r="AA763">
        <v>1228.2734646581689</v>
      </c>
      <c r="AN763" t="e">
        <f>100*(1-E763/AL763)</f>
        <v>#DIV/0!</v>
      </c>
    </row>
    <row r="764" spans="1:40" x14ac:dyDescent="0.3">
      <c r="A764" t="s">
        <v>166</v>
      </c>
      <c r="B764" t="s">
        <v>4390</v>
      </c>
      <c r="C764" t="s">
        <v>4390</v>
      </c>
      <c r="D764" s="4">
        <v>46001</v>
      </c>
      <c r="E764">
        <v>43000</v>
      </c>
      <c r="F764" t="s">
        <v>2358</v>
      </c>
      <c r="G764" t="s">
        <v>4035</v>
      </c>
      <c r="H764" t="s">
        <v>152</v>
      </c>
      <c r="I764" t="s">
        <v>670</v>
      </c>
      <c r="J764" t="s">
        <v>221</v>
      </c>
      <c r="K764" t="s">
        <v>4391</v>
      </c>
      <c r="L764" t="s">
        <v>44</v>
      </c>
      <c r="M764" t="s">
        <v>4392</v>
      </c>
      <c r="N764">
        <v>20003</v>
      </c>
      <c r="O764" t="s">
        <v>45</v>
      </c>
      <c r="P764" t="s">
        <v>81</v>
      </c>
      <c r="Q764" t="s">
        <v>52</v>
      </c>
      <c r="R764">
        <v>1980</v>
      </c>
      <c r="S764">
        <v>80</v>
      </c>
      <c r="T764">
        <v>0</v>
      </c>
      <c r="U764">
        <v>0</v>
      </c>
      <c r="V764" t="s">
        <v>4393</v>
      </c>
      <c r="W764">
        <v>54920276</v>
      </c>
      <c r="X764" t="s">
        <v>49</v>
      </c>
      <c r="Y764" t="s">
        <v>4394</v>
      </c>
      <c r="Z764" t="b">
        <v>0</v>
      </c>
      <c r="AA764">
        <v>537.5</v>
      </c>
      <c r="AN764" t="e">
        <f>100*(1-E764/AL764)</f>
        <v>#DIV/0!</v>
      </c>
    </row>
    <row r="765" spans="1:40" x14ac:dyDescent="0.3">
      <c r="A765" t="s">
        <v>166</v>
      </c>
      <c r="B765" t="s">
        <v>4395</v>
      </c>
      <c r="C765" t="s">
        <v>4395</v>
      </c>
      <c r="D765" s="4">
        <v>46001</v>
      </c>
      <c r="E765">
        <v>42300</v>
      </c>
      <c r="F765" t="s">
        <v>4396</v>
      </c>
      <c r="G765" t="s">
        <v>384</v>
      </c>
      <c r="H765" t="s">
        <v>67</v>
      </c>
      <c r="I765" t="s">
        <v>384</v>
      </c>
      <c r="J765" t="s">
        <v>67</v>
      </c>
      <c r="K765" t="s">
        <v>4397</v>
      </c>
      <c r="L765" t="s">
        <v>44</v>
      </c>
      <c r="M765" t="s">
        <v>4398</v>
      </c>
      <c r="N765">
        <v>12242</v>
      </c>
      <c r="O765" t="s">
        <v>45</v>
      </c>
      <c r="P765" t="s">
        <v>54</v>
      </c>
      <c r="Q765" t="s">
        <v>52</v>
      </c>
      <c r="R765">
        <v>1980</v>
      </c>
      <c r="S765">
        <v>68</v>
      </c>
      <c r="T765" t="s">
        <v>48</v>
      </c>
      <c r="U765">
        <v>50</v>
      </c>
      <c r="V765" t="s">
        <v>4399</v>
      </c>
      <c r="W765">
        <v>68568287</v>
      </c>
      <c r="X765" t="s">
        <v>49</v>
      </c>
      <c r="Y765" t="s">
        <v>4400</v>
      </c>
      <c r="Z765" t="b">
        <v>0</v>
      </c>
      <c r="AA765">
        <v>622.05882352941171</v>
      </c>
      <c r="AN765" t="e">
        <f>100*(1-E765/AL765)</f>
        <v>#DIV/0!</v>
      </c>
    </row>
    <row r="766" spans="1:40" x14ac:dyDescent="0.3">
      <c r="A766" t="s">
        <v>71</v>
      </c>
      <c r="B766" t="s">
        <v>4401</v>
      </c>
      <c r="C766" t="s">
        <v>4401</v>
      </c>
      <c r="D766" s="4">
        <v>46001</v>
      </c>
      <c r="E766">
        <v>68000</v>
      </c>
      <c r="F766" t="s">
        <v>314</v>
      </c>
      <c r="G766" t="s">
        <v>350</v>
      </c>
      <c r="H766" t="s">
        <v>67</v>
      </c>
      <c r="I766" t="s">
        <v>351</v>
      </c>
      <c r="J766" t="s">
        <v>67</v>
      </c>
      <c r="K766" t="s">
        <v>4402</v>
      </c>
      <c r="L766" t="s">
        <v>44</v>
      </c>
      <c r="M766" t="s">
        <v>4403</v>
      </c>
      <c r="N766">
        <v>13561</v>
      </c>
      <c r="O766" t="s">
        <v>45</v>
      </c>
      <c r="P766" t="s">
        <v>54</v>
      </c>
      <c r="Q766" t="s">
        <v>55</v>
      </c>
      <c r="R766">
        <v>1980</v>
      </c>
      <c r="S766">
        <v>52.1</v>
      </c>
      <c r="T766">
        <v>0</v>
      </c>
      <c r="U766">
        <v>0</v>
      </c>
      <c r="V766" t="s">
        <v>4404</v>
      </c>
      <c r="W766">
        <v>47588887</v>
      </c>
      <c r="X766" t="s">
        <v>86</v>
      </c>
      <c r="Y766" t="s">
        <v>4405</v>
      </c>
      <c r="Z766" t="b">
        <v>0</v>
      </c>
      <c r="AA766">
        <v>1305.182341650672</v>
      </c>
      <c r="AN766" t="e">
        <f>100*(1-E766/AL766)</f>
        <v>#DIV/0!</v>
      </c>
    </row>
    <row r="767" spans="1:40" x14ac:dyDescent="0.3">
      <c r="A767" t="s">
        <v>166</v>
      </c>
      <c r="B767" t="s">
        <v>4406</v>
      </c>
      <c r="C767" t="s">
        <v>4406</v>
      </c>
      <c r="D767" s="4">
        <v>46001</v>
      </c>
      <c r="E767">
        <v>22000</v>
      </c>
      <c r="F767" t="s">
        <v>4407</v>
      </c>
      <c r="G767" t="s">
        <v>106</v>
      </c>
      <c r="H767" t="s">
        <v>62</v>
      </c>
      <c r="I767" t="s">
        <v>107</v>
      </c>
      <c r="J767" t="s">
        <v>108</v>
      </c>
      <c r="K767" t="s">
        <v>4408</v>
      </c>
      <c r="L767" t="s">
        <v>44</v>
      </c>
      <c r="M767" t="s">
        <v>4409</v>
      </c>
      <c r="N767">
        <v>59132</v>
      </c>
      <c r="O767" t="s">
        <v>45</v>
      </c>
      <c r="P767" t="s">
        <v>54</v>
      </c>
      <c r="Q767" t="s">
        <v>55</v>
      </c>
      <c r="R767">
        <v>1980</v>
      </c>
      <c r="S767">
        <v>56.75</v>
      </c>
      <c r="T767">
        <v>0</v>
      </c>
      <c r="U767">
        <v>0</v>
      </c>
      <c r="V767" t="s">
        <v>4410</v>
      </c>
      <c r="W767">
        <v>43064290</v>
      </c>
      <c r="X767" t="s">
        <v>86</v>
      </c>
      <c r="Y767" t="s">
        <v>4411</v>
      </c>
      <c r="Z767" t="b">
        <v>0</v>
      </c>
      <c r="AA767">
        <v>387.66519823788548</v>
      </c>
      <c r="AN767" t="e">
        <f>100*(1-E767/AL767)</f>
        <v>#DIV/0!</v>
      </c>
    </row>
    <row r="768" spans="1:40" x14ac:dyDescent="0.3">
      <c r="A768" t="s">
        <v>71</v>
      </c>
      <c r="B768" t="s">
        <v>4412</v>
      </c>
      <c r="C768" t="s">
        <v>4412</v>
      </c>
      <c r="D768" s="4">
        <v>46001</v>
      </c>
      <c r="E768">
        <v>124000</v>
      </c>
      <c r="F768" t="s">
        <v>4413</v>
      </c>
      <c r="G768" t="s">
        <v>350</v>
      </c>
      <c r="H768" t="s">
        <v>67</v>
      </c>
      <c r="I768" t="s">
        <v>351</v>
      </c>
      <c r="J768" t="s">
        <v>67</v>
      </c>
      <c r="K768" t="s">
        <v>4414</v>
      </c>
      <c r="L768" t="s">
        <v>44</v>
      </c>
      <c r="M768" t="s">
        <v>4415</v>
      </c>
      <c r="N768">
        <v>13561</v>
      </c>
      <c r="O768" t="s">
        <v>50</v>
      </c>
      <c r="P768" t="s">
        <v>51</v>
      </c>
      <c r="Q768" t="s">
        <v>52</v>
      </c>
      <c r="R768">
        <v>1980</v>
      </c>
      <c r="S768">
        <v>152.38</v>
      </c>
      <c r="T768">
        <v>0</v>
      </c>
      <c r="U768">
        <v>0</v>
      </c>
      <c r="V768" t="s">
        <v>4416</v>
      </c>
      <c r="W768">
        <v>55133082</v>
      </c>
      <c r="X768" t="s">
        <v>86</v>
      </c>
      <c r="Y768" t="s">
        <v>4417</v>
      </c>
      <c r="Z768" t="b">
        <v>0</v>
      </c>
      <c r="AA768">
        <v>813.75508596928728</v>
      </c>
      <c r="AN768" t="e">
        <f>100*(1-E768/AL768)</f>
        <v>#DIV/0!</v>
      </c>
    </row>
    <row r="769" spans="1:40" x14ac:dyDescent="0.3">
      <c r="A769" t="s">
        <v>71</v>
      </c>
      <c r="B769" t="s">
        <v>4418</v>
      </c>
      <c r="C769" t="s">
        <v>4418</v>
      </c>
      <c r="D769" s="4">
        <v>46001</v>
      </c>
      <c r="E769">
        <v>111000</v>
      </c>
      <c r="F769" t="s">
        <v>4419</v>
      </c>
      <c r="G769" t="s">
        <v>257</v>
      </c>
      <c r="H769" t="s">
        <v>94</v>
      </c>
      <c r="I769" t="s">
        <v>258</v>
      </c>
      <c r="J769" t="s">
        <v>96</v>
      </c>
      <c r="K769" t="s">
        <v>4420</v>
      </c>
      <c r="L769" t="s">
        <v>44</v>
      </c>
      <c r="M769" t="s">
        <v>4421</v>
      </c>
      <c r="N769">
        <v>70010</v>
      </c>
      <c r="O769" t="s">
        <v>45</v>
      </c>
      <c r="P769" t="s">
        <v>182</v>
      </c>
      <c r="Q769" t="s">
        <v>55</v>
      </c>
      <c r="R769">
        <v>1980</v>
      </c>
      <c r="S769">
        <v>130</v>
      </c>
      <c r="T769">
        <v>0</v>
      </c>
      <c r="U769">
        <v>0</v>
      </c>
      <c r="V769" t="s">
        <v>4422</v>
      </c>
      <c r="W769">
        <v>55643205</v>
      </c>
      <c r="X769" t="s">
        <v>86</v>
      </c>
      <c r="Y769" t="s">
        <v>4423</v>
      </c>
      <c r="Z769" t="b">
        <v>0</v>
      </c>
      <c r="AA769">
        <v>853.84615384615381</v>
      </c>
      <c r="AN769" t="e">
        <f>100*(1-E769/AL769)</f>
        <v>#DIV/0!</v>
      </c>
    </row>
    <row r="770" spans="1:40" x14ac:dyDescent="0.3">
      <c r="A770" t="s">
        <v>59</v>
      </c>
      <c r="B770" t="s">
        <v>4424</v>
      </c>
      <c r="C770" t="s">
        <v>4425</v>
      </c>
      <c r="D770" s="4">
        <v>46001</v>
      </c>
      <c r="E770">
        <v>77000</v>
      </c>
      <c r="F770" t="s">
        <v>99</v>
      </c>
      <c r="G770" t="s">
        <v>381</v>
      </c>
      <c r="H770" t="s">
        <v>124</v>
      </c>
      <c r="I770" t="s">
        <v>334</v>
      </c>
      <c r="J770" t="s">
        <v>126</v>
      </c>
      <c r="K770" t="s">
        <v>4426</v>
      </c>
      <c r="L770" t="s">
        <v>44</v>
      </c>
      <c r="M770" t="s">
        <v>4427</v>
      </c>
      <c r="N770">
        <v>25100</v>
      </c>
      <c r="O770" t="s">
        <v>45</v>
      </c>
      <c r="P770" t="s">
        <v>54</v>
      </c>
      <c r="Q770" t="s">
        <v>100</v>
      </c>
      <c r="R770">
        <v>1980</v>
      </c>
      <c r="S770">
        <v>68.069999999999993</v>
      </c>
      <c r="T770">
        <v>0</v>
      </c>
      <c r="U770">
        <v>0</v>
      </c>
      <c r="V770" t="s">
        <v>4428</v>
      </c>
      <c r="W770" t="s">
        <v>4429</v>
      </c>
      <c r="X770" t="s">
        <v>49</v>
      </c>
      <c r="Y770" t="s">
        <v>4430</v>
      </c>
      <c r="Z770" t="b">
        <v>0</v>
      </c>
      <c r="AA770">
        <v>1131.1884824445419</v>
      </c>
      <c r="AN770" t="e">
        <f>100*(1-E770/AL770)</f>
        <v>#DIV/0!</v>
      </c>
    </row>
    <row r="771" spans="1:40" x14ac:dyDescent="0.3">
      <c r="A771" t="s">
        <v>71</v>
      </c>
      <c r="B771" t="s">
        <v>4431</v>
      </c>
      <c r="C771" t="s">
        <v>4431</v>
      </c>
      <c r="D771" s="4">
        <v>46001</v>
      </c>
      <c r="E771">
        <v>32900</v>
      </c>
      <c r="F771" t="s">
        <v>4432</v>
      </c>
      <c r="G771" t="s">
        <v>2814</v>
      </c>
      <c r="H771" t="s">
        <v>230</v>
      </c>
      <c r="I771" t="s">
        <v>2815</v>
      </c>
      <c r="J771" t="s">
        <v>631</v>
      </c>
      <c r="K771" t="s">
        <v>4433</v>
      </c>
      <c r="L771" t="s">
        <v>44</v>
      </c>
      <c r="M771" t="s">
        <v>4434</v>
      </c>
      <c r="N771">
        <v>69100</v>
      </c>
      <c r="O771" t="s">
        <v>45</v>
      </c>
      <c r="P771" t="s">
        <v>81</v>
      </c>
      <c r="Q771" t="s">
        <v>52</v>
      </c>
      <c r="R771">
        <v>1980</v>
      </c>
      <c r="S771">
        <v>85.1</v>
      </c>
      <c r="T771">
        <v>0</v>
      </c>
      <c r="U771">
        <v>0</v>
      </c>
      <c r="V771" t="s">
        <v>4435</v>
      </c>
      <c r="W771">
        <v>33329749</v>
      </c>
      <c r="X771" t="s">
        <v>49</v>
      </c>
      <c r="Y771" t="s">
        <v>4436</v>
      </c>
      <c r="Z771" t="b">
        <v>0</v>
      </c>
      <c r="AA771">
        <v>386.60399529964752</v>
      </c>
      <c r="AN771" t="e">
        <f>100*(1-E771/AL771)</f>
        <v>#DIV/0!</v>
      </c>
    </row>
    <row r="772" spans="1:40" x14ac:dyDescent="0.3">
      <c r="A772" t="s">
        <v>39</v>
      </c>
      <c r="B772" t="s">
        <v>4437</v>
      </c>
      <c r="C772" t="s">
        <v>4437</v>
      </c>
      <c r="D772" s="4">
        <v>46001</v>
      </c>
      <c r="E772">
        <v>64460</v>
      </c>
      <c r="F772" t="s">
        <v>4438</v>
      </c>
      <c r="G772" t="s">
        <v>2705</v>
      </c>
      <c r="H772" t="s">
        <v>152</v>
      </c>
      <c r="I772" t="s">
        <v>2706</v>
      </c>
      <c r="J772" t="s">
        <v>610</v>
      </c>
      <c r="K772" t="s">
        <v>4439</v>
      </c>
      <c r="L772" t="s">
        <v>44</v>
      </c>
      <c r="M772" t="s">
        <v>4440</v>
      </c>
      <c r="N772">
        <v>22027</v>
      </c>
      <c r="O772" t="s">
        <v>45</v>
      </c>
      <c r="P772" t="s">
        <v>81</v>
      </c>
      <c r="Q772" t="s">
        <v>52</v>
      </c>
      <c r="R772">
        <v>1980</v>
      </c>
      <c r="S772">
        <v>102</v>
      </c>
      <c r="T772">
        <v>0</v>
      </c>
      <c r="U772">
        <v>0</v>
      </c>
      <c r="V772" t="s">
        <v>4441</v>
      </c>
      <c r="W772">
        <v>43362190</v>
      </c>
      <c r="X772" t="s">
        <v>49</v>
      </c>
      <c r="Y772" t="s">
        <v>4442</v>
      </c>
      <c r="Z772" t="b">
        <v>0</v>
      </c>
      <c r="AA772">
        <v>631.96078431372553</v>
      </c>
      <c r="AN772" t="e">
        <f>100*(1-E772/AL772)</f>
        <v>#DIV/0!</v>
      </c>
    </row>
    <row r="773" spans="1:40" x14ac:dyDescent="0.3">
      <c r="A773" t="s">
        <v>59</v>
      </c>
      <c r="B773" t="s">
        <v>4576</v>
      </c>
      <c r="C773" t="s">
        <v>4576</v>
      </c>
      <c r="D773" s="4">
        <v>46001</v>
      </c>
      <c r="E773">
        <v>144469</v>
      </c>
      <c r="F773" t="s">
        <v>4577</v>
      </c>
      <c r="G773" t="s">
        <v>479</v>
      </c>
      <c r="H773" t="s">
        <v>124</v>
      </c>
      <c r="I773" t="s">
        <v>480</v>
      </c>
      <c r="J773" t="s">
        <v>325</v>
      </c>
      <c r="K773" t="s">
        <v>4578</v>
      </c>
      <c r="L773" t="s">
        <v>44</v>
      </c>
      <c r="M773" t="s">
        <v>4579</v>
      </c>
      <c r="N773">
        <v>27067</v>
      </c>
      <c r="O773" t="s">
        <v>45</v>
      </c>
      <c r="P773" t="s">
        <v>81</v>
      </c>
      <c r="Q773" t="s">
        <v>52</v>
      </c>
      <c r="R773">
        <v>1981</v>
      </c>
      <c r="S773">
        <v>85.5</v>
      </c>
      <c r="T773">
        <v>0</v>
      </c>
      <c r="U773">
        <v>0</v>
      </c>
      <c r="V773" t="s">
        <v>4580</v>
      </c>
      <c r="W773">
        <v>59671127</v>
      </c>
      <c r="X773" t="s">
        <v>86</v>
      </c>
      <c r="Y773" t="s">
        <v>4581</v>
      </c>
      <c r="Z773" t="b">
        <v>0</v>
      </c>
      <c r="AA773">
        <v>1689.6959064327491</v>
      </c>
      <c r="AN773" t="e">
        <f>100*(1-E773/AL773)</f>
        <v>#DIV/0!</v>
      </c>
    </row>
    <row r="774" spans="1:40" x14ac:dyDescent="0.3">
      <c r="A774" t="s">
        <v>71</v>
      </c>
      <c r="B774" t="s">
        <v>4616</v>
      </c>
      <c r="C774" t="s">
        <v>4616</v>
      </c>
      <c r="D774" s="4">
        <v>46001</v>
      </c>
      <c r="E774">
        <v>14500</v>
      </c>
      <c r="F774" t="s">
        <v>2950</v>
      </c>
      <c r="G774" t="s">
        <v>816</v>
      </c>
      <c r="H774" t="s">
        <v>41</v>
      </c>
      <c r="I774" t="s">
        <v>201</v>
      </c>
      <c r="J774" t="s">
        <v>199</v>
      </c>
      <c r="K774" t="s">
        <v>2951</v>
      </c>
      <c r="L774" t="s">
        <v>44</v>
      </c>
      <c r="M774" t="s">
        <v>4617</v>
      </c>
      <c r="N774">
        <v>47100</v>
      </c>
      <c r="O774" t="s">
        <v>45</v>
      </c>
      <c r="P774" t="s">
        <v>54</v>
      </c>
      <c r="Q774" t="s">
        <v>55</v>
      </c>
      <c r="R774">
        <v>1982</v>
      </c>
      <c r="S774">
        <v>58</v>
      </c>
      <c r="T774">
        <v>0</v>
      </c>
      <c r="U774">
        <v>0</v>
      </c>
      <c r="V774" t="s">
        <v>4618</v>
      </c>
      <c r="W774">
        <v>36028909</v>
      </c>
      <c r="X774" t="s">
        <v>49</v>
      </c>
      <c r="Y774" t="s">
        <v>4619</v>
      </c>
      <c r="Z774" t="b">
        <v>0</v>
      </c>
      <c r="AA774">
        <v>250</v>
      </c>
      <c r="AN774" t="e">
        <f>100*(1-E774/AL774)</f>
        <v>#DIV/0!</v>
      </c>
    </row>
    <row r="775" spans="1:40" x14ac:dyDescent="0.3">
      <c r="A775" t="s">
        <v>71</v>
      </c>
      <c r="B775" t="s">
        <v>4620</v>
      </c>
      <c r="C775" t="s">
        <v>4620</v>
      </c>
      <c r="D775" s="4">
        <v>46001</v>
      </c>
      <c r="E775">
        <v>153690</v>
      </c>
      <c r="F775" t="s">
        <v>4621</v>
      </c>
      <c r="G775" t="s">
        <v>684</v>
      </c>
      <c r="H775" t="s">
        <v>136</v>
      </c>
      <c r="I775" t="s">
        <v>451</v>
      </c>
      <c r="J775" t="s">
        <v>452</v>
      </c>
      <c r="K775" t="s">
        <v>4622</v>
      </c>
      <c r="L775" t="s">
        <v>44</v>
      </c>
      <c r="M775" t="s">
        <v>4623</v>
      </c>
      <c r="N775">
        <v>38445</v>
      </c>
      <c r="O775" t="s">
        <v>50</v>
      </c>
      <c r="P775" t="s">
        <v>186</v>
      </c>
      <c r="Q775">
        <v>0</v>
      </c>
      <c r="R775">
        <v>1982</v>
      </c>
      <c r="S775">
        <v>654</v>
      </c>
      <c r="T775">
        <v>0</v>
      </c>
      <c r="U775">
        <v>0</v>
      </c>
      <c r="V775" t="s">
        <v>4624</v>
      </c>
      <c r="W775">
        <v>15033120</v>
      </c>
      <c r="X775" t="s">
        <v>49</v>
      </c>
      <c r="Y775" t="s">
        <v>4625</v>
      </c>
      <c r="Z775" t="b">
        <v>0</v>
      </c>
      <c r="AA775">
        <v>235</v>
      </c>
      <c r="AN775" t="e">
        <f>100*(1-E775/AL775)</f>
        <v>#DIV/0!</v>
      </c>
    </row>
    <row r="776" spans="1:40" x14ac:dyDescent="0.3">
      <c r="A776" t="s">
        <v>71</v>
      </c>
      <c r="B776" t="s">
        <v>4689</v>
      </c>
      <c r="C776" t="s">
        <v>4689</v>
      </c>
      <c r="D776" s="4">
        <v>46001</v>
      </c>
      <c r="E776">
        <v>78119</v>
      </c>
      <c r="F776" t="s">
        <v>4690</v>
      </c>
      <c r="G776" t="s">
        <v>421</v>
      </c>
      <c r="H776" t="s">
        <v>62</v>
      </c>
      <c r="I776" t="s">
        <v>422</v>
      </c>
      <c r="J776" t="s">
        <v>108</v>
      </c>
      <c r="K776" t="s">
        <v>4691</v>
      </c>
      <c r="L776" t="s">
        <v>44</v>
      </c>
      <c r="M776" t="s">
        <v>4692</v>
      </c>
      <c r="N776">
        <v>59035</v>
      </c>
      <c r="O776" t="s">
        <v>45</v>
      </c>
      <c r="P776" t="s">
        <v>81</v>
      </c>
      <c r="Q776" t="s">
        <v>52</v>
      </c>
      <c r="R776">
        <v>1983</v>
      </c>
      <c r="S776">
        <v>127.13</v>
      </c>
      <c r="T776">
        <v>0</v>
      </c>
      <c r="U776">
        <v>0</v>
      </c>
      <c r="V776" t="s">
        <v>4693</v>
      </c>
      <c r="W776">
        <v>117205953</v>
      </c>
      <c r="X776" t="s">
        <v>49</v>
      </c>
      <c r="Y776" t="s">
        <v>4694</v>
      </c>
      <c r="Z776" t="b">
        <v>0</v>
      </c>
      <c r="AA776">
        <v>614.48123967592232</v>
      </c>
      <c r="AN776" t="e">
        <f>100*(1-E776/AL776)</f>
        <v>#DIV/0!</v>
      </c>
    </row>
    <row r="777" spans="1:40" x14ac:dyDescent="0.3">
      <c r="A777" t="s">
        <v>71</v>
      </c>
      <c r="B777" t="s">
        <v>4695</v>
      </c>
      <c r="C777" t="s">
        <v>3842</v>
      </c>
      <c r="D777" s="4">
        <v>46001</v>
      </c>
      <c r="E777">
        <v>12500</v>
      </c>
      <c r="F777" t="s">
        <v>1562</v>
      </c>
      <c r="G777" t="s">
        <v>3581</v>
      </c>
      <c r="H777" t="s">
        <v>62</v>
      </c>
      <c r="I777" t="s">
        <v>3582</v>
      </c>
      <c r="J777" t="s">
        <v>204</v>
      </c>
      <c r="K777" t="s">
        <v>4696</v>
      </c>
      <c r="L777" t="s">
        <v>44</v>
      </c>
      <c r="M777" t="s">
        <v>3844</v>
      </c>
      <c r="N777">
        <v>62200</v>
      </c>
      <c r="O777" t="s">
        <v>50</v>
      </c>
      <c r="P777" t="s">
        <v>46</v>
      </c>
      <c r="Q777">
        <v>0</v>
      </c>
      <c r="R777">
        <v>1983</v>
      </c>
      <c r="S777">
        <v>90</v>
      </c>
      <c r="T777">
        <v>0</v>
      </c>
      <c r="U777">
        <v>0</v>
      </c>
      <c r="V777" t="s">
        <v>3845</v>
      </c>
      <c r="W777">
        <v>77019874</v>
      </c>
      <c r="X777" t="s">
        <v>49</v>
      </c>
      <c r="Y777" t="s">
        <v>4697</v>
      </c>
      <c r="Z777" t="b">
        <v>0</v>
      </c>
      <c r="AA777">
        <v>138.88888888888891</v>
      </c>
      <c r="AN777" t="e">
        <f>100*(1-E777/AL777)</f>
        <v>#DIV/0!</v>
      </c>
    </row>
    <row r="778" spans="1:40" x14ac:dyDescent="0.3">
      <c r="A778" t="s">
        <v>71</v>
      </c>
      <c r="B778" t="s">
        <v>4777</v>
      </c>
      <c r="C778" t="s">
        <v>4777</v>
      </c>
      <c r="D778" s="4">
        <v>46001</v>
      </c>
      <c r="E778">
        <v>67000</v>
      </c>
      <c r="F778" t="s">
        <v>4778</v>
      </c>
      <c r="G778" t="s">
        <v>4779</v>
      </c>
      <c r="H778" t="s">
        <v>62</v>
      </c>
      <c r="I778" t="s">
        <v>107</v>
      </c>
      <c r="J778" t="s">
        <v>108</v>
      </c>
      <c r="K778" t="s">
        <v>4780</v>
      </c>
      <c r="L778" t="s">
        <v>44</v>
      </c>
      <c r="M778" t="s">
        <v>4779</v>
      </c>
      <c r="N778">
        <v>59031</v>
      </c>
      <c r="O778" t="s">
        <v>45</v>
      </c>
      <c r="P778" t="s">
        <v>182</v>
      </c>
      <c r="Q778" t="s">
        <v>55</v>
      </c>
      <c r="R778">
        <v>1985</v>
      </c>
      <c r="S778">
        <v>260.36</v>
      </c>
      <c r="T778">
        <v>0</v>
      </c>
      <c r="U778">
        <v>0</v>
      </c>
      <c r="V778" t="s">
        <v>4781</v>
      </c>
      <c r="W778">
        <v>77623334</v>
      </c>
      <c r="X778" t="s">
        <v>86</v>
      </c>
      <c r="Y778" t="s">
        <v>4782</v>
      </c>
      <c r="Z778" t="b">
        <v>0</v>
      </c>
      <c r="AA778">
        <v>257.33599631279759</v>
      </c>
      <c r="AN778" t="e">
        <f>100*(1-E778/AL778)</f>
        <v>#DIV/0!</v>
      </c>
    </row>
    <row r="779" spans="1:40" x14ac:dyDescent="0.3">
      <c r="A779" t="s">
        <v>39</v>
      </c>
      <c r="B779" t="s">
        <v>4783</v>
      </c>
      <c r="C779" t="s">
        <v>4783</v>
      </c>
      <c r="D779" s="4">
        <v>46001</v>
      </c>
      <c r="E779">
        <v>98000</v>
      </c>
      <c r="F779" t="s">
        <v>4784</v>
      </c>
      <c r="G779" t="s">
        <v>143</v>
      </c>
      <c r="H779" t="s">
        <v>41</v>
      </c>
      <c r="I779" t="s">
        <v>144</v>
      </c>
      <c r="J779" t="s">
        <v>145</v>
      </c>
      <c r="K779" t="s">
        <v>4785</v>
      </c>
      <c r="L779" t="s">
        <v>44</v>
      </c>
      <c r="M779" t="s">
        <v>4786</v>
      </c>
      <c r="N779">
        <v>45333</v>
      </c>
      <c r="O779" t="s">
        <v>45</v>
      </c>
      <c r="P779" t="s">
        <v>81</v>
      </c>
      <c r="Q779" t="s">
        <v>55</v>
      </c>
      <c r="R779">
        <v>1985</v>
      </c>
      <c r="S779">
        <v>157.35</v>
      </c>
      <c r="T779">
        <v>0</v>
      </c>
      <c r="U779">
        <v>0</v>
      </c>
      <c r="V779" t="s">
        <v>4787</v>
      </c>
      <c r="W779">
        <v>41260011</v>
      </c>
      <c r="X779" t="s">
        <v>49</v>
      </c>
      <c r="Y779" t="s">
        <v>4788</v>
      </c>
      <c r="Z779" t="b">
        <v>0</v>
      </c>
      <c r="AA779">
        <v>622.8153797267239</v>
      </c>
      <c r="AN779" t="e">
        <f>100*(1-E779/AL779)</f>
        <v>#DIV/0!</v>
      </c>
    </row>
    <row r="780" spans="1:40" x14ac:dyDescent="0.3">
      <c r="A780" t="s">
        <v>59</v>
      </c>
      <c r="B780" t="s">
        <v>4789</v>
      </c>
      <c r="C780" t="s">
        <v>4789</v>
      </c>
      <c r="D780" s="4">
        <v>46001</v>
      </c>
      <c r="E780">
        <v>124000</v>
      </c>
      <c r="F780" t="s">
        <v>468</v>
      </c>
      <c r="G780" t="s">
        <v>381</v>
      </c>
      <c r="H780" t="s">
        <v>124</v>
      </c>
      <c r="I780" t="s">
        <v>334</v>
      </c>
      <c r="J780" t="s">
        <v>126</v>
      </c>
      <c r="K780" t="s">
        <v>4790</v>
      </c>
      <c r="L780" t="s">
        <v>44</v>
      </c>
      <c r="M780" t="s">
        <v>4791</v>
      </c>
      <c r="N780">
        <v>25100</v>
      </c>
      <c r="O780" t="s">
        <v>45</v>
      </c>
      <c r="P780" t="s">
        <v>54</v>
      </c>
      <c r="Q780" t="s">
        <v>55</v>
      </c>
      <c r="R780">
        <v>1985</v>
      </c>
      <c r="S780">
        <v>90.56</v>
      </c>
      <c r="T780">
        <v>0</v>
      </c>
      <c r="U780">
        <v>0</v>
      </c>
      <c r="V780" t="s">
        <v>4792</v>
      </c>
      <c r="W780">
        <v>43832399</v>
      </c>
      <c r="X780" t="s">
        <v>86</v>
      </c>
      <c r="Y780">
        <v>60132610002</v>
      </c>
      <c r="Z780" t="b">
        <v>0</v>
      </c>
      <c r="AA780">
        <v>1369.257950530035</v>
      </c>
      <c r="AN780" t="e">
        <f>100*(1-E780/AL780)</f>
        <v>#DIV/0!</v>
      </c>
    </row>
    <row r="781" spans="1:40" x14ac:dyDescent="0.3">
      <c r="A781" t="s">
        <v>59</v>
      </c>
      <c r="B781" t="s">
        <v>4793</v>
      </c>
      <c r="C781" t="s">
        <v>4793</v>
      </c>
      <c r="D781" s="4">
        <v>46001</v>
      </c>
      <c r="E781">
        <v>91000</v>
      </c>
      <c r="F781" t="s">
        <v>4794</v>
      </c>
      <c r="G781" t="s">
        <v>404</v>
      </c>
      <c r="H781" t="s">
        <v>124</v>
      </c>
      <c r="I781" t="s">
        <v>405</v>
      </c>
      <c r="J781" t="s">
        <v>126</v>
      </c>
      <c r="K781" t="s">
        <v>4795</v>
      </c>
      <c r="L781" t="s">
        <v>44</v>
      </c>
      <c r="M781" t="s">
        <v>4796</v>
      </c>
      <c r="N781">
        <v>26333</v>
      </c>
      <c r="O781" t="s">
        <v>45</v>
      </c>
      <c r="P781" t="s">
        <v>81</v>
      </c>
      <c r="Q781" t="s">
        <v>55</v>
      </c>
      <c r="R781">
        <v>1985</v>
      </c>
      <c r="S781">
        <v>160.04</v>
      </c>
      <c r="T781">
        <v>0</v>
      </c>
      <c r="U781">
        <v>0</v>
      </c>
      <c r="V781" t="s">
        <v>4797</v>
      </c>
      <c r="W781" t="s">
        <v>4798</v>
      </c>
      <c r="X781" t="s">
        <v>49</v>
      </c>
      <c r="Y781" t="s">
        <v>4799</v>
      </c>
      <c r="Z781" t="b">
        <v>0</v>
      </c>
      <c r="AA781">
        <v>568.60784803799049</v>
      </c>
      <c r="AN781" t="e">
        <f>100*(1-E781/AL781)</f>
        <v>#DIV/0!</v>
      </c>
    </row>
    <row r="782" spans="1:40" x14ac:dyDescent="0.3">
      <c r="A782" t="s">
        <v>59</v>
      </c>
      <c r="B782" t="s">
        <v>4800</v>
      </c>
      <c r="C782" t="s">
        <v>2292</v>
      </c>
      <c r="D782" s="4">
        <v>46001</v>
      </c>
      <c r="E782">
        <v>55000</v>
      </c>
      <c r="F782" t="s">
        <v>427</v>
      </c>
      <c r="G782" t="s">
        <v>2294</v>
      </c>
      <c r="H782" t="s">
        <v>225</v>
      </c>
      <c r="I782" t="s">
        <v>2295</v>
      </c>
      <c r="J782" t="s">
        <v>2295</v>
      </c>
      <c r="K782" t="s">
        <v>4801</v>
      </c>
      <c r="L782" t="s">
        <v>44</v>
      </c>
      <c r="M782" t="s">
        <v>4802</v>
      </c>
      <c r="N782">
        <v>81100</v>
      </c>
      <c r="O782" t="s">
        <v>45</v>
      </c>
      <c r="P782" t="s">
        <v>54</v>
      </c>
      <c r="Q782" t="s">
        <v>52</v>
      </c>
      <c r="R782">
        <v>1985</v>
      </c>
      <c r="S782">
        <v>63.06</v>
      </c>
      <c r="T782">
        <v>0</v>
      </c>
      <c r="U782">
        <v>0</v>
      </c>
      <c r="V782" t="s">
        <v>2298</v>
      </c>
      <c r="W782">
        <v>52141064</v>
      </c>
      <c r="X782" t="s">
        <v>49</v>
      </c>
      <c r="Y782" t="s">
        <v>4803</v>
      </c>
      <c r="Z782" t="b">
        <v>0</v>
      </c>
      <c r="AA782">
        <v>872.18522042499205</v>
      </c>
      <c r="AN782" t="e">
        <f>100*(1-E782/AL782)</f>
        <v>#DIV/0!</v>
      </c>
    </row>
    <row r="783" spans="1:40" x14ac:dyDescent="0.3">
      <c r="A783" t="s">
        <v>39</v>
      </c>
      <c r="B783" t="s">
        <v>4862</v>
      </c>
      <c r="C783" t="s">
        <v>4862</v>
      </c>
      <c r="D783" s="4">
        <v>46001</v>
      </c>
      <c r="E783">
        <v>55000</v>
      </c>
      <c r="F783" t="s">
        <v>4863</v>
      </c>
      <c r="G783" t="s">
        <v>101</v>
      </c>
      <c r="H783" t="s">
        <v>102</v>
      </c>
      <c r="I783" t="s">
        <v>103</v>
      </c>
      <c r="J783" t="s">
        <v>103</v>
      </c>
      <c r="K783" t="s">
        <v>4864</v>
      </c>
      <c r="L783" t="s">
        <v>44</v>
      </c>
      <c r="M783" t="s">
        <v>4865</v>
      </c>
      <c r="N783">
        <v>50100</v>
      </c>
      <c r="O783" t="s">
        <v>50</v>
      </c>
      <c r="P783" t="s">
        <v>51</v>
      </c>
      <c r="Q783" t="s">
        <v>52</v>
      </c>
      <c r="R783">
        <v>1987</v>
      </c>
      <c r="S783">
        <v>78.75</v>
      </c>
      <c r="T783" t="s">
        <v>161</v>
      </c>
      <c r="U783">
        <v>100</v>
      </c>
      <c r="V783" t="s">
        <v>4866</v>
      </c>
      <c r="W783">
        <v>36139124</v>
      </c>
      <c r="X783" t="s">
        <v>49</v>
      </c>
      <c r="Y783" t="s">
        <v>4867</v>
      </c>
      <c r="Z783" t="b">
        <v>0</v>
      </c>
      <c r="AA783">
        <v>698.41269841269843</v>
      </c>
      <c r="AN783" t="e">
        <f>100*(1-E783/AL783)</f>
        <v>#DIV/0!</v>
      </c>
    </row>
    <row r="784" spans="1:40" x14ac:dyDescent="0.3">
      <c r="A784" t="s">
        <v>166</v>
      </c>
      <c r="B784" t="s">
        <v>4868</v>
      </c>
      <c r="C784" t="s">
        <v>4868</v>
      </c>
      <c r="D784" s="4">
        <v>46001</v>
      </c>
      <c r="E784">
        <v>117000</v>
      </c>
      <c r="F784" t="s">
        <v>70</v>
      </c>
      <c r="G784" t="s">
        <v>1452</v>
      </c>
      <c r="H784" t="s">
        <v>62</v>
      </c>
      <c r="I784" t="s">
        <v>890</v>
      </c>
      <c r="J784" t="s">
        <v>63</v>
      </c>
      <c r="K784" t="s">
        <v>4869</v>
      </c>
      <c r="L784" t="s">
        <v>44</v>
      </c>
      <c r="M784" t="s">
        <v>4870</v>
      </c>
      <c r="N784">
        <v>56625</v>
      </c>
      <c r="O784" t="s">
        <v>45</v>
      </c>
      <c r="P784" t="s">
        <v>54</v>
      </c>
      <c r="Q784" t="s">
        <v>55</v>
      </c>
      <c r="R784">
        <v>1987</v>
      </c>
      <c r="S784">
        <v>100</v>
      </c>
      <c r="T784">
        <v>0</v>
      </c>
      <c r="U784">
        <v>0</v>
      </c>
      <c r="V784" t="s">
        <v>4871</v>
      </c>
      <c r="W784">
        <v>40539823</v>
      </c>
      <c r="X784" t="s">
        <v>86</v>
      </c>
      <c r="Y784" t="s">
        <v>4872</v>
      </c>
      <c r="Z784" t="b">
        <v>0</v>
      </c>
      <c r="AA784">
        <v>1170</v>
      </c>
      <c r="AN784" t="e">
        <f>100*(1-E784/AL784)</f>
        <v>#DIV/0!</v>
      </c>
    </row>
    <row r="785" spans="1:40" x14ac:dyDescent="0.3">
      <c r="A785" t="s">
        <v>166</v>
      </c>
      <c r="B785" t="s">
        <v>4873</v>
      </c>
      <c r="C785" t="s">
        <v>4873</v>
      </c>
      <c r="D785" s="4">
        <v>46001</v>
      </c>
      <c r="E785">
        <v>31950</v>
      </c>
      <c r="F785" t="s">
        <v>3530</v>
      </c>
      <c r="G785" t="s">
        <v>4874</v>
      </c>
      <c r="H785" t="s">
        <v>124</v>
      </c>
      <c r="I785" t="s">
        <v>480</v>
      </c>
      <c r="J785" t="s">
        <v>325</v>
      </c>
      <c r="K785" t="s">
        <v>4875</v>
      </c>
      <c r="L785" t="s">
        <v>44</v>
      </c>
      <c r="M785" t="s">
        <v>4876</v>
      </c>
      <c r="N785">
        <v>27064</v>
      </c>
      <c r="O785" t="s">
        <v>45</v>
      </c>
      <c r="P785" t="s">
        <v>81</v>
      </c>
      <c r="Q785" t="s">
        <v>52</v>
      </c>
      <c r="R785">
        <v>1987</v>
      </c>
      <c r="S785">
        <v>83.72</v>
      </c>
      <c r="T785">
        <v>0</v>
      </c>
      <c r="U785">
        <v>0</v>
      </c>
      <c r="V785" t="s">
        <v>4877</v>
      </c>
      <c r="W785">
        <v>101125461</v>
      </c>
      <c r="X785" t="s">
        <v>49</v>
      </c>
      <c r="Y785" t="s">
        <v>4878</v>
      </c>
      <c r="Z785" t="b">
        <v>0</v>
      </c>
      <c r="AA785">
        <v>381.62924032489252</v>
      </c>
      <c r="AN785" t="e">
        <f>100*(1-E785/AL785)</f>
        <v>#DIV/0!</v>
      </c>
    </row>
    <row r="786" spans="1:40" x14ac:dyDescent="0.3">
      <c r="A786" t="s">
        <v>215</v>
      </c>
      <c r="B786" t="s">
        <v>4923</v>
      </c>
      <c r="C786" t="s">
        <v>4923</v>
      </c>
      <c r="D786" s="4">
        <v>46001</v>
      </c>
      <c r="E786">
        <v>62000</v>
      </c>
      <c r="F786" t="s">
        <v>2069</v>
      </c>
      <c r="G786" t="s">
        <v>298</v>
      </c>
      <c r="H786" t="s">
        <v>67</v>
      </c>
      <c r="I786" t="s">
        <v>299</v>
      </c>
      <c r="J786" t="s">
        <v>67</v>
      </c>
      <c r="K786" t="s">
        <v>4924</v>
      </c>
      <c r="L786" t="s">
        <v>44</v>
      </c>
      <c r="M786" t="s">
        <v>4925</v>
      </c>
      <c r="N786">
        <v>13123</v>
      </c>
      <c r="O786" t="s">
        <v>50</v>
      </c>
      <c r="P786" t="s">
        <v>51</v>
      </c>
      <c r="Q786" t="s">
        <v>55</v>
      </c>
      <c r="R786">
        <v>1988</v>
      </c>
      <c r="S786">
        <v>34.81</v>
      </c>
      <c r="T786">
        <v>0</v>
      </c>
      <c r="U786">
        <v>0</v>
      </c>
      <c r="V786" t="s">
        <v>4926</v>
      </c>
      <c r="W786">
        <v>33389052</v>
      </c>
      <c r="X786" t="s">
        <v>86</v>
      </c>
      <c r="Y786" t="s">
        <v>4927</v>
      </c>
      <c r="Z786" t="b">
        <v>0</v>
      </c>
      <c r="AA786">
        <v>1781.0973858086761</v>
      </c>
      <c r="AN786" t="e">
        <f>100*(1-E786/AL786)</f>
        <v>#DIV/0!</v>
      </c>
    </row>
    <row r="787" spans="1:40" x14ac:dyDescent="0.3">
      <c r="A787" t="s">
        <v>215</v>
      </c>
      <c r="B787" t="s">
        <v>4923</v>
      </c>
      <c r="C787" t="s">
        <v>4923</v>
      </c>
      <c r="D787" s="4">
        <v>46001</v>
      </c>
      <c r="E787">
        <v>62000</v>
      </c>
      <c r="F787" t="s">
        <v>2069</v>
      </c>
      <c r="G787" t="s">
        <v>298</v>
      </c>
      <c r="H787" t="s">
        <v>67</v>
      </c>
      <c r="I787" t="s">
        <v>299</v>
      </c>
      <c r="J787" t="s">
        <v>67</v>
      </c>
      <c r="K787" t="s">
        <v>4924</v>
      </c>
      <c r="L787" t="s">
        <v>44</v>
      </c>
      <c r="M787" t="s">
        <v>4925</v>
      </c>
      <c r="N787">
        <v>13123</v>
      </c>
      <c r="O787" t="s">
        <v>50</v>
      </c>
      <c r="P787" t="s">
        <v>51</v>
      </c>
      <c r="Q787" t="s">
        <v>55</v>
      </c>
      <c r="R787">
        <v>1988</v>
      </c>
      <c r="S787">
        <v>34.81</v>
      </c>
      <c r="T787">
        <v>0</v>
      </c>
      <c r="U787">
        <v>0</v>
      </c>
      <c r="V787" t="s">
        <v>4926</v>
      </c>
      <c r="W787">
        <v>33389052</v>
      </c>
      <c r="X787" t="s">
        <v>86</v>
      </c>
      <c r="Y787" t="s">
        <v>4927</v>
      </c>
      <c r="Z787" t="b">
        <v>0</v>
      </c>
      <c r="AA787">
        <v>1781.0973858086761</v>
      </c>
      <c r="AN787" t="e">
        <f>100*(1-E787/AL787)</f>
        <v>#DIV/0!</v>
      </c>
    </row>
    <row r="788" spans="1:40" x14ac:dyDescent="0.3">
      <c r="A788" t="s">
        <v>39</v>
      </c>
      <c r="B788" t="s">
        <v>4928</v>
      </c>
      <c r="C788" t="s">
        <v>4928</v>
      </c>
      <c r="D788" s="4">
        <v>46001</v>
      </c>
      <c r="E788">
        <v>114000</v>
      </c>
      <c r="F788" t="s">
        <v>468</v>
      </c>
      <c r="G788" t="s">
        <v>194</v>
      </c>
      <c r="H788" t="s">
        <v>67</v>
      </c>
      <c r="I788" t="s">
        <v>195</v>
      </c>
      <c r="J788" t="s">
        <v>67</v>
      </c>
      <c r="K788" t="s">
        <v>4929</v>
      </c>
      <c r="L788" t="s">
        <v>44</v>
      </c>
      <c r="M788" t="s">
        <v>4930</v>
      </c>
      <c r="N788">
        <v>18544</v>
      </c>
      <c r="O788" t="s">
        <v>45</v>
      </c>
      <c r="P788" t="s">
        <v>54</v>
      </c>
      <c r="Q788" t="s">
        <v>55</v>
      </c>
      <c r="R788">
        <v>1988</v>
      </c>
      <c r="S788">
        <v>90.68</v>
      </c>
      <c r="T788">
        <v>0</v>
      </c>
      <c r="U788">
        <v>0</v>
      </c>
      <c r="V788" t="s">
        <v>4931</v>
      </c>
      <c r="W788">
        <v>103169477</v>
      </c>
      <c r="X788" t="s">
        <v>49</v>
      </c>
      <c r="Y788" t="s">
        <v>4932</v>
      </c>
      <c r="Z788" t="b">
        <v>0</v>
      </c>
      <c r="AA788">
        <v>1257.168063520071</v>
      </c>
      <c r="AN788" t="e">
        <f>100*(1-E788/AL788)</f>
        <v>#DIV/0!</v>
      </c>
    </row>
    <row r="789" spans="1:40" x14ac:dyDescent="0.3">
      <c r="A789" t="s">
        <v>39</v>
      </c>
      <c r="B789" t="s">
        <v>4960</v>
      </c>
      <c r="C789" t="s">
        <v>4960</v>
      </c>
      <c r="D789" s="4">
        <v>46001</v>
      </c>
      <c r="E789">
        <v>262000</v>
      </c>
      <c r="F789" t="s">
        <v>4961</v>
      </c>
      <c r="G789" t="s">
        <v>4962</v>
      </c>
      <c r="H789" t="s">
        <v>124</v>
      </c>
      <c r="I789" t="s">
        <v>4963</v>
      </c>
      <c r="J789" t="s">
        <v>256</v>
      </c>
      <c r="K789" t="s">
        <v>4964</v>
      </c>
      <c r="L789" t="s">
        <v>44</v>
      </c>
      <c r="M789" t="s">
        <v>4965</v>
      </c>
      <c r="N789">
        <v>30300</v>
      </c>
      <c r="O789" t="s">
        <v>45</v>
      </c>
      <c r="P789" t="s">
        <v>182</v>
      </c>
      <c r="Q789" t="s">
        <v>55</v>
      </c>
      <c r="R789">
        <v>1989</v>
      </c>
      <c r="S789">
        <v>200</v>
      </c>
      <c r="T789">
        <v>0</v>
      </c>
      <c r="U789">
        <v>0</v>
      </c>
      <c r="V789" t="s">
        <v>4966</v>
      </c>
      <c r="W789">
        <v>40304966</v>
      </c>
      <c r="X789" t="s">
        <v>86</v>
      </c>
      <c r="Y789" t="s">
        <v>4967</v>
      </c>
      <c r="Z789" t="b">
        <v>0</v>
      </c>
      <c r="AA789">
        <v>1310</v>
      </c>
      <c r="AN789" t="e">
        <f>100*(1-E789/AL789)</f>
        <v>#DIV/0!</v>
      </c>
    </row>
    <row r="790" spans="1:40" x14ac:dyDescent="0.3">
      <c r="A790" t="s">
        <v>166</v>
      </c>
      <c r="B790" t="s">
        <v>4968</v>
      </c>
      <c r="C790" t="s">
        <v>4968</v>
      </c>
      <c r="D790" s="4">
        <v>46001</v>
      </c>
      <c r="E790">
        <v>176000</v>
      </c>
      <c r="F790" t="s">
        <v>424</v>
      </c>
      <c r="G790" t="s">
        <v>168</v>
      </c>
      <c r="H790" t="s">
        <v>67</v>
      </c>
      <c r="I790" t="s">
        <v>169</v>
      </c>
      <c r="J790" t="s">
        <v>67</v>
      </c>
      <c r="K790" t="s">
        <v>4969</v>
      </c>
      <c r="L790" t="s">
        <v>44</v>
      </c>
      <c r="M790" t="s">
        <v>4970</v>
      </c>
      <c r="N790">
        <v>14235</v>
      </c>
      <c r="O790" t="s">
        <v>45</v>
      </c>
      <c r="P790" t="s">
        <v>54</v>
      </c>
      <c r="Q790" t="s">
        <v>100</v>
      </c>
      <c r="R790">
        <v>1989</v>
      </c>
      <c r="S790">
        <v>88.4</v>
      </c>
      <c r="T790">
        <v>0</v>
      </c>
      <c r="U790">
        <v>0</v>
      </c>
      <c r="V790" t="s">
        <v>4971</v>
      </c>
      <c r="W790">
        <v>37947310</v>
      </c>
      <c r="X790" t="s">
        <v>86</v>
      </c>
      <c r="Y790" t="s">
        <v>4972</v>
      </c>
      <c r="Z790" t="b">
        <v>0</v>
      </c>
      <c r="AA790">
        <v>1990.9502262443441</v>
      </c>
      <c r="AN790" t="e">
        <f>100*(1-E790/AL790)</f>
        <v>#DIV/0!</v>
      </c>
    </row>
    <row r="791" spans="1:40" x14ac:dyDescent="0.3">
      <c r="A791" t="s">
        <v>59</v>
      </c>
      <c r="B791" t="s">
        <v>4973</v>
      </c>
      <c r="C791" t="s">
        <v>4973</v>
      </c>
      <c r="D791" s="4">
        <v>46001</v>
      </c>
      <c r="E791">
        <v>140000</v>
      </c>
      <c r="F791" t="s">
        <v>4974</v>
      </c>
      <c r="G791" t="s">
        <v>123</v>
      </c>
      <c r="H791" t="s">
        <v>124</v>
      </c>
      <c r="I791" t="s">
        <v>125</v>
      </c>
      <c r="J791" t="s">
        <v>126</v>
      </c>
      <c r="K791" t="s">
        <v>4975</v>
      </c>
      <c r="L791" t="s">
        <v>44</v>
      </c>
      <c r="M791" t="s">
        <v>4976</v>
      </c>
      <c r="N791">
        <v>25200</v>
      </c>
      <c r="O791" t="s">
        <v>331</v>
      </c>
      <c r="P791" t="s">
        <v>331</v>
      </c>
      <c r="Q791" t="s">
        <v>52</v>
      </c>
      <c r="R791">
        <v>1989</v>
      </c>
      <c r="S791">
        <v>197.7</v>
      </c>
      <c r="T791">
        <v>0</v>
      </c>
      <c r="U791">
        <v>0</v>
      </c>
      <c r="V791" t="s">
        <v>4977</v>
      </c>
      <c r="W791">
        <v>45635824</v>
      </c>
      <c r="X791" t="s">
        <v>49</v>
      </c>
      <c r="Y791" t="s">
        <v>4978</v>
      </c>
      <c r="Z791" t="b">
        <v>0</v>
      </c>
      <c r="AA791">
        <v>708.1436519979768</v>
      </c>
      <c r="AN791" t="e">
        <f>100*(1-E791/AL791)</f>
        <v>#DIV/0!</v>
      </c>
    </row>
    <row r="792" spans="1:40" x14ac:dyDescent="0.3">
      <c r="A792" t="s">
        <v>183</v>
      </c>
      <c r="B792" t="s">
        <v>5060</v>
      </c>
      <c r="C792" t="s">
        <v>5061</v>
      </c>
      <c r="D792" s="4">
        <v>46001</v>
      </c>
      <c r="E792">
        <v>26294</v>
      </c>
      <c r="F792" t="s">
        <v>4741</v>
      </c>
      <c r="G792" t="s">
        <v>1288</v>
      </c>
      <c r="H792" t="s">
        <v>67</v>
      </c>
      <c r="I792" t="s">
        <v>301</v>
      </c>
      <c r="J792" t="s">
        <v>67</v>
      </c>
      <c r="K792" t="s">
        <v>5062</v>
      </c>
      <c r="L792" t="s">
        <v>44</v>
      </c>
      <c r="M792" t="s">
        <v>5063</v>
      </c>
      <c r="N792">
        <v>18233</v>
      </c>
      <c r="O792" t="s">
        <v>50</v>
      </c>
      <c r="P792" t="s">
        <v>51</v>
      </c>
      <c r="Q792" t="s">
        <v>100</v>
      </c>
      <c r="R792">
        <v>1990</v>
      </c>
      <c r="S792">
        <v>49.5</v>
      </c>
      <c r="T792">
        <v>0</v>
      </c>
      <c r="U792">
        <v>0</v>
      </c>
      <c r="V792" t="s">
        <v>5064</v>
      </c>
      <c r="W792">
        <v>78343254</v>
      </c>
      <c r="X792" t="s">
        <v>49</v>
      </c>
      <c r="Y792" t="s">
        <v>5065</v>
      </c>
      <c r="Z792" t="b">
        <v>0</v>
      </c>
      <c r="AA792">
        <v>531.19191919191917</v>
      </c>
      <c r="AN792" t="e">
        <f>100*(1-E792/AL792)</f>
        <v>#DIV/0!</v>
      </c>
    </row>
    <row r="793" spans="1:40" x14ac:dyDescent="0.3">
      <c r="A793" t="s">
        <v>183</v>
      </c>
      <c r="B793" t="s">
        <v>5066</v>
      </c>
      <c r="C793" t="s">
        <v>5061</v>
      </c>
      <c r="D793" s="4">
        <v>46001</v>
      </c>
      <c r="E793">
        <v>18592</v>
      </c>
      <c r="F793" t="s">
        <v>2069</v>
      </c>
      <c r="G793" t="s">
        <v>1288</v>
      </c>
      <c r="H793" t="s">
        <v>67</v>
      </c>
      <c r="I793" t="s">
        <v>301</v>
      </c>
      <c r="J793" t="s">
        <v>67</v>
      </c>
      <c r="K793" t="s">
        <v>5062</v>
      </c>
      <c r="L793" t="s">
        <v>44</v>
      </c>
      <c r="M793" t="s">
        <v>5063</v>
      </c>
      <c r="N793">
        <v>18233</v>
      </c>
      <c r="O793" t="s">
        <v>50</v>
      </c>
      <c r="P793" t="s">
        <v>51</v>
      </c>
      <c r="Q793" t="s">
        <v>100</v>
      </c>
      <c r="R793">
        <v>1990</v>
      </c>
      <c r="S793">
        <v>35</v>
      </c>
      <c r="T793">
        <v>0</v>
      </c>
      <c r="U793">
        <v>0</v>
      </c>
      <c r="V793" t="s">
        <v>5064</v>
      </c>
      <c r="W793">
        <v>78343254</v>
      </c>
      <c r="X793" t="s">
        <v>49</v>
      </c>
      <c r="Y793" t="s">
        <v>5067</v>
      </c>
      <c r="Z793" t="b">
        <v>0</v>
      </c>
      <c r="AA793">
        <v>531.20000000000005</v>
      </c>
      <c r="AN793" t="e">
        <f>100*(1-E793/AL793)</f>
        <v>#DIV/0!</v>
      </c>
    </row>
    <row r="794" spans="1:40" x14ac:dyDescent="0.3">
      <c r="A794" t="s">
        <v>183</v>
      </c>
      <c r="B794" t="s">
        <v>5068</v>
      </c>
      <c r="C794" t="s">
        <v>5061</v>
      </c>
      <c r="D794" s="4">
        <v>46001</v>
      </c>
      <c r="E794">
        <v>25232</v>
      </c>
      <c r="F794" t="s">
        <v>5069</v>
      </c>
      <c r="G794" t="s">
        <v>1288</v>
      </c>
      <c r="H794" t="s">
        <v>67</v>
      </c>
      <c r="I794" t="s">
        <v>301</v>
      </c>
      <c r="J794" t="s">
        <v>67</v>
      </c>
      <c r="K794" t="s">
        <v>5062</v>
      </c>
      <c r="L794" t="s">
        <v>44</v>
      </c>
      <c r="M794" t="s">
        <v>5063</v>
      </c>
      <c r="N794">
        <v>18233</v>
      </c>
      <c r="O794" t="s">
        <v>50</v>
      </c>
      <c r="P794" t="s">
        <v>51</v>
      </c>
      <c r="Q794" t="s">
        <v>100</v>
      </c>
      <c r="R794">
        <v>1990</v>
      </c>
      <c r="S794">
        <v>47.5</v>
      </c>
      <c r="T794">
        <v>0</v>
      </c>
      <c r="U794">
        <v>0</v>
      </c>
      <c r="V794" t="s">
        <v>5064</v>
      </c>
      <c r="W794">
        <v>78343254</v>
      </c>
      <c r="X794" t="s">
        <v>49</v>
      </c>
      <c r="Y794" t="s">
        <v>5070</v>
      </c>
      <c r="Z794" t="b">
        <v>0</v>
      </c>
      <c r="AA794">
        <v>531.20000000000005</v>
      </c>
      <c r="AN794" t="e">
        <f>100*(1-E794/AL794)</f>
        <v>#DIV/0!</v>
      </c>
    </row>
    <row r="795" spans="1:40" x14ac:dyDescent="0.3">
      <c r="A795" t="s">
        <v>183</v>
      </c>
      <c r="B795" t="s">
        <v>5071</v>
      </c>
      <c r="C795" t="s">
        <v>5061</v>
      </c>
      <c r="D795" s="4">
        <v>46001</v>
      </c>
      <c r="E795">
        <v>20982</v>
      </c>
      <c r="F795" t="s">
        <v>4310</v>
      </c>
      <c r="G795" t="s">
        <v>1288</v>
      </c>
      <c r="H795" t="s">
        <v>67</v>
      </c>
      <c r="I795" t="s">
        <v>301</v>
      </c>
      <c r="J795" t="s">
        <v>67</v>
      </c>
      <c r="K795" t="s">
        <v>5062</v>
      </c>
      <c r="L795" t="s">
        <v>44</v>
      </c>
      <c r="M795" t="s">
        <v>5063</v>
      </c>
      <c r="N795">
        <v>18233</v>
      </c>
      <c r="O795" t="s">
        <v>50</v>
      </c>
      <c r="P795" t="s">
        <v>51</v>
      </c>
      <c r="Q795" t="s">
        <v>100</v>
      </c>
      <c r="R795">
        <v>1990</v>
      </c>
      <c r="S795">
        <v>39.5</v>
      </c>
      <c r="T795">
        <v>0</v>
      </c>
      <c r="U795">
        <v>0</v>
      </c>
      <c r="V795" t="s">
        <v>5064</v>
      </c>
      <c r="W795">
        <v>78343254</v>
      </c>
      <c r="X795" t="s">
        <v>49</v>
      </c>
      <c r="Y795" t="s">
        <v>5072</v>
      </c>
      <c r="Z795" t="b">
        <v>0</v>
      </c>
      <c r="AA795">
        <v>531.18987341772151</v>
      </c>
      <c r="AN795" t="e">
        <f>100*(1-E795/AL795)</f>
        <v>#DIV/0!</v>
      </c>
    </row>
    <row r="796" spans="1:40" x14ac:dyDescent="0.3">
      <c r="A796" t="s">
        <v>183</v>
      </c>
      <c r="B796" t="s">
        <v>5073</v>
      </c>
      <c r="C796" t="s">
        <v>5061</v>
      </c>
      <c r="D796" s="4">
        <v>46001</v>
      </c>
      <c r="E796">
        <v>13280</v>
      </c>
      <c r="F796" t="s">
        <v>5074</v>
      </c>
      <c r="G796" t="s">
        <v>1288</v>
      </c>
      <c r="H796" t="s">
        <v>67</v>
      </c>
      <c r="I796" t="s">
        <v>301</v>
      </c>
      <c r="J796" t="s">
        <v>67</v>
      </c>
      <c r="K796" t="s">
        <v>5062</v>
      </c>
      <c r="L796" t="s">
        <v>44</v>
      </c>
      <c r="M796" t="s">
        <v>5063</v>
      </c>
      <c r="N796">
        <v>18233</v>
      </c>
      <c r="O796" t="s">
        <v>50</v>
      </c>
      <c r="P796" t="s">
        <v>51</v>
      </c>
      <c r="Q796" t="s">
        <v>100</v>
      </c>
      <c r="R796">
        <v>1990</v>
      </c>
      <c r="S796">
        <v>25</v>
      </c>
      <c r="T796">
        <v>0</v>
      </c>
      <c r="U796">
        <v>0</v>
      </c>
      <c r="V796" t="s">
        <v>5064</v>
      </c>
      <c r="W796">
        <v>78343254</v>
      </c>
      <c r="X796" t="s">
        <v>49</v>
      </c>
      <c r="Y796" t="s">
        <v>5075</v>
      </c>
      <c r="Z796" t="b">
        <v>0</v>
      </c>
      <c r="AA796">
        <v>531.20000000000005</v>
      </c>
      <c r="AN796" t="e">
        <f>100*(1-E796/AL796)</f>
        <v>#DIV/0!</v>
      </c>
    </row>
    <row r="797" spans="1:40" x14ac:dyDescent="0.3">
      <c r="A797" t="s">
        <v>183</v>
      </c>
      <c r="B797" t="s">
        <v>5076</v>
      </c>
      <c r="C797" t="s">
        <v>5061</v>
      </c>
      <c r="D797" s="4">
        <v>46001</v>
      </c>
      <c r="E797">
        <v>12749</v>
      </c>
      <c r="F797" t="s">
        <v>4650</v>
      </c>
      <c r="G797" t="s">
        <v>1288</v>
      </c>
      <c r="H797" t="s">
        <v>67</v>
      </c>
      <c r="I797" t="s">
        <v>301</v>
      </c>
      <c r="J797" t="s">
        <v>67</v>
      </c>
      <c r="K797" t="s">
        <v>5062</v>
      </c>
      <c r="L797" t="s">
        <v>44</v>
      </c>
      <c r="M797" t="s">
        <v>5063</v>
      </c>
      <c r="N797">
        <v>18233</v>
      </c>
      <c r="O797" t="s">
        <v>50</v>
      </c>
      <c r="P797" t="s">
        <v>51</v>
      </c>
      <c r="Q797" t="s">
        <v>100</v>
      </c>
      <c r="R797">
        <v>1990</v>
      </c>
      <c r="S797">
        <v>24</v>
      </c>
      <c r="T797">
        <v>0</v>
      </c>
      <c r="U797">
        <v>0</v>
      </c>
      <c r="V797" t="s">
        <v>5064</v>
      </c>
      <c r="W797">
        <v>78343254</v>
      </c>
      <c r="X797" t="s">
        <v>49</v>
      </c>
      <c r="Y797" t="s">
        <v>5077</v>
      </c>
      <c r="Z797" t="b">
        <v>0</v>
      </c>
      <c r="AA797">
        <v>531.20833333333337</v>
      </c>
      <c r="AN797" t="e">
        <f>100*(1-E797/AL797)</f>
        <v>#DIV/0!</v>
      </c>
    </row>
    <row r="798" spans="1:40" x14ac:dyDescent="0.3">
      <c r="A798" t="s">
        <v>183</v>
      </c>
      <c r="B798" t="s">
        <v>5078</v>
      </c>
      <c r="C798" t="s">
        <v>5061</v>
      </c>
      <c r="D798" s="4">
        <v>46001</v>
      </c>
      <c r="E798">
        <v>19920</v>
      </c>
      <c r="F798" t="s">
        <v>1601</v>
      </c>
      <c r="G798" t="s">
        <v>1288</v>
      </c>
      <c r="H798" t="s">
        <v>67</v>
      </c>
      <c r="I798" t="s">
        <v>301</v>
      </c>
      <c r="J798" t="s">
        <v>67</v>
      </c>
      <c r="K798" t="s">
        <v>5062</v>
      </c>
      <c r="L798" t="s">
        <v>44</v>
      </c>
      <c r="M798" t="s">
        <v>5063</v>
      </c>
      <c r="N798">
        <v>18233</v>
      </c>
      <c r="O798" t="s">
        <v>50</v>
      </c>
      <c r="P798" t="s">
        <v>51</v>
      </c>
      <c r="Q798" t="s">
        <v>100</v>
      </c>
      <c r="R798">
        <v>1990</v>
      </c>
      <c r="S798">
        <v>37.5</v>
      </c>
      <c r="T798">
        <v>0</v>
      </c>
      <c r="U798">
        <v>0</v>
      </c>
      <c r="V798" t="s">
        <v>5064</v>
      </c>
      <c r="W798">
        <v>78343254</v>
      </c>
      <c r="X798" t="s">
        <v>49</v>
      </c>
      <c r="Y798" t="s">
        <v>5079</v>
      </c>
      <c r="Z798" t="b">
        <v>0</v>
      </c>
      <c r="AA798">
        <v>531.20000000000005</v>
      </c>
      <c r="AN798" t="e">
        <f>100*(1-E798/AL798)</f>
        <v>#DIV/0!</v>
      </c>
    </row>
    <row r="799" spans="1:40" x14ac:dyDescent="0.3">
      <c r="A799" t="s">
        <v>39</v>
      </c>
      <c r="B799" t="s">
        <v>5176</v>
      </c>
      <c r="C799" t="s">
        <v>5177</v>
      </c>
      <c r="D799" s="4">
        <v>46001</v>
      </c>
      <c r="E799">
        <v>101174</v>
      </c>
      <c r="F799" t="s">
        <v>5178</v>
      </c>
      <c r="G799" t="s">
        <v>372</v>
      </c>
      <c r="H799" t="s">
        <v>152</v>
      </c>
      <c r="I799" t="s">
        <v>373</v>
      </c>
      <c r="J799" t="s">
        <v>172</v>
      </c>
      <c r="K799" t="s">
        <v>5179</v>
      </c>
      <c r="L799" t="s">
        <v>44</v>
      </c>
      <c r="M799" t="s">
        <v>5180</v>
      </c>
      <c r="N799">
        <v>21300</v>
      </c>
      <c r="O799" t="s">
        <v>45</v>
      </c>
      <c r="P799" t="s">
        <v>182</v>
      </c>
      <c r="Q799" t="s">
        <v>52</v>
      </c>
      <c r="R799">
        <v>1991</v>
      </c>
      <c r="S799">
        <v>246.03</v>
      </c>
      <c r="T799" t="s">
        <v>161</v>
      </c>
      <c r="U799">
        <v>100</v>
      </c>
      <c r="V799" t="s">
        <v>5181</v>
      </c>
      <c r="W799">
        <v>135389303</v>
      </c>
      <c r="X799" t="s">
        <v>49</v>
      </c>
      <c r="Y799" t="s">
        <v>5182</v>
      </c>
      <c r="Z799" t="b">
        <v>0</v>
      </c>
      <c r="AA799">
        <v>411.22627321871317</v>
      </c>
      <c r="AN799" t="e">
        <f>100*(1-E799/AL799)</f>
        <v>#DIV/0!</v>
      </c>
    </row>
    <row r="800" spans="1:40" x14ac:dyDescent="0.3">
      <c r="A800" t="s">
        <v>39</v>
      </c>
      <c r="B800" t="s">
        <v>5183</v>
      </c>
      <c r="C800" t="s">
        <v>5177</v>
      </c>
      <c r="D800" s="4">
        <v>46001</v>
      </c>
      <c r="E800">
        <v>25293</v>
      </c>
      <c r="F800" t="s">
        <v>5184</v>
      </c>
      <c r="G800" t="s">
        <v>372</v>
      </c>
      <c r="H800" t="s">
        <v>152</v>
      </c>
      <c r="I800" t="s">
        <v>373</v>
      </c>
      <c r="J800" t="s">
        <v>172</v>
      </c>
      <c r="K800" t="s">
        <v>5179</v>
      </c>
      <c r="L800" t="s">
        <v>44</v>
      </c>
      <c r="M800" t="s">
        <v>5180</v>
      </c>
      <c r="N800">
        <v>21300</v>
      </c>
      <c r="O800" t="s">
        <v>45</v>
      </c>
      <c r="P800" t="s">
        <v>182</v>
      </c>
      <c r="Q800" t="s">
        <v>52</v>
      </c>
      <c r="R800">
        <v>1991</v>
      </c>
      <c r="S800">
        <v>246.03</v>
      </c>
      <c r="T800" t="s">
        <v>192</v>
      </c>
      <c r="U800">
        <v>100</v>
      </c>
      <c r="V800" t="s">
        <v>5185</v>
      </c>
      <c r="W800">
        <v>44593070</v>
      </c>
      <c r="X800" t="s">
        <v>49</v>
      </c>
      <c r="Y800" t="s">
        <v>5182</v>
      </c>
      <c r="Z800" t="b">
        <v>0</v>
      </c>
      <c r="AA800">
        <v>102.80453603219119</v>
      </c>
      <c r="AN800" t="e">
        <f>100*(1-E800/AL800)</f>
        <v>#DIV/0!</v>
      </c>
    </row>
    <row r="801" spans="1:40" x14ac:dyDescent="0.3">
      <c r="A801" t="s">
        <v>166</v>
      </c>
      <c r="B801" t="s">
        <v>5213</v>
      </c>
      <c r="C801" t="s">
        <v>5213</v>
      </c>
      <c r="D801" s="4">
        <v>46001</v>
      </c>
      <c r="E801">
        <v>292000</v>
      </c>
      <c r="F801" t="s">
        <v>5214</v>
      </c>
      <c r="G801" t="s">
        <v>482</v>
      </c>
      <c r="H801" t="s">
        <v>67</v>
      </c>
      <c r="I801" t="s">
        <v>295</v>
      </c>
      <c r="J801" t="s">
        <v>67</v>
      </c>
      <c r="K801" t="s">
        <v>5215</v>
      </c>
      <c r="L801" t="s">
        <v>44</v>
      </c>
      <c r="M801" t="s">
        <v>5216</v>
      </c>
      <c r="N801">
        <v>19015</v>
      </c>
      <c r="O801" t="s">
        <v>45</v>
      </c>
      <c r="P801" t="s">
        <v>81</v>
      </c>
      <c r="Q801" t="s">
        <v>55</v>
      </c>
      <c r="R801">
        <v>1992</v>
      </c>
      <c r="S801">
        <v>252.64</v>
      </c>
      <c r="T801">
        <v>0</v>
      </c>
      <c r="U801">
        <v>0</v>
      </c>
      <c r="V801" t="s">
        <v>5217</v>
      </c>
      <c r="W801">
        <v>113607453</v>
      </c>
      <c r="X801" t="s">
        <v>49</v>
      </c>
      <c r="Y801" t="s">
        <v>5218</v>
      </c>
      <c r="Z801" t="b">
        <v>0</v>
      </c>
      <c r="AA801">
        <v>1155.794806839772</v>
      </c>
      <c r="AN801" t="e">
        <f>100*(1-E801/AL801)</f>
        <v>#DIV/0!</v>
      </c>
    </row>
    <row r="802" spans="1:40" x14ac:dyDescent="0.3">
      <c r="A802" t="s">
        <v>215</v>
      </c>
      <c r="B802" t="s">
        <v>5219</v>
      </c>
      <c r="C802" t="s">
        <v>5219</v>
      </c>
      <c r="D802" s="4">
        <v>46001</v>
      </c>
      <c r="E802">
        <v>128000</v>
      </c>
      <c r="F802" t="s">
        <v>5220</v>
      </c>
      <c r="G802" t="s">
        <v>1646</v>
      </c>
      <c r="H802" t="s">
        <v>67</v>
      </c>
      <c r="I802" t="s">
        <v>275</v>
      </c>
      <c r="J802" t="s">
        <v>67</v>
      </c>
      <c r="K802" t="s">
        <v>5221</v>
      </c>
      <c r="L802" t="s">
        <v>44</v>
      </c>
      <c r="M802" t="s">
        <v>5222</v>
      </c>
      <c r="N802">
        <v>13451</v>
      </c>
      <c r="O802" t="s">
        <v>45</v>
      </c>
      <c r="P802" t="s">
        <v>81</v>
      </c>
      <c r="Q802" t="s">
        <v>52</v>
      </c>
      <c r="R802">
        <v>1992</v>
      </c>
      <c r="S802">
        <v>108.5</v>
      </c>
      <c r="T802">
        <v>0</v>
      </c>
      <c r="U802">
        <v>0</v>
      </c>
      <c r="V802" t="s">
        <v>5223</v>
      </c>
      <c r="W802">
        <v>27921292</v>
      </c>
      <c r="X802" t="s">
        <v>86</v>
      </c>
      <c r="Y802" t="s">
        <v>5224</v>
      </c>
      <c r="Z802" t="b">
        <v>0</v>
      </c>
      <c r="AA802">
        <v>1179.7235023041469</v>
      </c>
      <c r="AN802" t="e">
        <f>100*(1-E802/AL802)</f>
        <v>#DIV/0!</v>
      </c>
    </row>
    <row r="803" spans="1:40" x14ac:dyDescent="0.3">
      <c r="A803" t="s">
        <v>71</v>
      </c>
      <c r="B803" t="s">
        <v>5285</v>
      </c>
      <c r="C803" t="s">
        <v>5285</v>
      </c>
      <c r="D803" s="4">
        <v>46001</v>
      </c>
      <c r="E803">
        <v>107000</v>
      </c>
      <c r="F803" t="s">
        <v>5286</v>
      </c>
      <c r="G803" t="s">
        <v>66</v>
      </c>
      <c r="H803" t="s">
        <v>67</v>
      </c>
      <c r="I803" t="s">
        <v>68</v>
      </c>
      <c r="J803" t="s">
        <v>67</v>
      </c>
      <c r="K803" t="s">
        <v>5287</v>
      </c>
      <c r="L803" t="s">
        <v>44</v>
      </c>
      <c r="M803" t="s">
        <v>5288</v>
      </c>
      <c r="N803">
        <v>18120</v>
      </c>
      <c r="O803" t="s">
        <v>45</v>
      </c>
      <c r="P803" t="s">
        <v>54</v>
      </c>
      <c r="Q803" t="s">
        <v>1321</v>
      </c>
      <c r="R803">
        <v>1994</v>
      </c>
      <c r="S803">
        <v>115.5</v>
      </c>
      <c r="T803" t="s">
        <v>48</v>
      </c>
      <c r="U803">
        <v>50</v>
      </c>
      <c r="V803" t="s">
        <v>5289</v>
      </c>
      <c r="W803">
        <v>28221710</v>
      </c>
      <c r="X803" t="s">
        <v>86</v>
      </c>
      <c r="Y803" t="s">
        <v>5290</v>
      </c>
      <c r="Z803" t="b">
        <v>0</v>
      </c>
      <c r="AA803">
        <v>926.40692640692646</v>
      </c>
      <c r="AN803" t="e">
        <f>100*(1-E803/AL803)</f>
        <v>#DIV/0!</v>
      </c>
    </row>
    <row r="804" spans="1:40" x14ac:dyDescent="0.3">
      <c r="A804" t="s">
        <v>215</v>
      </c>
      <c r="B804" t="s">
        <v>5291</v>
      </c>
      <c r="C804" t="s">
        <v>5291</v>
      </c>
      <c r="D804" s="4">
        <v>46001</v>
      </c>
      <c r="E804">
        <v>257000</v>
      </c>
      <c r="F804" t="s">
        <v>5292</v>
      </c>
      <c r="G804" t="s">
        <v>3050</v>
      </c>
      <c r="H804" t="s">
        <v>67</v>
      </c>
      <c r="I804" t="s">
        <v>296</v>
      </c>
      <c r="J804" t="s">
        <v>67</v>
      </c>
      <c r="K804" t="s">
        <v>5293</v>
      </c>
      <c r="L804" t="s">
        <v>44</v>
      </c>
      <c r="M804" t="s">
        <v>5294</v>
      </c>
      <c r="N804">
        <v>17342</v>
      </c>
      <c r="O804" t="s">
        <v>45</v>
      </c>
      <c r="P804" t="s">
        <v>81</v>
      </c>
      <c r="Q804" t="s">
        <v>85</v>
      </c>
      <c r="R804">
        <v>1994</v>
      </c>
      <c r="S804">
        <v>186.75</v>
      </c>
      <c r="T804">
        <v>0</v>
      </c>
      <c r="U804">
        <v>0</v>
      </c>
      <c r="V804" t="s">
        <v>5295</v>
      </c>
      <c r="W804">
        <v>45324980</v>
      </c>
      <c r="X804" t="s">
        <v>49</v>
      </c>
      <c r="Y804" t="s">
        <v>5296</v>
      </c>
      <c r="Z804" t="b">
        <v>0</v>
      </c>
      <c r="AA804">
        <v>1376.171352074967</v>
      </c>
      <c r="AN804" t="e">
        <f>100*(1-E804/AL804)</f>
        <v>#DIV/0!</v>
      </c>
    </row>
    <row r="805" spans="1:40" x14ac:dyDescent="0.3">
      <c r="A805" t="s">
        <v>166</v>
      </c>
      <c r="B805" t="s">
        <v>5362</v>
      </c>
      <c r="C805" t="s">
        <v>5362</v>
      </c>
      <c r="D805" s="4">
        <v>46001</v>
      </c>
      <c r="E805">
        <v>72000</v>
      </c>
      <c r="F805" t="s">
        <v>5363</v>
      </c>
      <c r="G805" t="s">
        <v>101</v>
      </c>
      <c r="H805" t="s">
        <v>102</v>
      </c>
      <c r="I805" t="s">
        <v>103</v>
      </c>
      <c r="J805" t="s">
        <v>103</v>
      </c>
      <c r="K805" t="s">
        <v>5364</v>
      </c>
      <c r="L805" t="s">
        <v>44</v>
      </c>
      <c r="M805" t="s">
        <v>5365</v>
      </c>
      <c r="N805">
        <v>50100</v>
      </c>
      <c r="O805" t="s">
        <v>45</v>
      </c>
      <c r="P805" t="s">
        <v>54</v>
      </c>
      <c r="Q805" t="s">
        <v>85</v>
      </c>
      <c r="R805">
        <v>1995</v>
      </c>
      <c r="S805">
        <v>86.6</v>
      </c>
      <c r="T805" t="s">
        <v>161</v>
      </c>
      <c r="U805">
        <v>100</v>
      </c>
      <c r="V805" t="s">
        <v>5366</v>
      </c>
      <c r="W805">
        <v>35337087</v>
      </c>
      <c r="X805" t="s">
        <v>49</v>
      </c>
      <c r="Y805" t="s">
        <v>5367</v>
      </c>
      <c r="Z805" t="b">
        <v>0</v>
      </c>
      <c r="AA805">
        <v>831.40877598152429</v>
      </c>
      <c r="AN805" t="e">
        <f>100*(1-E805/AL805)</f>
        <v>#DIV/0!</v>
      </c>
    </row>
    <row r="806" spans="1:40" x14ac:dyDescent="0.3">
      <c r="A806" t="s">
        <v>166</v>
      </c>
      <c r="B806" t="s">
        <v>5368</v>
      </c>
      <c r="C806" t="s">
        <v>5368</v>
      </c>
      <c r="D806" s="4">
        <v>46001</v>
      </c>
      <c r="E806">
        <v>165000</v>
      </c>
      <c r="F806" t="s">
        <v>1665</v>
      </c>
      <c r="G806" t="s">
        <v>298</v>
      </c>
      <c r="H806" t="s">
        <v>67</v>
      </c>
      <c r="I806" t="s">
        <v>299</v>
      </c>
      <c r="J806" t="s">
        <v>67</v>
      </c>
      <c r="K806" t="s">
        <v>5369</v>
      </c>
      <c r="L806" t="s">
        <v>44</v>
      </c>
      <c r="M806" t="s">
        <v>5370</v>
      </c>
      <c r="N806">
        <v>13122</v>
      </c>
      <c r="O806" t="s">
        <v>45</v>
      </c>
      <c r="P806" t="s">
        <v>54</v>
      </c>
      <c r="Q806" t="s">
        <v>55</v>
      </c>
      <c r="R806">
        <v>1995</v>
      </c>
      <c r="S806">
        <v>80.680000000000007</v>
      </c>
      <c r="T806">
        <v>0</v>
      </c>
      <c r="U806">
        <v>0</v>
      </c>
      <c r="V806" t="s">
        <v>5371</v>
      </c>
      <c r="W806">
        <v>145305943</v>
      </c>
      <c r="X806" t="s">
        <v>49</v>
      </c>
      <c r="Y806" t="s">
        <v>5372</v>
      </c>
      <c r="Z806" t="b">
        <v>0</v>
      </c>
      <c r="AA806">
        <v>2045.116509667823</v>
      </c>
      <c r="AN806" t="e">
        <f>100*(1-E806/AL806)</f>
        <v>#DIV/0!</v>
      </c>
    </row>
    <row r="807" spans="1:40" x14ac:dyDescent="0.3">
      <c r="A807" t="s">
        <v>59</v>
      </c>
      <c r="B807" t="s">
        <v>5373</v>
      </c>
      <c r="C807" t="s">
        <v>5373</v>
      </c>
      <c r="D807" s="4">
        <v>46001</v>
      </c>
      <c r="E807">
        <v>72000</v>
      </c>
      <c r="F807" t="s">
        <v>2962</v>
      </c>
      <c r="G807" t="s">
        <v>40</v>
      </c>
      <c r="H807" t="s">
        <v>41</v>
      </c>
      <c r="I807" t="s">
        <v>42</v>
      </c>
      <c r="J807" t="s">
        <v>43</v>
      </c>
      <c r="K807" t="s">
        <v>5374</v>
      </c>
      <c r="L807" t="s">
        <v>44</v>
      </c>
      <c r="M807" t="s">
        <v>5375</v>
      </c>
      <c r="N807">
        <v>48062</v>
      </c>
      <c r="O807" t="s">
        <v>45</v>
      </c>
      <c r="P807" t="s">
        <v>54</v>
      </c>
      <c r="Q807" t="s">
        <v>55</v>
      </c>
      <c r="R807">
        <v>1995</v>
      </c>
      <c r="S807">
        <v>103.43</v>
      </c>
      <c r="T807">
        <v>0</v>
      </c>
      <c r="U807">
        <v>0</v>
      </c>
      <c r="V807" t="s">
        <v>5376</v>
      </c>
      <c r="W807">
        <v>30949910</v>
      </c>
      <c r="X807" t="s">
        <v>49</v>
      </c>
      <c r="Y807" t="s">
        <v>5377</v>
      </c>
      <c r="Z807" t="b">
        <v>0</v>
      </c>
      <c r="AA807">
        <v>696.12298172677163</v>
      </c>
      <c r="AN807" t="e">
        <f>100*(1-E807/AL807)</f>
        <v>#DIV/0!</v>
      </c>
    </row>
    <row r="808" spans="1:40" x14ac:dyDescent="0.3">
      <c r="A808" t="s">
        <v>39</v>
      </c>
      <c r="B808" t="s">
        <v>5457</v>
      </c>
      <c r="C808" t="s">
        <v>5457</v>
      </c>
      <c r="D808" s="4">
        <v>46001</v>
      </c>
      <c r="E808">
        <v>100000</v>
      </c>
      <c r="F808" t="s">
        <v>5458</v>
      </c>
      <c r="G808" t="s">
        <v>476</v>
      </c>
      <c r="H808" t="s">
        <v>62</v>
      </c>
      <c r="I808" t="s">
        <v>228</v>
      </c>
      <c r="J808" t="s">
        <v>79</v>
      </c>
      <c r="K808" t="s">
        <v>5459</v>
      </c>
      <c r="L808" t="s">
        <v>44</v>
      </c>
      <c r="M808" t="s">
        <v>5460</v>
      </c>
      <c r="N808">
        <v>60100</v>
      </c>
      <c r="O808" t="s">
        <v>45</v>
      </c>
      <c r="P808" t="s">
        <v>288</v>
      </c>
      <c r="Q808" t="s">
        <v>55</v>
      </c>
      <c r="R808">
        <v>1998</v>
      </c>
      <c r="S808">
        <v>257.54000000000002</v>
      </c>
      <c r="T808">
        <v>0</v>
      </c>
      <c r="U808">
        <v>0</v>
      </c>
      <c r="V808" t="s">
        <v>5461</v>
      </c>
      <c r="W808">
        <v>42924481</v>
      </c>
      <c r="X808" t="s">
        <v>49</v>
      </c>
      <c r="Y808" t="s">
        <v>5462</v>
      </c>
      <c r="Z808" t="b">
        <v>0</v>
      </c>
      <c r="AA808">
        <v>388.28919779451729</v>
      </c>
      <c r="AN808" t="e">
        <f>100*(1-E808/AL808)</f>
        <v>#DIV/0!</v>
      </c>
    </row>
    <row r="809" spans="1:40" x14ac:dyDescent="0.3">
      <c r="A809" t="s">
        <v>166</v>
      </c>
      <c r="B809" t="s">
        <v>5599</v>
      </c>
      <c r="C809" t="s">
        <v>5599</v>
      </c>
      <c r="D809" s="4">
        <v>46001</v>
      </c>
      <c r="E809">
        <v>125000</v>
      </c>
      <c r="F809" t="s">
        <v>5600</v>
      </c>
      <c r="G809" t="s">
        <v>353</v>
      </c>
      <c r="H809" t="s">
        <v>62</v>
      </c>
      <c r="I809" t="s">
        <v>354</v>
      </c>
      <c r="J809" t="s">
        <v>88</v>
      </c>
      <c r="K809" t="s">
        <v>5601</v>
      </c>
      <c r="L809" t="s">
        <v>44</v>
      </c>
      <c r="M809" t="s">
        <v>5602</v>
      </c>
      <c r="N809">
        <v>58400</v>
      </c>
      <c r="O809" t="s">
        <v>45</v>
      </c>
      <c r="P809" t="s">
        <v>54</v>
      </c>
      <c r="Q809" t="s">
        <v>85</v>
      </c>
      <c r="R809">
        <v>2000</v>
      </c>
      <c r="S809">
        <v>145.22</v>
      </c>
      <c r="T809">
        <v>0</v>
      </c>
      <c r="U809">
        <v>0</v>
      </c>
      <c r="V809" t="s">
        <v>5603</v>
      </c>
      <c r="W809">
        <v>66997768</v>
      </c>
      <c r="X809" t="s">
        <v>49</v>
      </c>
      <c r="Y809" t="s">
        <v>5604</v>
      </c>
      <c r="Z809" t="b">
        <v>0</v>
      </c>
      <c r="AA809">
        <v>860.76298030574299</v>
      </c>
      <c r="AN809" t="e">
        <f>100*(1-E809/AL809)</f>
        <v>#DIV/0!</v>
      </c>
    </row>
    <row r="810" spans="1:40" x14ac:dyDescent="0.3">
      <c r="A810" t="s">
        <v>59</v>
      </c>
      <c r="B810" t="s">
        <v>5605</v>
      </c>
      <c r="C810" t="s">
        <v>5605</v>
      </c>
      <c r="D810" s="4">
        <v>46001</v>
      </c>
      <c r="E810">
        <v>68000</v>
      </c>
      <c r="F810" t="s">
        <v>310</v>
      </c>
      <c r="G810" t="s">
        <v>406</v>
      </c>
      <c r="H810" t="s">
        <v>124</v>
      </c>
      <c r="I810" t="s">
        <v>364</v>
      </c>
      <c r="J810" t="s">
        <v>256</v>
      </c>
      <c r="K810" t="s">
        <v>5606</v>
      </c>
      <c r="L810" t="s">
        <v>44</v>
      </c>
      <c r="M810" t="s">
        <v>5607</v>
      </c>
      <c r="N810">
        <v>30200</v>
      </c>
      <c r="O810" t="s">
        <v>50</v>
      </c>
      <c r="P810" t="s">
        <v>51</v>
      </c>
      <c r="Q810" t="s">
        <v>52</v>
      </c>
      <c r="R810">
        <v>2000</v>
      </c>
      <c r="S810">
        <v>73</v>
      </c>
      <c r="T810">
        <v>0</v>
      </c>
      <c r="U810">
        <v>0</v>
      </c>
      <c r="V810" t="s">
        <v>5608</v>
      </c>
      <c r="W810">
        <v>145168993</v>
      </c>
      <c r="X810" t="s">
        <v>86</v>
      </c>
      <c r="Y810" t="s">
        <v>5609</v>
      </c>
      <c r="Z810" t="b">
        <v>0</v>
      </c>
      <c r="AA810">
        <v>931.50684931506851</v>
      </c>
      <c r="AN810" t="e">
        <f>100*(1-E810/AL810)</f>
        <v>#DIV/0!</v>
      </c>
    </row>
    <row r="811" spans="1:40" x14ac:dyDescent="0.3">
      <c r="A811" t="s">
        <v>39</v>
      </c>
      <c r="B811" t="s">
        <v>5610</v>
      </c>
      <c r="C811" t="s">
        <v>5610</v>
      </c>
      <c r="D811" s="4">
        <v>46001</v>
      </c>
      <c r="E811">
        <v>170000</v>
      </c>
      <c r="F811" t="s">
        <v>5611</v>
      </c>
      <c r="G811" t="s">
        <v>381</v>
      </c>
      <c r="H811" t="s">
        <v>124</v>
      </c>
      <c r="I811" t="s">
        <v>334</v>
      </c>
      <c r="J811" t="s">
        <v>126</v>
      </c>
      <c r="K811" t="s">
        <v>5612</v>
      </c>
      <c r="L811" t="s">
        <v>44</v>
      </c>
      <c r="M811" t="s">
        <v>5613</v>
      </c>
      <c r="N811">
        <v>25100</v>
      </c>
      <c r="O811" t="s">
        <v>45</v>
      </c>
      <c r="P811" t="s">
        <v>182</v>
      </c>
      <c r="Q811" t="s">
        <v>55</v>
      </c>
      <c r="R811">
        <v>2000</v>
      </c>
      <c r="S811">
        <v>178.12</v>
      </c>
      <c r="T811">
        <v>0</v>
      </c>
      <c r="U811">
        <v>0</v>
      </c>
      <c r="V811" t="s">
        <v>5614</v>
      </c>
      <c r="W811">
        <v>38734559</v>
      </c>
      <c r="X811" t="s">
        <v>86</v>
      </c>
      <c r="Y811" t="s">
        <v>5615</v>
      </c>
      <c r="Z811" t="b">
        <v>0</v>
      </c>
      <c r="AA811">
        <v>954.41275544576683</v>
      </c>
      <c r="AN811" t="e">
        <f>100*(1-E811/AL811)</f>
        <v>#DIV/0!</v>
      </c>
    </row>
    <row r="812" spans="1:40" x14ac:dyDescent="0.3">
      <c r="A812" t="s">
        <v>71</v>
      </c>
      <c r="B812" t="s">
        <v>5616</v>
      </c>
      <c r="C812" t="s">
        <v>5616</v>
      </c>
      <c r="D812" s="4">
        <v>46001</v>
      </c>
      <c r="E812">
        <v>249000</v>
      </c>
      <c r="F812" t="s">
        <v>5617</v>
      </c>
      <c r="G812" t="s">
        <v>459</v>
      </c>
      <c r="H812" t="s">
        <v>94</v>
      </c>
      <c r="I812" t="s">
        <v>460</v>
      </c>
      <c r="J812" t="s">
        <v>449</v>
      </c>
      <c r="K812" t="s">
        <v>5618</v>
      </c>
      <c r="L812" t="s">
        <v>44</v>
      </c>
      <c r="M812" t="s">
        <v>5619</v>
      </c>
      <c r="N812">
        <v>74150</v>
      </c>
      <c r="O812" t="s">
        <v>45</v>
      </c>
      <c r="P812" t="s">
        <v>81</v>
      </c>
      <c r="Q812" t="s">
        <v>52</v>
      </c>
      <c r="R812">
        <v>2000</v>
      </c>
      <c r="S812">
        <v>221.8</v>
      </c>
      <c r="T812">
        <v>0</v>
      </c>
      <c r="U812">
        <v>0</v>
      </c>
      <c r="V812" t="s">
        <v>5620</v>
      </c>
      <c r="W812" t="s">
        <v>5621</v>
      </c>
      <c r="X812" t="s">
        <v>49</v>
      </c>
      <c r="Y812" t="s">
        <v>5622</v>
      </c>
      <c r="Z812" t="b">
        <v>0</v>
      </c>
      <c r="AA812">
        <v>1122.6330027051399</v>
      </c>
      <c r="AN812" t="e">
        <f>100*(1-E812/AL812)</f>
        <v>#DIV/0!</v>
      </c>
    </row>
    <row r="813" spans="1:40" x14ac:dyDescent="0.3">
      <c r="A813" t="s">
        <v>59</v>
      </c>
      <c r="B813" t="s">
        <v>5623</v>
      </c>
      <c r="C813" t="s">
        <v>5623</v>
      </c>
      <c r="D813" s="4">
        <v>46001</v>
      </c>
      <c r="E813">
        <v>115000</v>
      </c>
      <c r="F813" t="s">
        <v>5624</v>
      </c>
      <c r="G813" t="s">
        <v>135</v>
      </c>
      <c r="H813" t="s">
        <v>136</v>
      </c>
      <c r="I813" t="s">
        <v>137</v>
      </c>
      <c r="J813" t="s">
        <v>138</v>
      </c>
      <c r="K813" t="s">
        <v>5625</v>
      </c>
      <c r="L813" t="s">
        <v>44</v>
      </c>
      <c r="M813" t="s">
        <v>5626</v>
      </c>
      <c r="N813">
        <v>42100</v>
      </c>
      <c r="O813" t="s">
        <v>45</v>
      </c>
      <c r="P813" t="s">
        <v>81</v>
      </c>
      <c r="Q813" t="s">
        <v>52</v>
      </c>
      <c r="R813">
        <v>2000</v>
      </c>
      <c r="S813">
        <v>108.6</v>
      </c>
      <c r="T813">
        <v>0</v>
      </c>
      <c r="U813">
        <v>0</v>
      </c>
      <c r="V813" t="s">
        <v>5627</v>
      </c>
      <c r="W813">
        <v>54575415</v>
      </c>
      <c r="X813" t="s">
        <v>49</v>
      </c>
      <c r="Y813" t="s">
        <v>5628</v>
      </c>
      <c r="Z813" t="b">
        <v>0</v>
      </c>
      <c r="AA813">
        <v>1058.9318600368319</v>
      </c>
      <c r="AN813" t="e">
        <f>100*(1-E813/AL813)</f>
        <v>#DIV/0!</v>
      </c>
    </row>
    <row r="814" spans="1:40" x14ac:dyDescent="0.3">
      <c r="A814" t="s">
        <v>215</v>
      </c>
      <c r="B814" t="s">
        <v>5629</v>
      </c>
      <c r="C814" t="s">
        <v>5630</v>
      </c>
      <c r="D814" s="4">
        <v>46001</v>
      </c>
      <c r="E814">
        <v>185000</v>
      </c>
      <c r="F814" t="s">
        <v>5631</v>
      </c>
      <c r="G814" t="s">
        <v>5632</v>
      </c>
      <c r="H814" t="s">
        <v>67</v>
      </c>
      <c r="I814" t="s">
        <v>266</v>
      </c>
      <c r="J814" t="s">
        <v>67</v>
      </c>
      <c r="K814" t="s">
        <v>5633</v>
      </c>
      <c r="L814" t="s">
        <v>44</v>
      </c>
      <c r="M814" t="s">
        <v>5634</v>
      </c>
      <c r="N814">
        <v>18902</v>
      </c>
      <c r="O814" t="s">
        <v>45</v>
      </c>
      <c r="P814" t="s">
        <v>81</v>
      </c>
      <c r="Q814" t="s">
        <v>52</v>
      </c>
      <c r="R814">
        <v>2000</v>
      </c>
      <c r="S814">
        <v>119.7</v>
      </c>
      <c r="T814">
        <v>0</v>
      </c>
      <c r="U814">
        <v>0</v>
      </c>
      <c r="V814" t="s">
        <v>5635</v>
      </c>
      <c r="W814" t="s">
        <v>5636</v>
      </c>
      <c r="X814" t="s">
        <v>49</v>
      </c>
      <c r="Y814" t="s">
        <v>5637</v>
      </c>
      <c r="Z814" t="b">
        <v>0</v>
      </c>
      <c r="AA814">
        <v>1545.530492898914</v>
      </c>
      <c r="AN814" t="e">
        <f>100*(1-E814/AL814)</f>
        <v>#DIV/0!</v>
      </c>
    </row>
    <row r="815" spans="1:40" x14ac:dyDescent="0.3">
      <c r="A815" t="s">
        <v>183</v>
      </c>
      <c r="B815" t="s">
        <v>5691</v>
      </c>
      <c r="C815" t="s">
        <v>5691</v>
      </c>
      <c r="D815" s="4">
        <v>46001</v>
      </c>
      <c r="E815">
        <v>680000</v>
      </c>
      <c r="F815" t="s">
        <v>5692</v>
      </c>
      <c r="G815" t="s">
        <v>4011</v>
      </c>
      <c r="H815" t="s">
        <v>67</v>
      </c>
      <c r="I815" t="s">
        <v>3411</v>
      </c>
      <c r="J815" t="s">
        <v>67</v>
      </c>
      <c r="K815" t="s">
        <v>5693</v>
      </c>
      <c r="L815" t="s">
        <v>44</v>
      </c>
      <c r="M815" t="s">
        <v>5694</v>
      </c>
      <c r="N815">
        <v>19007</v>
      </c>
      <c r="O815" t="s">
        <v>45</v>
      </c>
      <c r="P815" t="s">
        <v>288</v>
      </c>
      <c r="Q815">
        <v>0</v>
      </c>
      <c r="R815">
        <v>2001</v>
      </c>
      <c r="S815">
        <v>386.42</v>
      </c>
      <c r="T815">
        <v>0</v>
      </c>
      <c r="U815">
        <v>0</v>
      </c>
      <c r="V815" t="s">
        <v>5695</v>
      </c>
      <c r="W815">
        <v>29104240</v>
      </c>
      <c r="X815" t="s">
        <v>86</v>
      </c>
      <c r="Y815" t="s">
        <v>5696</v>
      </c>
      <c r="Z815" t="b">
        <v>0</v>
      </c>
      <c r="AA815">
        <v>1759.743284509083</v>
      </c>
      <c r="AN815" t="e">
        <f>100*(1-E815/AL815)</f>
        <v>#DIV/0!</v>
      </c>
    </row>
    <row r="816" spans="1:40" x14ac:dyDescent="0.3">
      <c r="A816" t="s">
        <v>59</v>
      </c>
      <c r="B816" t="s">
        <v>5732</v>
      </c>
      <c r="C816" t="s">
        <v>5732</v>
      </c>
      <c r="D816" s="4">
        <v>46001</v>
      </c>
      <c r="E816">
        <v>342000</v>
      </c>
      <c r="F816" t="s">
        <v>5733</v>
      </c>
      <c r="G816" t="s">
        <v>170</v>
      </c>
      <c r="H816" t="s">
        <v>152</v>
      </c>
      <c r="I816" t="s">
        <v>171</v>
      </c>
      <c r="J816" t="s">
        <v>172</v>
      </c>
      <c r="K816" t="s">
        <v>5734</v>
      </c>
      <c r="L816" t="s">
        <v>44</v>
      </c>
      <c r="M816" t="s">
        <v>5735</v>
      </c>
      <c r="N816">
        <v>21100</v>
      </c>
      <c r="O816" t="s">
        <v>45</v>
      </c>
      <c r="P816" t="s">
        <v>81</v>
      </c>
      <c r="Q816">
        <v>0</v>
      </c>
      <c r="R816">
        <v>2002</v>
      </c>
      <c r="S816">
        <v>205.42</v>
      </c>
      <c r="T816">
        <v>0</v>
      </c>
      <c r="U816">
        <v>0</v>
      </c>
      <c r="V816" t="s">
        <v>5736</v>
      </c>
      <c r="W816" t="s">
        <v>5737</v>
      </c>
      <c r="X816" t="s">
        <v>86</v>
      </c>
      <c r="Y816" t="s">
        <v>5738</v>
      </c>
      <c r="Z816" t="b">
        <v>0</v>
      </c>
      <c r="AA816">
        <v>1664.8817057735371</v>
      </c>
      <c r="AN816" t="e">
        <f>100*(1-E816/AL816)</f>
        <v>#DIV/0!</v>
      </c>
    </row>
    <row r="817" spans="1:40" x14ac:dyDescent="0.3">
      <c r="A817" t="s">
        <v>213</v>
      </c>
      <c r="B817" t="s">
        <v>5861</v>
      </c>
      <c r="C817" t="s">
        <v>5861</v>
      </c>
      <c r="D817" s="4">
        <v>46001</v>
      </c>
      <c r="E817">
        <v>79000</v>
      </c>
      <c r="F817" t="s">
        <v>5862</v>
      </c>
      <c r="G817" t="s">
        <v>101</v>
      </c>
      <c r="H817" t="s">
        <v>102</v>
      </c>
      <c r="I817" t="s">
        <v>103</v>
      </c>
      <c r="J817" t="s">
        <v>103</v>
      </c>
      <c r="K817" t="s">
        <v>5863</v>
      </c>
      <c r="L817" t="s">
        <v>44</v>
      </c>
      <c r="M817" t="s">
        <v>5864</v>
      </c>
      <c r="N817">
        <v>50100</v>
      </c>
      <c r="O817" t="s">
        <v>50</v>
      </c>
      <c r="P817" t="s">
        <v>51</v>
      </c>
      <c r="Q817" t="s">
        <v>52</v>
      </c>
      <c r="R817">
        <v>2003</v>
      </c>
      <c r="S817">
        <v>92.12</v>
      </c>
      <c r="T817">
        <v>0</v>
      </c>
      <c r="U817">
        <v>0</v>
      </c>
      <c r="V817" t="s">
        <v>5865</v>
      </c>
      <c r="W817">
        <v>118435953</v>
      </c>
      <c r="X817" t="s">
        <v>49</v>
      </c>
      <c r="Y817" t="s">
        <v>5866</v>
      </c>
      <c r="Z817" t="b">
        <v>0</v>
      </c>
      <c r="AA817">
        <v>857.57707338254443</v>
      </c>
      <c r="AN817" t="e">
        <f>100*(1-E817/AL817)</f>
        <v>#DIV/0!</v>
      </c>
    </row>
    <row r="818" spans="1:40" x14ac:dyDescent="0.3">
      <c r="A818" t="s">
        <v>166</v>
      </c>
      <c r="B818" t="s">
        <v>5867</v>
      </c>
      <c r="C818" t="s">
        <v>5867</v>
      </c>
      <c r="D818" s="4">
        <v>46001</v>
      </c>
      <c r="E818">
        <v>4860</v>
      </c>
      <c r="F818" t="s">
        <v>5868</v>
      </c>
      <c r="G818" t="s">
        <v>300</v>
      </c>
      <c r="H818" t="s">
        <v>67</v>
      </c>
      <c r="I818" t="s">
        <v>301</v>
      </c>
      <c r="J818" t="s">
        <v>67</v>
      </c>
      <c r="K818" t="s">
        <v>5869</v>
      </c>
      <c r="L818" t="s">
        <v>44</v>
      </c>
      <c r="M818" t="s">
        <v>5870</v>
      </c>
      <c r="N818">
        <v>18452</v>
      </c>
      <c r="O818" t="s">
        <v>45</v>
      </c>
      <c r="P818" t="s">
        <v>54</v>
      </c>
      <c r="Q818" t="s">
        <v>52</v>
      </c>
      <c r="R818">
        <v>2003</v>
      </c>
      <c r="S818">
        <v>35.630000000000003</v>
      </c>
      <c r="T818" t="s">
        <v>192</v>
      </c>
      <c r="U818">
        <v>50</v>
      </c>
      <c r="V818" t="s">
        <v>5871</v>
      </c>
      <c r="W818">
        <v>102827200</v>
      </c>
      <c r="X818" t="s">
        <v>86</v>
      </c>
      <c r="Y818" t="s">
        <v>5872</v>
      </c>
      <c r="Z818" t="b">
        <v>0</v>
      </c>
      <c r="AA818">
        <v>136.40190850406961</v>
      </c>
      <c r="AN818" t="e">
        <f>100*(1-E818/AL818)</f>
        <v>#DIV/0!</v>
      </c>
    </row>
    <row r="819" spans="1:40" x14ac:dyDescent="0.3">
      <c r="A819" t="s">
        <v>166</v>
      </c>
      <c r="B819" t="s">
        <v>5867</v>
      </c>
      <c r="C819" t="s">
        <v>5867</v>
      </c>
      <c r="D819" s="4">
        <v>46001</v>
      </c>
      <c r="E819">
        <v>4860</v>
      </c>
      <c r="F819" t="s">
        <v>5868</v>
      </c>
      <c r="G819" t="s">
        <v>300</v>
      </c>
      <c r="H819" t="s">
        <v>67</v>
      </c>
      <c r="I819" t="s">
        <v>301</v>
      </c>
      <c r="J819" t="s">
        <v>67</v>
      </c>
      <c r="K819" t="s">
        <v>5869</v>
      </c>
      <c r="L819" t="s">
        <v>44</v>
      </c>
      <c r="M819" t="s">
        <v>5870</v>
      </c>
      <c r="N819">
        <v>18452</v>
      </c>
      <c r="O819" t="s">
        <v>45</v>
      </c>
      <c r="P819" t="s">
        <v>54</v>
      </c>
      <c r="Q819" t="s">
        <v>52</v>
      </c>
      <c r="R819">
        <v>2003</v>
      </c>
      <c r="S819">
        <v>35.630000000000003</v>
      </c>
      <c r="T819" t="s">
        <v>192</v>
      </c>
      <c r="U819">
        <v>50</v>
      </c>
      <c r="V819" t="s">
        <v>5871</v>
      </c>
      <c r="W819">
        <v>102827200</v>
      </c>
      <c r="X819" t="s">
        <v>86</v>
      </c>
      <c r="Y819" t="s">
        <v>5872</v>
      </c>
      <c r="Z819" t="b">
        <v>0</v>
      </c>
      <c r="AA819">
        <v>136.40190850406961</v>
      </c>
      <c r="AN819" t="e">
        <f>100*(1-E819/AL819)</f>
        <v>#DIV/0!</v>
      </c>
    </row>
    <row r="820" spans="1:40" x14ac:dyDescent="0.3">
      <c r="A820" t="s">
        <v>166</v>
      </c>
      <c r="B820" t="s">
        <v>5867</v>
      </c>
      <c r="C820" t="s">
        <v>5867</v>
      </c>
      <c r="D820" s="4">
        <v>46001</v>
      </c>
      <c r="E820">
        <v>4860</v>
      </c>
      <c r="F820" t="s">
        <v>5868</v>
      </c>
      <c r="G820" t="s">
        <v>300</v>
      </c>
      <c r="H820" t="s">
        <v>67</v>
      </c>
      <c r="I820" t="s">
        <v>301</v>
      </c>
      <c r="J820" t="s">
        <v>67</v>
      </c>
      <c r="K820" t="s">
        <v>5869</v>
      </c>
      <c r="L820" t="s">
        <v>44</v>
      </c>
      <c r="M820" t="s">
        <v>5870</v>
      </c>
      <c r="N820">
        <v>18452</v>
      </c>
      <c r="O820" t="s">
        <v>45</v>
      </c>
      <c r="P820" t="s">
        <v>54</v>
      </c>
      <c r="Q820" t="s">
        <v>52</v>
      </c>
      <c r="R820">
        <v>2003</v>
      </c>
      <c r="S820">
        <v>35.630000000000003</v>
      </c>
      <c r="T820" t="s">
        <v>192</v>
      </c>
      <c r="U820">
        <v>50</v>
      </c>
      <c r="V820" t="s">
        <v>5871</v>
      </c>
      <c r="W820">
        <v>102827200</v>
      </c>
      <c r="X820" t="s">
        <v>86</v>
      </c>
      <c r="Y820" t="s">
        <v>5872</v>
      </c>
      <c r="Z820" t="b">
        <v>0</v>
      </c>
      <c r="AA820">
        <v>136.40190850406961</v>
      </c>
      <c r="AN820" t="e">
        <f>100*(1-E820/AL820)</f>
        <v>#DIV/0!</v>
      </c>
    </row>
    <row r="821" spans="1:40" x14ac:dyDescent="0.3">
      <c r="A821" t="s">
        <v>166</v>
      </c>
      <c r="B821" t="s">
        <v>5867</v>
      </c>
      <c r="C821" t="s">
        <v>5867</v>
      </c>
      <c r="D821" s="4">
        <v>46001</v>
      </c>
      <c r="E821">
        <v>4860</v>
      </c>
      <c r="F821" t="s">
        <v>5868</v>
      </c>
      <c r="G821" t="s">
        <v>300</v>
      </c>
      <c r="H821" t="s">
        <v>67</v>
      </c>
      <c r="I821" t="s">
        <v>301</v>
      </c>
      <c r="J821" t="s">
        <v>67</v>
      </c>
      <c r="K821" t="s">
        <v>5869</v>
      </c>
      <c r="L821" t="s">
        <v>44</v>
      </c>
      <c r="M821" t="s">
        <v>5870</v>
      </c>
      <c r="N821">
        <v>18452</v>
      </c>
      <c r="O821" t="s">
        <v>45</v>
      </c>
      <c r="P821" t="s">
        <v>54</v>
      </c>
      <c r="Q821" t="s">
        <v>52</v>
      </c>
      <c r="R821">
        <v>2003</v>
      </c>
      <c r="S821">
        <v>35.630000000000003</v>
      </c>
      <c r="T821" t="s">
        <v>192</v>
      </c>
      <c r="U821">
        <v>50</v>
      </c>
      <c r="V821" t="s">
        <v>5871</v>
      </c>
      <c r="W821">
        <v>102827200</v>
      </c>
      <c r="X821" t="s">
        <v>86</v>
      </c>
      <c r="Y821" t="s">
        <v>5872</v>
      </c>
      <c r="Z821" t="b">
        <v>0</v>
      </c>
      <c r="AA821">
        <v>136.40190850406961</v>
      </c>
      <c r="AN821" t="e">
        <f>100*(1-E821/AL821)</f>
        <v>#DIV/0!</v>
      </c>
    </row>
    <row r="822" spans="1:40" x14ac:dyDescent="0.3">
      <c r="A822" t="s">
        <v>59</v>
      </c>
      <c r="B822" t="s">
        <v>5873</v>
      </c>
      <c r="C822" t="s">
        <v>5873</v>
      </c>
      <c r="D822" s="4">
        <v>46001</v>
      </c>
      <c r="E822">
        <v>256000</v>
      </c>
      <c r="F822" t="s">
        <v>5874</v>
      </c>
      <c r="G822" t="s">
        <v>300</v>
      </c>
      <c r="H822" t="s">
        <v>67</v>
      </c>
      <c r="I822" t="s">
        <v>301</v>
      </c>
      <c r="J822" t="s">
        <v>67</v>
      </c>
      <c r="K822" t="s">
        <v>5875</v>
      </c>
      <c r="L822" t="s">
        <v>44</v>
      </c>
      <c r="M822" t="s">
        <v>5876</v>
      </c>
      <c r="N822">
        <v>18452</v>
      </c>
      <c r="O822" t="s">
        <v>45</v>
      </c>
      <c r="P822" t="s">
        <v>288</v>
      </c>
      <c r="Q822" t="s">
        <v>85</v>
      </c>
      <c r="R822">
        <v>2003</v>
      </c>
      <c r="S822">
        <v>157.38999999999999</v>
      </c>
      <c r="T822">
        <v>0</v>
      </c>
      <c r="U822">
        <v>0</v>
      </c>
      <c r="V822" t="s">
        <v>5877</v>
      </c>
      <c r="W822" t="s">
        <v>5878</v>
      </c>
      <c r="X822" t="s">
        <v>49</v>
      </c>
      <c r="Y822" t="s">
        <v>5879</v>
      </c>
      <c r="Z822" t="b">
        <v>0</v>
      </c>
      <c r="AA822">
        <v>1626.5328165703031</v>
      </c>
      <c r="AN822" t="e">
        <f>100*(1-E822/AL822)</f>
        <v>#DIV/0!</v>
      </c>
    </row>
    <row r="823" spans="1:40" x14ac:dyDescent="0.3">
      <c r="A823" t="s">
        <v>59</v>
      </c>
      <c r="B823" t="s">
        <v>5880</v>
      </c>
      <c r="C823" t="s">
        <v>5880</v>
      </c>
      <c r="D823" s="4">
        <v>46001</v>
      </c>
      <c r="E823">
        <v>88000</v>
      </c>
      <c r="F823" t="s">
        <v>5881</v>
      </c>
      <c r="G823" t="s">
        <v>5882</v>
      </c>
      <c r="H823" t="s">
        <v>124</v>
      </c>
      <c r="I823" t="s">
        <v>255</v>
      </c>
      <c r="J823" t="s">
        <v>256</v>
      </c>
      <c r="K823" t="s">
        <v>5883</v>
      </c>
      <c r="L823" t="s">
        <v>44</v>
      </c>
      <c r="M823" t="s">
        <v>261</v>
      </c>
      <c r="N823">
        <v>30010</v>
      </c>
      <c r="O823" t="s">
        <v>45</v>
      </c>
      <c r="P823" t="s">
        <v>81</v>
      </c>
      <c r="Q823" t="s">
        <v>52</v>
      </c>
      <c r="R823">
        <v>2003</v>
      </c>
      <c r="S823">
        <v>102</v>
      </c>
      <c r="T823">
        <v>0</v>
      </c>
      <c r="U823">
        <v>0</v>
      </c>
      <c r="V823" t="s">
        <v>5884</v>
      </c>
      <c r="W823" t="s">
        <v>5885</v>
      </c>
      <c r="X823" t="s">
        <v>86</v>
      </c>
      <c r="Y823" t="s">
        <v>5886</v>
      </c>
      <c r="Z823" t="b">
        <v>0</v>
      </c>
      <c r="AA823">
        <v>862.74509803921569</v>
      </c>
      <c r="AN823" t="e">
        <f>100*(1-E823/AL823)</f>
        <v>#DIV/0!</v>
      </c>
    </row>
    <row r="824" spans="1:40" x14ac:dyDescent="0.3">
      <c r="A824" t="s">
        <v>166</v>
      </c>
      <c r="B824" t="s">
        <v>5950</v>
      </c>
      <c r="C824" t="s">
        <v>5950</v>
      </c>
      <c r="D824" s="4">
        <v>46001</v>
      </c>
      <c r="E824">
        <v>138000</v>
      </c>
      <c r="F824" t="s">
        <v>718</v>
      </c>
      <c r="G824" t="s">
        <v>115</v>
      </c>
      <c r="H824" t="s">
        <v>67</v>
      </c>
      <c r="I824" t="s">
        <v>116</v>
      </c>
      <c r="J824" t="s">
        <v>67</v>
      </c>
      <c r="K824" t="s">
        <v>5951</v>
      </c>
      <c r="L824" t="s">
        <v>44</v>
      </c>
      <c r="M824" t="s">
        <v>5952</v>
      </c>
      <c r="N824">
        <v>10443</v>
      </c>
      <c r="O824" t="s">
        <v>45</v>
      </c>
      <c r="P824" t="s">
        <v>54</v>
      </c>
      <c r="Q824" t="s">
        <v>55</v>
      </c>
      <c r="R824">
        <v>2004</v>
      </c>
      <c r="S824">
        <v>72.27</v>
      </c>
      <c r="T824">
        <v>0</v>
      </c>
      <c r="U824">
        <v>0</v>
      </c>
      <c r="V824" t="s">
        <v>5953</v>
      </c>
      <c r="W824">
        <v>139765285</v>
      </c>
      <c r="X824" t="s">
        <v>86</v>
      </c>
      <c r="Y824" t="s">
        <v>5954</v>
      </c>
      <c r="Z824" t="b">
        <v>0</v>
      </c>
      <c r="AA824">
        <v>1909.5060190950601</v>
      </c>
      <c r="AN824" t="e">
        <f>100*(1-E824/AL824)</f>
        <v>#DIV/0!</v>
      </c>
    </row>
    <row r="825" spans="1:40" x14ac:dyDescent="0.3">
      <c r="A825" t="s">
        <v>215</v>
      </c>
      <c r="B825" t="s">
        <v>5955</v>
      </c>
      <c r="C825" t="s">
        <v>5955</v>
      </c>
      <c r="D825" s="4">
        <v>46001</v>
      </c>
      <c r="E825">
        <v>561000</v>
      </c>
      <c r="F825" t="s">
        <v>5956</v>
      </c>
      <c r="G825" t="s">
        <v>5957</v>
      </c>
      <c r="H825" t="s">
        <v>102</v>
      </c>
      <c r="I825" t="s">
        <v>273</v>
      </c>
      <c r="J825" t="s">
        <v>273</v>
      </c>
      <c r="K825" t="s">
        <v>5958</v>
      </c>
      <c r="L825" t="s">
        <v>44</v>
      </c>
      <c r="M825" t="s">
        <v>5959</v>
      </c>
      <c r="N825">
        <v>51032</v>
      </c>
      <c r="O825" t="s">
        <v>50</v>
      </c>
      <c r="P825" t="s">
        <v>2521</v>
      </c>
      <c r="Q825">
        <v>0</v>
      </c>
      <c r="R825">
        <v>2004</v>
      </c>
      <c r="S825">
        <v>1311.2</v>
      </c>
      <c r="T825">
        <v>0</v>
      </c>
      <c r="U825">
        <v>0</v>
      </c>
      <c r="V825" t="s">
        <v>5960</v>
      </c>
      <c r="W825">
        <v>99922228</v>
      </c>
      <c r="X825" t="s">
        <v>49</v>
      </c>
      <c r="Y825" t="s">
        <v>5961</v>
      </c>
      <c r="Z825" t="b">
        <v>0</v>
      </c>
      <c r="AA825">
        <v>427.85234899328862</v>
      </c>
      <c r="AN825" t="e">
        <f>100*(1-E825/AL825)</f>
        <v>#DIV/0!</v>
      </c>
    </row>
    <row r="826" spans="1:40" x14ac:dyDescent="0.3">
      <c r="A826" t="s">
        <v>166</v>
      </c>
      <c r="B826" t="s">
        <v>5962</v>
      </c>
      <c r="C826" t="s">
        <v>5962</v>
      </c>
      <c r="D826" s="4">
        <v>46001</v>
      </c>
      <c r="E826">
        <v>113000</v>
      </c>
      <c r="F826" t="s">
        <v>488</v>
      </c>
      <c r="G826" t="s">
        <v>5963</v>
      </c>
      <c r="H826" t="s">
        <v>67</v>
      </c>
      <c r="I826" t="s">
        <v>869</v>
      </c>
      <c r="J826" t="s">
        <v>67</v>
      </c>
      <c r="K826" t="s">
        <v>5964</v>
      </c>
      <c r="L826" t="s">
        <v>44</v>
      </c>
      <c r="M826" t="s">
        <v>5965</v>
      </c>
      <c r="N826">
        <v>19013</v>
      </c>
      <c r="O826" t="s">
        <v>45</v>
      </c>
      <c r="P826" t="s">
        <v>54</v>
      </c>
      <c r="Q826" t="s">
        <v>47</v>
      </c>
      <c r="R826">
        <v>2004</v>
      </c>
      <c r="S826">
        <v>66.38</v>
      </c>
      <c r="T826">
        <v>0</v>
      </c>
      <c r="U826">
        <v>0</v>
      </c>
      <c r="V826" t="s">
        <v>5966</v>
      </c>
      <c r="W826">
        <v>35061411</v>
      </c>
      <c r="X826" t="s">
        <v>86</v>
      </c>
      <c r="Y826" t="s">
        <v>5967</v>
      </c>
      <c r="Z826" t="b">
        <v>0</v>
      </c>
      <c r="AA826">
        <v>1702.319975896354</v>
      </c>
      <c r="AN826" t="e">
        <f>100*(1-E826/AL826)</f>
        <v>#DIV/0!</v>
      </c>
    </row>
    <row r="827" spans="1:40" x14ac:dyDescent="0.3">
      <c r="A827" t="s">
        <v>166</v>
      </c>
      <c r="B827" t="s">
        <v>5968</v>
      </c>
      <c r="C827" t="s">
        <v>5968</v>
      </c>
      <c r="D827" s="4">
        <v>46001</v>
      </c>
      <c r="E827">
        <v>61400</v>
      </c>
      <c r="F827" t="s">
        <v>5969</v>
      </c>
      <c r="G827" t="s">
        <v>425</v>
      </c>
      <c r="H827" t="s">
        <v>230</v>
      </c>
      <c r="I827" t="s">
        <v>426</v>
      </c>
      <c r="J827" t="s">
        <v>426</v>
      </c>
      <c r="K827" t="s">
        <v>5970</v>
      </c>
      <c r="L827" t="s">
        <v>44</v>
      </c>
      <c r="M827" t="s">
        <v>5971</v>
      </c>
      <c r="N827">
        <v>67100</v>
      </c>
      <c r="O827" t="s">
        <v>45</v>
      </c>
      <c r="P827" t="s">
        <v>54</v>
      </c>
      <c r="Q827" t="s">
        <v>291</v>
      </c>
      <c r="R827">
        <v>2004</v>
      </c>
      <c r="S827">
        <v>52</v>
      </c>
      <c r="T827">
        <v>0</v>
      </c>
      <c r="U827">
        <v>0</v>
      </c>
      <c r="V827" t="s">
        <v>5972</v>
      </c>
      <c r="W827">
        <v>114441563</v>
      </c>
      <c r="X827" t="s">
        <v>49</v>
      </c>
      <c r="Y827" t="s">
        <v>5973</v>
      </c>
      <c r="Z827" t="b">
        <v>0</v>
      </c>
      <c r="AA827">
        <v>1180.7692307692309</v>
      </c>
      <c r="AN827" t="e">
        <f>100*(1-E827/AL827)</f>
        <v>#DIV/0!</v>
      </c>
    </row>
    <row r="828" spans="1:40" x14ac:dyDescent="0.3">
      <c r="A828" t="s">
        <v>59</v>
      </c>
      <c r="B828" t="s">
        <v>5974</v>
      </c>
      <c r="C828" t="s">
        <v>5974</v>
      </c>
      <c r="D828" s="4">
        <v>46001</v>
      </c>
      <c r="E828">
        <v>46600</v>
      </c>
      <c r="F828" t="s">
        <v>312</v>
      </c>
      <c r="G828" t="s">
        <v>492</v>
      </c>
      <c r="H828" t="s">
        <v>62</v>
      </c>
      <c r="I828" t="s">
        <v>402</v>
      </c>
      <c r="J828" t="s">
        <v>108</v>
      </c>
      <c r="K828" t="s">
        <v>5975</v>
      </c>
      <c r="L828" t="s">
        <v>44</v>
      </c>
      <c r="M828" t="s">
        <v>5976</v>
      </c>
      <c r="N828">
        <v>59300</v>
      </c>
      <c r="O828" t="s">
        <v>45</v>
      </c>
      <c r="P828" t="s">
        <v>54</v>
      </c>
      <c r="Q828" t="s">
        <v>55</v>
      </c>
      <c r="R828">
        <v>2004</v>
      </c>
      <c r="S828">
        <v>85.2</v>
      </c>
      <c r="T828">
        <v>0</v>
      </c>
      <c r="U828">
        <v>0</v>
      </c>
      <c r="V828" t="s">
        <v>5977</v>
      </c>
      <c r="W828">
        <v>39771159</v>
      </c>
      <c r="X828" t="s">
        <v>49</v>
      </c>
      <c r="Y828" t="s">
        <v>5978</v>
      </c>
      <c r="Z828" t="b">
        <v>0</v>
      </c>
      <c r="AA828">
        <v>546.94835680751169</v>
      </c>
      <c r="AN828" t="e">
        <f>100*(1-E828/AL828)</f>
        <v>#DIV/0!</v>
      </c>
    </row>
    <row r="829" spans="1:40" x14ac:dyDescent="0.3">
      <c r="A829" t="s">
        <v>71</v>
      </c>
      <c r="B829" t="s">
        <v>5979</v>
      </c>
      <c r="C829" t="s">
        <v>5980</v>
      </c>
      <c r="D829" s="4">
        <v>46001</v>
      </c>
      <c r="E829">
        <v>5300</v>
      </c>
      <c r="F829" t="s">
        <v>243</v>
      </c>
      <c r="G829" t="s">
        <v>194</v>
      </c>
      <c r="H829" t="s">
        <v>67</v>
      </c>
      <c r="I829" t="s">
        <v>195</v>
      </c>
      <c r="J829" t="s">
        <v>67</v>
      </c>
      <c r="K829" t="s">
        <v>5981</v>
      </c>
      <c r="L829" t="s">
        <v>44</v>
      </c>
      <c r="M829" t="s">
        <v>5982</v>
      </c>
      <c r="N829">
        <v>18543</v>
      </c>
      <c r="O829" t="s">
        <v>45</v>
      </c>
      <c r="P829" t="s">
        <v>46</v>
      </c>
      <c r="Q829" t="s">
        <v>47</v>
      </c>
      <c r="R829">
        <v>2004</v>
      </c>
      <c r="S829">
        <v>8.58</v>
      </c>
      <c r="T829">
        <v>0</v>
      </c>
      <c r="U829">
        <v>0</v>
      </c>
      <c r="V829" t="s">
        <v>5983</v>
      </c>
      <c r="W829" t="s">
        <v>5984</v>
      </c>
      <c r="X829" t="s">
        <v>49</v>
      </c>
      <c r="Y829" t="s">
        <v>5985</v>
      </c>
      <c r="Z829" t="b">
        <v>0</v>
      </c>
      <c r="AA829">
        <v>617.71561771561767</v>
      </c>
      <c r="AN829" t="e">
        <f>100*(1-E829/AL829)</f>
        <v>#DIV/0!</v>
      </c>
    </row>
    <row r="830" spans="1:40" x14ac:dyDescent="0.3">
      <c r="A830" t="s">
        <v>71</v>
      </c>
      <c r="B830" t="s">
        <v>5986</v>
      </c>
      <c r="C830" t="s">
        <v>5980</v>
      </c>
      <c r="D830" s="4">
        <v>46001</v>
      </c>
      <c r="E830">
        <v>145000</v>
      </c>
      <c r="F830" t="s">
        <v>5987</v>
      </c>
      <c r="G830" t="s">
        <v>194</v>
      </c>
      <c r="H830" t="s">
        <v>67</v>
      </c>
      <c r="I830" t="s">
        <v>195</v>
      </c>
      <c r="J830" t="s">
        <v>67</v>
      </c>
      <c r="K830" t="s">
        <v>5981</v>
      </c>
      <c r="L830" t="s">
        <v>44</v>
      </c>
      <c r="M830" t="s">
        <v>5982</v>
      </c>
      <c r="N830">
        <v>18543</v>
      </c>
      <c r="O830" t="s">
        <v>45</v>
      </c>
      <c r="P830" t="s">
        <v>54</v>
      </c>
      <c r="Q830" t="s">
        <v>85</v>
      </c>
      <c r="R830">
        <v>2004</v>
      </c>
      <c r="S830">
        <v>70.08</v>
      </c>
      <c r="T830">
        <v>0</v>
      </c>
      <c r="U830">
        <v>0</v>
      </c>
      <c r="V830" t="s">
        <v>5983</v>
      </c>
      <c r="W830" t="s">
        <v>5984</v>
      </c>
      <c r="X830" t="s">
        <v>49</v>
      </c>
      <c r="Y830" t="s">
        <v>5988</v>
      </c>
      <c r="Z830" t="b">
        <v>0</v>
      </c>
      <c r="AA830">
        <v>2069.0639269406388</v>
      </c>
      <c r="AN830" t="e">
        <f>100*(1-E830/AL830)</f>
        <v>#DIV/0!</v>
      </c>
    </row>
    <row r="831" spans="1:40" x14ac:dyDescent="0.3">
      <c r="A831" t="s">
        <v>71</v>
      </c>
      <c r="B831" t="s">
        <v>5989</v>
      </c>
      <c r="C831" t="s">
        <v>2205</v>
      </c>
      <c r="D831" s="4">
        <v>46001</v>
      </c>
      <c r="E831">
        <v>22552</v>
      </c>
      <c r="F831" t="s">
        <v>5990</v>
      </c>
      <c r="G831" t="s">
        <v>143</v>
      </c>
      <c r="H831" t="s">
        <v>41</v>
      </c>
      <c r="I831" t="s">
        <v>144</v>
      </c>
      <c r="J831" t="s">
        <v>145</v>
      </c>
      <c r="K831" t="s">
        <v>2206</v>
      </c>
      <c r="L831" t="s">
        <v>44</v>
      </c>
      <c r="M831" t="s">
        <v>2207</v>
      </c>
      <c r="N831">
        <v>45333</v>
      </c>
      <c r="O831" t="s">
        <v>45</v>
      </c>
      <c r="P831" t="s">
        <v>46</v>
      </c>
      <c r="Q831" t="s">
        <v>47</v>
      </c>
      <c r="R831">
        <v>2004</v>
      </c>
      <c r="S831">
        <v>78.5</v>
      </c>
      <c r="T831">
        <v>0</v>
      </c>
      <c r="U831">
        <v>0</v>
      </c>
      <c r="V831" t="s">
        <v>2208</v>
      </c>
      <c r="W831">
        <v>114471309</v>
      </c>
      <c r="X831" t="s">
        <v>49</v>
      </c>
      <c r="Y831" t="s">
        <v>5991</v>
      </c>
      <c r="Z831" t="b">
        <v>0</v>
      </c>
      <c r="AA831">
        <v>287.28662420382159</v>
      </c>
      <c r="AN831" t="e">
        <f>100*(1-E831/AL831)</f>
        <v>#DIV/0!</v>
      </c>
    </row>
    <row r="832" spans="1:40" x14ac:dyDescent="0.3">
      <c r="A832" t="s">
        <v>139</v>
      </c>
      <c r="B832" t="s">
        <v>6085</v>
      </c>
      <c r="C832" t="s">
        <v>6085</v>
      </c>
      <c r="D832" s="4">
        <v>46001</v>
      </c>
      <c r="E832">
        <v>5000</v>
      </c>
      <c r="F832" t="s">
        <v>302</v>
      </c>
      <c r="G832" t="s">
        <v>254</v>
      </c>
      <c r="H832" t="s">
        <v>124</v>
      </c>
      <c r="I832" t="s">
        <v>255</v>
      </c>
      <c r="J832" t="s">
        <v>256</v>
      </c>
      <c r="K832" t="s">
        <v>6086</v>
      </c>
      <c r="L832" t="s">
        <v>44</v>
      </c>
      <c r="M832" t="s">
        <v>6087</v>
      </c>
      <c r="N832">
        <v>30131</v>
      </c>
      <c r="O832" t="s">
        <v>45</v>
      </c>
      <c r="P832" t="s">
        <v>46</v>
      </c>
      <c r="Q832" t="s">
        <v>47</v>
      </c>
      <c r="R832">
        <v>2005</v>
      </c>
      <c r="S832">
        <v>11.62</v>
      </c>
      <c r="T832">
        <v>0</v>
      </c>
      <c r="U832">
        <v>0</v>
      </c>
      <c r="V832" t="s">
        <v>6088</v>
      </c>
      <c r="W832">
        <v>102380297</v>
      </c>
      <c r="X832" t="s">
        <v>86</v>
      </c>
      <c r="Y832" t="s">
        <v>6089</v>
      </c>
      <c r="Z832" t="b">
        <v>0</v>
      </c>
      <c r="AA832">
        <v>430.29259896729781</v>
      </c>
      <c r="AN832" t="e">
        <f>100*(1-E832/AL832)</f>
        <v>#DIV/0!</v>
      </c>
    </row>
    <row r="833" spans="1:40" x14ac:dyDescent="0.3">
      <c r="A833" t="s">
        <v>39</v>
      </c>
      <c r="B833" t="s">
        <v>6090</v>
      </c>
      <c r="C833" t="s">
        <v>6090</v>
      </c>
      <c r="D833" s="4">
        <v>46001</v>
      </c>
      <c r="E833">
        <v>36000</v>
      </c>
      <c r="F833" t="s">
        <v>1251</v>
      </c>
      <c r="G833" t="s">
        <v>406</v>
      </c>
      <c r="H833" t="s">
        <v>124</v>
      </c>
      <c r="I833" t="s">
        <v>364</v>
      </c>
      <c r="J833" t="s">
        <v>256</v>
      </c>
      <c r="K833" t="s">
        <v>6091</v>
      </c>
      <c r="L833" t="s">
        <v>44</v>
      </c>
      <c r="M833" t="s">
        <v>6092</v>
      </c>
      <c r="N833">
        <v>30200</v>
      </c>
      <c r="O833" t="s">
        <v>45</v>
      </c>
      <c r="P833" t="s">
        <v>54</v>
      </c>
      <c r="Q833" t="s">
        <v>55</v>
      </c>
      <c r="R833">
        <v>2005</v>
      </c>
      <c r="S833">
        <v>42.76</v>
      </c>
      <c r="T833">
        <v>0</v>
      </c>
      <c r="U833">
        <v>0</v>
      </c>
      <c r="V833" t="s">
        <v>6093</v>
      </c>
      <c r="W833">
        <v>40123368</v>
      </c>
      <c r="X833" t="s">
        <v>86</v>
      </c>
      <c r="Y833" t="s">
        <v>6094</v>
      </c>
      <c r="Z833" t="b">
        <v>0</v>
      </c>
      <c r="AA833">
        <v>841.90832553788596</v>
      </c>
      <c r="AN833" t="e">
        <f>100*(1-E833/AL833)</f>
        <v>#DIV/0!</v>
      </c>
    </row>
    <row r="834" spans="1:40" x14ac:dyDescent="0.3">
      <c r="A834" t="s">
        <v>215</v>
      </c>
      <c r="B834" t="s">
        <v>6095</v>
      </c>
      <c r="C834" t="s">
        <v>6096</v>
      </c>
      <c r="D834" s="4">
        <v>46001</v>
      </c>
      <c r="E834">
        <v>99000</v>
      </c>
      <c r="F834" t="s">
        <v>461</v>
      </c>
      <c r="G834" t="s">
        <v>141</v>
      </c>
      <c r="H834" t="s">
        <v>67</v>
      </c>
      <c r="I834" t="s">
        <v>142</v>
      </c>
      <c r="J834" t="s">
        <v>67</v>
      </c>
      <c r="K834" t="s">
        <v>6097</v>
      </c>
      <c r="L834" t="s">
        <v>44</v>
      </c>
      <c r="M834" t="s">
        <v>6098</v>
      </c>
      <c r="N834">
        <v>13671</v>
      </c>
      <c r="O834" t="s">
        <v>45</v>
      </c>
      <c r="P834" t="s">
        <v>54</v>
      </c>
      <c r="Q834" t="s">
        <v>100</v>
      </c>
      <c r="R834">
        <v>2005</v>
      </c>
      <c r="S834">
        <v>94.85</v>
      </c>
      <c r="T834">
        <v>0</v>
      </c>
      <c r="U834">
        <v>0</v>
      </c>
      <c r="V834" t="s">
        <v>6099</v>
      </c>
      <c r="W834">
        <v>30103012</v>
      </c>
      <c r="X834" t="s">
        <v>49</v>
      </c>
      <c r="Y834" t="s">
        <v>6100</v>
      </c>
      <c r="Z834" t="b">
        <v>0</v>
      </c>
      <c r="AA834">
        <v>1043.753294675804</v>
      </c>
      <c r="AN834" t="e">
        <f>100*(1-E834/AL834)</f>
        <v>#DIV/0!</v>
      </c>
    </row>
    <row r="835" spans="1:40" x14ac:dyDescent="0.3">
      <c r="A835" t="s">
        <v>215</v>
      </c>
      <c r="B835" t="s">
        <v>6101</v>
      </c>
      <c r="C835" t="s">
        <v>6096</v>
      </c>
      <c r="D835" s="4">
        <v>46001</v>
      </c>
      <c r="E835">
        <v>96000</v>
      </c>
      <c r="F835" t="s">
        <v>461</v>
      </c>
      <c r="G835" t="s">
        <v>141</v>
      </c>
      <c r="H835" t="s">
        <v>67</v>
      </c>
      <c r="I835" t="s">
        <v>142</v>
      </c>
      <c r="J835" t="s">
        <v>67</v>
      </c>
      <c r="K835" t="s">
        <v>6097</v>
      </c>
      <c r="L835" t="s">
        <v>44</v>
      </c>
      <c r="M835" t="s">
        <v>6098</v>
      </c>
      <c r="N835">
        <v>13671</v>
      </c>
      <c r="O835" t="s">
        <v>45</v>
      </c>
      <c r="P835" t="s">
        <v>54</v>
      </c>
      <c r="Q835" t="s">
        <v>85</v>
      </c>
      <c r="R835">
        <v>2005</v>
      </c>
      <c r="S835">
        <v>94.85</v>
      </c>
      <c r="T835">
        <v>0</v>
      </c>
      <c r="U835">
        <v>0</v>
      </c>
      <c r="V835" t="s">
        <v>6099</v>
      </c>
      <c r="W835">
        <v>30103012</v>
      </c>
      <c r="X835" t="s">
        <v>49</v>
      </c>
      <c r="Y835" t="s">
        <v>6102</v>
      </c>
      <c r="Z835" t="b">
        <v>0</v>
      </c>
      <c r="AA835">
        <v>1012.1244069583551</v>
      </c>
      <c r="AN835" t="e">
        <f>100*(1-E835/AL835)</f>
        <v>#DIV/0!</v>
      </c>
    </row>
    <row r="836" spans="1:40" x14ac:dyDescent="0.3">
      <c r="A836" t="s">
        <v>166</v>
      </c>
      <c r="B836" t="s">
        <v>6103</v>
      </c>
      <c r="C836" t="s">
        <v>6103</v>
      </c>
      <c r="D836" s="4">
        <v>46001</v>
      </c>
      <c r="E836">
        <v>99000</v>
      </c>
      <c r="F836" t="s">
        <v>303</v>
      </c>
      <c r="G836" t="s">
        <v>404</v>
      </c>
      <c r="H836" t="s">
        <v>124</v>
      </c>
      <c r="I836" t="s">
        <v>405</v>
      </c>
      <c r="J836" t="s">
        <v>126</v>
      </c>
      <c r="K836" t="s">
        <v>6104</v>
      </c>
      <c r="L836" t="s">
        <v>44</v>
      </c>
      <c r="M836" t="s">
        <v>6105</v>
      </c>
      <c r="N836">
        <v>26334</v>
      </c>
      <c r="O836" t="s">
        <v>45</v>
      </c>
      <c r="P836" t="s">
        <v>54</v>
      </c>
      <c r="Q836" t="s">
        <v>100</v>
      </c>
      <c r="R836">
        <v>2005</v>
      </c>
      <c r="S836">
        <v>74.05</v>
      </c>
      <c r="T836">
        <v>0</v>
      </c>
      <c r="U836">
        <v>0</v>
      </c>
      <c r="V836" t="s">
        <v>6106</v>
      </c>
      <c r="W836" t="s">
        <v>6107</v>
      </c>
      <c r="X836" t="s">
        <v>49</v>
      </c>
      <c r="Y836" t="s">
        <v>6108</v>
      </c>
      <c r="Z836" t="b">
        <v>0</v>
      </c>
      <c r="AA836">
        <v>1336.934503713707</v>
      </c>
      <c r="AN836" t="e">
        <f>100*(1-E836/AL836)</f>
        <v>#DIV/0!</v>
      </c>
    </row>
    <row r="837" spans="1:40" x14ac:dyDescent="0.3">
      <c r="A837" t="s">
        <v>215</v>
      </c>
      <c r="B837" t="s">
        <v>6109</v>
      </c>
      <c r="C837" t="s">
        <v>6109</v>
      </c>
      <c r="D837" s="4">
        <v>46001</v>
      </c>
      <c r="E837">
        <v>100000</v>
      </c>
      <c r="F837" t="s">
        <v>6110</v>
      </c>
      <c r="G837" t="s">
        <v>4739</v>
      </c>
      <c r="H837" t="s">
        <v>94</v>
      </c>
      <c r="I837" t="s">
        <v>4740</v>
      </c>
      <c r="J837" t="s">
        <v>96</v>
      </c>
      <c r="K837" t="s">
        <v>6111</v>
      </c>
      <c r="L837" t="s">
        <v>44</v>
      </c>
      <c r="M837" t="s">
        <v>6112</v>
      </c>
      <c r="N837">
        <v>70008</v>
      </c>
      <c r="O837" t="s">
        <v>50</v>
      </c>
      <c r="P837" t="s">
        <v>186</v>
      </c>
      <c r="Q837">
        <v>0</v>
      </c>
      <c r="R837">
        <v>2005</v>
      </c>
      <c r="S837">
        <v>250</v>
      </c>
      <c r="T837">
        <v>0</v>
      </c>
      <c r="U837">
        <v>0</v>
      </c>
      <c r="V837" t="s">
        <v>6113</v>
      </c>
      <c r="W837">
        <v>999485183</v>
      </c>
      <c r="X837" t="s">
        <v>49</v>
      </c>
      <c r="Y837">
        <v>0</v>
      </c>
      <c r="Z837" t="b">
        <v>0</v>
      </c>
      <c r="AA837">
        <v>400</v>
      </c>
      <c r="AN837" t="e">
        <f>100*(1-E837/AL837)</f>
        <v>#DIV/0!</v>
      </c>
    </row>
    <row r="838" spans="1:40" x14ac:dyDescent="0.3">
      <c r="A838" t="s">
        <v>71</v>
      </c>
      <c r="B838" t="s">
        <v>6114</v>
      </c>
      <c r="C838" t="s">
        <v>6114</v>
      </c>
      <c r="D838" s="4">
        <v>46001</v>
      </c>
      <c r="E838">
        <v>55000</v>
      </c>
      <c r="F838" t="s">
        <v>496</v>
      </c>
      <c r="G838" t="s">
        <v>276</v>
      </c>
      <c r="H838" t="s">
        <v>152</v>
      </c>
      <c r="I838" t="s">
        <v>277</v>
      </c>
      <c r="J838" t="s">
        <v>221</v>
      </c>
      <c r="K838" t="s">
        <v>6115</v>
      </c>
      <c r="L838" t="s">
        <v>44</v>
      </c>
      <c r="M838" t="s">
        <v>6116</v>
      </c>
      <c r="N838">
        <v>20100</v>
      </c>
      <c r="O838" t="s">
        <v>45</v>
      </c>
      <c r="P838" t="s">
        <v>54</v>
      </c>
      <c r="Q838" t="s">
        <v>85</v>
      </c>
      <c r="R838">
        <v>2005</v>
      </c>
      <c r="S838">
        <v>51.18</v>
      </c>
      <c r="T838">
        <v>0</v>
      </c>
      <c r="U838">
        <v>0</v>
      </c>
      <c r="V838" t="s">
        <v>6117</v>
      </c>
      <c r="W838">
        <v>32301050</v>
      </c>
      <c r="X838" t="s">
        <v>49</v>
      </c>
      <c r="Y838" t="s">
        <v>6118</v>
      </c>
      <c r="Z838" t="b">
        <v>0</v>
      </c>
      <c r="AA838">
        <v>1074.6385306760451</v>
      </c>
      <c r="AN838" t="e">
        <f>100*(1-E838/AL838)</f>
        <v>#DIV/0!</v>
      </c>
    </row>
    <row r="839" spans="1:40" x14ac:dyDescent="0.3">
      <c r="A839" t="s">
        <v>215</v>
      </c>
      <c r="B839" t="s">
        <v>6213</v>
      </c>
      <c r="C839" t="s">
        <v>6213</v>
      </c>
      <c r="D839" s="4">
        <v>46001</v>
      </c>
      <c r="E839">
        <v>142000</v>
      </c>
      <c r="F839" t="s">
        <v>6214</v>
      </c>
      <c r="G839" t="s">
        <v>300</v>
      </c>
      <c r="H839" t="s">
        <v>67</v>
      </c>
      <c r="I839" t="s">
        <v>301</v>
      </c>
      <c r="J839" t="s">
        <v>67</v>
      </c>
      <c r="K839" t="s">
        <v>6215</v>
      </c>
      <c r="L839" t="s">
        <v>44</v>
      </c>
      <c r="M839" t="s">
        <v>6216</v>
      </c>
      <c r="N839">
        <v>18453</v>
      </c>
      <c r="O839" t="s">
        <v>45</v>
      </c>
      <c r="P839" t="s">
        <v>54</v>
      </c>
      <c r="Q839" t="s">
        <v>100</v>
      </c>
      <c r="R839">
        <v>2006</v>
      </c>
      <c r="S839">
        <v>98.47</v>
      </c>
      <c r="T839">
        <v>0</v>
      </c>
      <c r="U839">
        <v>0</v>
      </c>
      <c r="V839" t="s">
        <v>6217</v>
      </c>
      <c r="W839" t="s">
        <v>6218</v>
      </c>
      <c r="X839" t="s">
        <v>49</v>
      </c>
      <c r="Y839" t="s">
        <v>6219</v>
      </c>
      <c r="Z839" t="b">
        <v>0</v>
      </c>
      <c r="AA839">
        <v>1442.063572661724</v>
      </c>
      <c r="AN839" t="e">
        <f>100*(1-E839/AL839)</f>
        <v>#DIV/0!</v>
      </c>
    </row>
    <row r="840" spans="1:40" x14ac:dyDescent="0.3">
      <c r="A840" t="s">
        <v>215</v>
      </c>
      <c r="B840" t="s">
        <v>6220</v>
      </c>
      <c r="C840" t="s">
        <v>6220</v>
      </c>
      <c r="D840" s="4">
        <v>46001</v>
      </c>
      <c r="E840">
        <v>128000</v>
      </c>
      <c r="F840" t="s">
        <v>397</v>
      </c>
      <c r="G840" t="s">
        <v>4179</v>
      </c>
      <c r="H840" t="s">
        <v>94</v>
      </c>
      <c r="I840" t="s">
        <v>2027</v>
      </c>
      <c r="J840" t="s">
        <v>96</v>
      </c>
      <c r="K840" t="s">
        <v>6221</v>
      </c>
      <c r="L840" t="s">
        <v>44</v>
      </c>
      <c r="M840" t="s">
        <v>6222</v>
      </c>
      <c r="N840">
        <v>71307</v>
      </c>
      <c r="O840" t="s">
        <v>45</v>
      </c>
      <c r="P840" t="s">
        <v>54</v>
      </c>
      <c r="Q840" t="s">
        <v>85</v>
      </c>
      <c r="R840">
        <v>2006</v>
      </c>
      <c r="S840">
        <v>89</v>
      </c>
      <c r="T840">
        <v>0</v>
      </c>
      <c r="U840">
        <v>0</v>
      </c>
      <c r="V840" t="s">
        <v>6223</v>
      </c>
      <c r="W840">
        <v>62425204</v>
      </c>
      <c r="X840" t="s">
        <v>49</v>
      </c>
      <c r="Y840" t="s">
        <v>6224</v>
      </c>
      <c r="Z840" t="b">
        <v>0</v>
      </c>
      <c r="AA840">
        <v>1438.2022471910111</v>
      </c>
      <c r="AN840" t="e">
        <f>100*(1-E840/AL840)</f>
        <v>#DIV/0!</v>
      </c>
    </row>
    <row r="841" spans="1:40" x14ac:dyDescent="0.3">
      <c r="A841" t="s">
        <v>71</v>
      </c>
      <c r="B841" t="s">
        <v>6225</v>
      </c>
      <c r="C841" t="s">
        <v>6225</v>
      </c>
      <c r="D841" s="4">
        <v>46001</v>
      </c>
      <c r="E841">
        <v>237300</v>
      </c>
      <c r="F841" t="s">
        <v>6226</v>
      </c>
      <c r="G841" t="s">
        <v>600</v>
      </c>
      <c r="H841" t="s">
        <v>152</v>
      </c>
      <c r="I841" t="s">
        <v>601</v>
      </c>
      <c r="J841" t="s">
        <v>221</v>
      </c>
      <c r="K841" t="s">
        <v>6227</v>
      </c>
      <c r="L841" t="s">
        <v>44</v>
      </c>
      <c r="M841" t="s">
        <v>6228</v>
      </c>
      <c r="N841">
        <v>20200</v>
      </c>
      <c r="O841" t="s">
        <v>45</v>
      </c>
      <c r="P841" t="s">
        <v>81</v>
      </c>
      <c r="Q841" t="s">
        <v>55</v>
      </c>
      <c r="R841">
        <v>2006</v>
      </c>
      <c r="S841">
        <v>155.79</v>
      </c>
      <c r="T841">
        <v>0</v>
      </c>
      <c r="U841">
        <v>0</v>
      </c>
      <c r="V841" t="s">
        <v>6229</v>
      </c>
      <c r="W841">
        <v>27128911</v>
      </c>
      <c r="X841" t="s">
        <v>49</v>
      </c>
      <c r="Y841" t="s">
        <v>6230</v>
      </c>
      <c r="Z841" t="b">
        <v>0</v>
      </c>
      <c r="AA841">
        <v>1523.204313498941</v>
      </c>
      <c r="AN841" t="e">
        <f>100*(1-E841/AL841)</f>
        <v>#DIV/0!</v>
      </c>
    </row>
    <row r="842" spans="1:40" x14ac:dyDescent="0.3">
      <c r="A842" t="s">
        <v>71</v>
      </c>
      <c r="B842" t="s">
        <v>6231</v>
      </c>
      <c r="C842" t="s">
        <v>6232</v>
      </c>
      <c r="D842" s="4">
        <v>46001</v>
      </c>
      <c r="E842">
        <v>132000</v>
      </c>
      <c r="F842" t="s">
        <v>6233</v>
      </c>
      <c r="G842" t="s">
        <v>479</v>
      </c>
      <c r="H842" t="s">
        <v>124</v>
      </c>
      <c r="I842" t="s">
        <v>480</v>
      </c>
      <c r="J842" t="s">
        <v>325</v>
      </c>
      <c r="K842" t="s">
        <v>6234</v>
      </c>
      <c r="L842" t="s">
        <v>44</v>
      </c>
      <c r="M842" t="s">
        <v>6235</v>
      </c>
      <c r="N842">
        <v>27100</v>
      </c>
      <c r="O842" t="s">
        <v>45</v>
      </c>
      <c r="P842" t="s">
        <v>81</v>
      </c>
      <c r="Q842" t="s">
        <v>55</v>
      </c>
      <c r="R842">
        <v>2006</v>
      </c>
      <c r="S842">
        <v>304.36</v>
      </c>
      <c r="T842" t="s">
        <v>48</v>
      </c>
      <c r="U842">
        <v>50</v>
      </c>
      <c r="V842" t="s">
        <v>6236</v>
      </c>
      <c r="W842">
        <v>45231504</v>
      </c>
      <c r="X842" t="s">
        <v>49</v>
      </c>
      <c r="Y842" t="s">
        <v>6237</v>
      </c>
      <c r="Z842" t="b">
        <v>0</v>
      </c>
      <c r="AA842">
        <v>433.69693783677218</v>
      </c>
      <c r="AN842" t="e">
        <f>100*(1-E842/AL842)</f>
        <v>#DIV/0!</v>
      </c>
    </row>
    <row r="843" spans="1:40" x14ac:dyDescent="0.3">
      <c r="A843" t="s">
        <v>71</v>
      </c>
      <c r="B843" t="s">
        <v>6238</v>
      </c>
      <c r="C843" t="s">
        <v>6232</v>
      </c>
      <c r="D843" s="4">
        <v>46001</v>
      </c>
      <c r="E843">
        <v>132000</v>
      </c>
      <c r="F843" t="s">
        <v>6233</v>
      </c>
      <c r="G843" t="s">
        <v>479</v>
      </c>
      <c r="H843" t="s">
        <v>124</v>
      </c>
      <c r="I843" t="s">
        <v>480</v>
      </c>
      <c r="J843" t="s">
        <v>325</v>
      </c>
      <c r="K843" t="s">
        <v>6234</v>
      </c>
      <c r="L843" t="s">
        <v>44</v>
      </c>
      <c r="M843" t="s">
        <v>6235</v>
      </c>
      <c r="N843">
        <v>27100</v>
      </c>
      <c r="O843" t="s">
        <v>45</v>
      </c>
      <c r="P843" t="s">
        <v>81</v>
      </c>
      <c r="Q843" t="s">
        <v>55</v>
      </c>
      <c r="R843">
        <v>2006</v>
      </c>
      <c r="S843">
        <v>304.36</v>
      </c>
      <c r="T843" t="s">
        <v>48</v>
      </c>
      <c r="U843">
        <v>50</v>
      </c>
      <c r="V843" t="s">
        <v>6239</v>
      </c>
      <c r="W843">
        <v>42702233</v>
      </c>
      <c r="X843" t="s">
        <v>49</v>
      </c>
      <c r="Y843" t="s">
        <v>6237</v>
      </c>
      <c r="Z843" t="b">
        <v>0</v>
      </c>
      <c r="AA843">
        <v>433.69693783677218</v>
      </c>
      <c r="AN843" t="e">
        <f>100*(1-E843/AL843)</f>
        <v>#DIV/0!</v>
      </c>
    </row>
    <row r="844" spans="1:40" x14ac:dyDescent="0.3">
      <c r="A844" t="s">
        <v>215</v>
      </c>
      <c r="B844" t="s">
        <v>6240</v>
      </c>
      <c r="C844" t="s">
        <v>5630</v>
      </c>
      <c r="D844" s="4">
        <v>46001</v>
      </c>
      <c r="E844">
        <v>165000</v>
      </c>
      <c r="F844" t="s">
        <v>6241</v>
      </c>
      <c r="G844" t="s">
        <v>5632</v>
      </c>
      <c r="H844" t="s">
        <v>67</v>
      </c>
      <c r="I844" t="s">
        <v>266</v>
      </c>
      <c r="J844" t="s">
        <v>67</v>
      </c>
      <c r="K844" t="s">
        <v>5633</v>
      </c>
      <c r="L844" t="s">
        <v>44</v>
      </c>
      <c r="M844" t="s">
        <v>6242</v>
      </c>
      <c r="N844">
        <v>18902</v>
      </c>
      <c r="O844" t="s">
        <v>45</v>
      </c>
      <c r="P844" t="s">
        <v>81</v>
      </c>
      <c r="Q844" t="s">
        <v>52</v>
      </c>
      <c r="R844">
        <v>2006</v>
      </c>
      <c r="S844">
        <v>85.8</v>
      </c>
      <c r="T844">
        <v>0</v>
      </c>
      <c r="U844">
        <v>0</v>
      </c>
      <c r="V844" t="s">
        <v>5635</v>
      </c>
      <c r="W844" t="s">
        <v>5636</v>
      </c>
      <c r="X844" t="s">
        <v>49</v>
      </c>
      <c r="Y844" t="s">
        <v>6243</v>
      </c>
      <c r="Z844" t="b">
        <v>0</v>
      </c>
      <c r="AA844">
        <v>1923.0769230769231</v>
      </c>
      <c r="AN844" t="e">
        <f>100*(1-E844/AL844)</f>
        <v>#DIV/0!</v>
      </c>
    </row>
    <row r="845" spans="1:40" x14ac:dyDescent="0.3">
      <c r="A845" t="s">
        <v>166</v>
      </c>
      <c r="B845" t="s">
        <v>6376</v>
      </c>
      <c r="C845" t="s">
        <v>6376</v>
      </c>
      <c r="D845" s="4">
        <v>46001</v>
      </c>
      <c r="E845">
        <v>46711</v>
      </c>
      <c r="F845" t="s">
        <v>6377</v>
      </c>
      <c r="G845" t="s">
        <v>238</v>
      </c>
      <c r="H845" t="s">
        <v>62</v>
      </c>
      <c r="I845" t="s">
        <v>238</v>
      </c>
      <c r="J845" t="s">
        <v>238</v>
      </c>
      <c r="K845" t="s">
        <v>6378</v>
      </c>
      <c r="L845" t="s">
        <v>44</v>
      </c>
      <c r="M845" t="s">
        <v>6379</v>
      </c>
      <c r="N845">
        <v>61100</v>
      </c>
      <c r="O845" t="s">
        <v>45</v>
      </c>
      <c r="P845" t="s">
        <v>54</v>
      </c>
      <c r="Q845" t="s">
        <v>85</v>
      </c>
      <c r="R845">
        <v>2007</v>
      </c>
      <c r="S845">
        <v>39.36</v>
      </c>
      <c r="T845">
        <v>0</v>
      </c>
      <c r="U845">
        <v>0</v>
      </c>
      <c r="V845" t="s">
        <v>6380</v>
      </c>
      <c r="W845">
        <v>28527563</v>
      </c>
      <c r="X845" t="s">
        <v>86</v>
      </c>
      <c r="Y845" t="s">
        <v>6381</v>
      </c>
      <c r="Z845" t="b">
        <v>0</v>
      </c>
      <c r="AA845">
        <v>1186.7632113821139</v>
      </c>
      <c r="AN845" t="e">
        <f>100*(1-E845/AL845)</f>
        <v>#DIV/0!</v>
      </c>
    </row>
    <row r="846" spans="1:40" x14ac:dyDescent="0.3">
      <c r="A846" t="s">
        <v>166</v>
      </c>
      <c r="B846" t="s">
        <v>6376</v>
      </c>
      <c r="C846" t="s">
        <v>6376</v>
      </c>
      <c r="D846" s="4">
        <v>46001</v>
      </c>
      <c r="E846">
        <v>46711</v>
      </c>
      <c r="F846" t="s">
        <v>6377</v>
      </c>
      <c r="G846" t="s">
        <v>238</v>
      </c>
      <c r="H846" t="s">
        <v>62</v>
      </c>
      <c r="I846" t="s">
        <v>238</v>
      </c>
      <c r="J846" t="s">
        <v>238</v>
      </c>
      <c r="K846" t="s">
        <v>6378</v>
      </c>
      <c r="L846" t="s">
        <v>44</v>
      </c>
      <c r="M846" t="s">
        <v>6379</v>
      </c>
      <c r="N846">
        <v>61100</v>
      </c>
      <c r="O846" t="s">
        <v>45</v>
      </c>
      <c r="P846" t="s">
        <v>54</v>
      </c>
      <c r="Q846" t="s">
        <v>85</v>
      </c>
      <c r="R846">
        <v>2007</v>
      </c>
      <c r="S846">
        <v>39.36</v>
      </c>
      <c r="T846">
        <v>0</v>
      </c>
      <c r="U846">
        <v>0</v>
      </c>
      <c r="V846" t="s">
        <v>6380</v>
      </c>
      <c r="W846">
        <v>28527563</v>
      </c>
      <c r="X846" t="s">
        <v>86</v>
      </c>
      <c r="Y846" t="s">
        <v>6381</v>
      </c>
      <c r="Z846" t="b">
        <v>0</v>
      </c>
      <c r="AA846">
        <v>1186.7632113821139</v>
      </c>
      <c r="AN846" t="e">
        <f>100*(1-E846/AL846)</f>
        <v>#DIV/0!</v>
      </c>
    </row>
    <row r="847" spans="1:40" x14ac:dyDescent="0.3">
      <c r="A847" t="s">
        <v>39</v>
      </c>
      <c r="B847" t="s">
        <v>6382</v>
      </c>
      <c r="C847" t="s">
        <v>6382</v>
      </c>
      <c r="D847" s="4">
        <v>46001</v>
      </c>
      <c r="E847">
        <v>150000</v>
      </c>
      <c r="F847" t="s">
        <v>6383</v>
      </c>
      <c r="G847" t="s">
        <v>2007</v>
      </c>
      <c r="H847" t="s">
        <v>62</v>
      </c>
      <c r="I847" t="s">
        <v>2008</v>
      </c>
      <c r="J847" t="s">
        <v>88</v>
      </c>
      <c r="K847" t="s">
        <v>6384</v>
      </c>
      <c r="L847" t="s">
        <v>44</v>
      </c>
      <c r="M847" t="s">
        <v>6385</v>
      </c>
      <c r="N847">
        <v>58500</v>
      </c>
      <c r="O847" t="s">
        <v>50</v>
      </c>
      <c r="P847" t="s">
        <v>289</v>
      </c>
      <c r="Q847">
        <v>0</v>
      </c>
      <c r="R847">
        <v>2007</v>
      </c>
      <c r="S847">
        <v>600</v>
      </c>
      <c r="T847">
        <v>0</v>
      </c>
      <c r="U847">
        <v>0</v>
      </c>
      <c r="V847" t="s">
        <v>6386</v>
      </c>
      <c r="W847">
        <v>22979396</v>
      </c>
      <c r="X847" t="s">
        <v>49</v>
      </c>
      <c r="Y847" t="s">
        <v>6387</v>
      </c>
      <c r="Z847" t="b">
        <v>0</v>
      </c>
      <c r="AA847">
        <v>250</v>
      </c>
      <c r="AN847" t="e">
        <f>100*(1-E847/AL847)</f>
        <v>#DIV/0!</v>
      </c>
    </row>
    <row r="848" spans="1:40" x14ac:dyDescent="0.3">
      <c r="A848" t="s">
        <v>150</v>
      </c>
      <c r="B848" t="s">
        <v>6388</v>
      </c>
      <c r="C848" t="s">
        <v>6388</v>
      </c>
      <c r="D848" s="4">
        <v>46001</v>
      </c>
      <c r="E848">
        <v>184000</v>
      </c>
      <c r="F848" t="s">
        <v>6389</v>
      </c>
      <c r="G848" t="s">
        <v>390</v>
      </c>
      <c r="H848" t="s">
        <v>62</v>
      </c>
      <c r="I848" t="s">
        <v>391</v>
      </c>
      <c r="J848" t="s">
        <v>63</v>
      </c>
      <c r="K848" t="s">
        <v>6390</v>
      </c>
      <c r="L848" t="s">
        <v>44</v>
      </c>
      <c r="M848" t="s">
        <v>6391</v>
      </c>
      <c r="N848">
        <v>56533</v>
      </c>
      <c r="O848" t="s">
        <v>45</v>
      </c>
      <c r="P848" t="s">
        <v>54</v>
      </c>
      <c r="Q848" t="s">
        <v>55</v>
      </c>
      <c r="R848">
        <v>2007</v>
      </c>
      <c r="S848">
        <v>76.900000000000006</v>
      </c>
      <c r="T848">
        <v>0</v>
      </c>
      <c r="U848">
        <v>0</v>
      </c>
      <c r="V848" t="s">
        <v>6392</v>
      </c>
      <c r="W848">
        <v>998634750</v>
      </c>
      <c r="X848" t="s">
        <v>49</v>
      </c>
      <c r="Y848" t="s">
        <v>6393</v>
      </c>
      <c r="Z848" t="b">
        <v>0</v>
      </c>
      <c r="AA848">
        <v>2392.717815344603</v>
      </c>
      <c r="AN848" t="e">
        <f>100*(1-E848/AL848)</f>
        <v>#DIV/0!</v>
      </c>
    </row>
    <row r="849" spans="1:40" x14ac:dyDescent="0.3">
      <c r="A849" t="s">
        <v>139</v>
      </c>
      <c r="B849" t="s">
        <v>6485</v>
      </c>
      <c r="C849" t="s">
        <v>1594</v>
      </c>
      <c r="D849" s="4">
        <v>46001</v>
      </c>
      <c r="E849">
        <v>135500</v>
      </c>
      <c r="F849" t="s">
        <v>134</v>
      </c>
      <c r="G849" t="s">
        <v>1595</v>
      </c>
      <c r="H849" t="s">
        <v>67</v>
      </c>
      <c r="I849" t="s">
        <v>275</v>
      </c>
      <c r="J849" t="s">
        <v>67</v>
      </c>
      <c r="K849" t="s">
        <v>1596</v>
      </c>
      <c r="L849" t="s">
        <v>44</v>
      </c>
      <c r="M849" t="s">
        <v>1597</v>
      </c>
      <c r="N849">
        <v>13345</v>
      </c>
      <c r="O849" t="s">
        <v>45</v>
      </c>
      <c r="P849" t="s">
        <v>54</v>
      </c>
      <c r="Q849" t="s">
        <v>55</v>
      </c>
      <c r="R849">
        <v>2008</v>
      </c>
      <c r="S849">
        <v>77.430000000000007</v>
      </c>
      <c r="T849">
        <v>0</v>
      </c>
      <c r="U849">
        <v>0</v>
      </c>
      <c r="V849" t="s">
        <v>1598</v>
      </c>
      <c r="W849">
        <v>112897583</v>
      </c>
      <c r="X849" t="s">
        <v>49</v>
      </c>
      <c r="Y849" t="s">
        <v>6486</v>
      </c>
      <c r="Z849" t="b">
        <v>0</v>
      </c>
      <c r="AA849">
        <v>1749.9677127728271</v>
      </c>
      <c r="AN849" t="e">
        <f>100*(1-E849/AL849)</f>
        <v>#DIV/0!</v>
      </c>
    </row>
    <row r="850" spans="1:40" x14ac:dyDescent="0.3">
      <c r="A850" t="s">
        <v>139</v>
      </c>
      <c r="B850" t="s">
        <v>6487</v>
      </c>
      <c r="C850" t="s">
        <v>1594</v>
      </c>
      <c r="D850" s="4">
        <v>46001</v>
      </c>
      <c r="E850">
        <v>2500</v>
      </c>
      <c r="F850" t="s">
        <v>489</v>
      </c>
      <c r="G850" t="s">
        <v>1595</v>
      </c>
      <c r="H850" t="s">
        <v>67</v>
      </c>
      <c r="I850" t="s">
        <v>275</v>
      </c>
      <c r="J850" t="s">
        <v>67</v>
      </c>
      <c r="K850" t="s">
        <v>1596</v>
      </c>
      <c r="L850" t="s">
        <v>44</v>
      </c>
      <c r="M850" t="s">
        <v>1597</v>
      </c>
      <c r="N850">
        <v>13345</v>
      </c>
      <c r="O850" t="s">
        <v>45</v>
      </c>
      <c r="P850" t="s">
        <v>46</v>
      </c>
      <c r="Q850" t="s">
        <v>47</v>
      </c>
      <c r="R850">
        <v>2008</v>
      </c>
      <c r="S850">
        <v>7.08</v>
      </c>
      <c r="T850">
        <v>0</v>
      </c>
      <c r="U850">
        <v>0</v>
      </c>
      <c r="V850" t="s">
        <v>1598</v>
      </c>
      <c r="W850">
        <v>112897583</v>
      </c>
      <c r="X850" t="s">
        <v>49</v>
      </c>
      <c r="Y850" t="s">
        <v>6488</v>
      </c>
      <c r="Z850" t="b">
        <v>0</v>
      </c>
      <c r="AA850">
        <v>353.10734463276827</v>
      </c>
      <c r="AN850" t="e">
        <f>100*(1-E850/AL850)</f>
        <v>#DIV/0!</v>
      </c>
    </row>
    <row r="851" spans="1:40" x14ac:dyDescent="0.3">
      <c r="A851" t="s">
        <v>166</v>
      </c>
      <c r="B851" t="s">
        <v>6529</v>
      </c>
      <c r="C851" t="s">
        <v>1750</v>
      </c>
      <c r="D851" s="4">
        <v>46001</v>
      </c>
      <c r="E851">
        <v>205000</v>
      </c>
      <c r="F851" t="s">
        <v>6530</v>
      </c>
      <c r="G851" t="s">
        <v>272</v>
      </c>
      <c r="H851" t="s">
        <v>102</v>
      </c>
      <c r="I851" t="s">
        <v>273</v>
      </c>
      <c r="J851" t="s">
        <v>273</v>
      </c>
      <c r="K851" t="s">
        <v>1752</v>
      </c>
      <c r="L851" t="s">
        <v>44</v>
      </c>
      <c r="M851" t="s">
        <v>1753</v>
      </c>
      <c r="N851">
        <v>51100</v>
      </c>
      <c r="O851" t="s">
        <v>50</v>
      </c>
      <c r="P851" t="s">
        <v>51</v>
      </c>
      <c r="Q851" t="s">
        <v>52</v>
      </c>
      <c r="R851">
        <v>2009</v>
      </c>
      <c r="S851">
        <v>361.35</v>
      </c>
      <c r="T851">
        <v>0</v>
      </c>
      <c r="U851">
        <v>0</v>
      </c>
      <c r="V851" t="s">
        <v>1755</v>
      </c>
      <c r="W851">
        <v>99921963</v>
      </c>
      <c r="X851" t="s">
        <v>49</v>
      </c>
      <c r="Y851" t="s">
        <v>6531</v>
      </c>
      <c r="Z851" t="b">
        <v>0</v>
      </c>
      <c r="AA851">
        <v>567.31700567317</v>
      </c>
      <c r="AN851" t="e">
        <f>100*(1-E851/AL851)</f>
        <v>#DIV/0!</v>
      </c>
    </row>
    <row r="852" spans="1:40" x14ac:dyDescent="0.3">
      <c r="A852" t="s">
        <v>166</v>
      </c>
      <c r="B852" t="s">
        <v>6532</v>
      </c>
      <c r="C852" t="s">
        <v>1750</v>
      </c>
      <c r="D852" s="4">
        <v>46001</v>
      </c>
      <c r="E852">
        <v>190000</v>
      </c>
      <c r="F852" t="s">
        <v>6533</v>
      </c>
      <c r="G852" t="s">
        <v>272</v>
      </c>
      <c r="H852" t="s">
        <v>102</v>
      </c>
      <c r="I852" t="s">
        <v>273</v>
      </c>
      <c r="J852" t="s">
        <v>273</v>
      </c>
      <c r="K852" t="s">
        <v>1752</v>
      </c>
      <c r="L852" t="s">
        <v>44</v>
      </c>
      <c r="M852" t="s">
        <v>1753</v>
      </c>
      <c r="N852">
        <v>51100</v>
      </c>
      <c r="O852" t="s">
        <v>50</v>
      </c>
      <c r="P852" t="s">
        <v>51</v>
      </c>
      <c r="Q852" t="s">
        <v>52</v>
      </c>
      <c r="R852">
        <v>2009</v>
      </c>
      <c r="S852">
        <v>300.8</v>
      </c>
      <c r="T852">
        <v>0</v>
      </c>
      <c r="U852">
        <v>0</v>
      </c>
      <c r="V852" t="s">
        <v>1755</v>
      </c>
      <c r="W852">
        <v>99921963</v>
      </c>
      <c r="X852" t="s">
        <v>49</v>
      </c>
      <c r="Y852" t="s">
        <v>6534</v>
      </c>
      <c r="Z852" t="b">
        <v>0</v>
      </c>
      <c r="AA852">
        <v>631.64893617021278</v>
      </c>
      <c r="AN852" t="e">
        <f>100*(1-E852/AL852)</f>
        <v>#DIV/0!</v>
      </c>
    </row>
    <row r="853" spans="1:40" x14ac:dyDescent="0.3">
      <c r="A853" t="s">
        <v>59</v>
      </c>
      <c r="B853" t="s">
        <v>6535</v>
      </c>
      <c r="C853" t="s">
        <v>4425</v>
      </c>
      <c r="D853" s="4">
        <v>46001</v>
      </c>
      <c r="E853">
        <v>190000</v>
      </c>
      <c r="F853" t="s">
        <v>6536</v>
      </c>
      <c r="G853" t="s">
        <v>6537</v>
      </c>
      <c r="H853" t="s">
        <v>124</v>
      </c>
      <c r="I853" t="s">
        <v>334</v>
      </c>
      <c r="J853" t="s">
        <v>126</v>
      </c>
      <c r="K853" t="s">
        <v>6538</v>
      </c>
      <c r="L853" t="s">
        <v>44</v>
      </c>
      <c r="M853" t="s">
        <v>6539</v>
      </c>
      <c r="N853">
        <v>25100</v>
      </c>
      <c r="O853" t="s">
        <v>45</v>
      </c>
      <c r="P853" t="s">
        <v>81</v>
      </c>
      <c r="Q853" t="s">
        <v>55</v>
      </c>
      <c r="R853">
        <v>2009</v>
      </c>
      <c r="S853">
        <v>182</v>
      </c>
      <c r="T853">
        <v>0</v>
      </c>
      <c r="U853">
        <v>0</v>
      </c>
      <c r="V853" t="s">
        <v>4428</v>
      </c>
      <c r="W853" t="s">
        <v>4429</v>
      </c>
      <c r="X853" t="s">
        <v>49</v>
      </c>
      <c r="Y853" t="s">
        <v>6540</v>
      </c>
      <c r="Z853" t="b">
        <v>0</v>
      </c>
      <c r="AA853">
        <v>1043.9560439560439</v>
      </c>
      <c r="AN853" t="e">
        <f>100*(1-E853/AL853)</f>
        <v>#DIV/0!</v>
      </c>
    </row>
    <row r="854" spans="1:40" x14ac:dyDescent="0.3">
      <c r="A854" t="s">
        <v>215</v>
      </c>
      <c r="B854" t="s">
        <v>6592</v>
      </c>
      <c r="C854" t="s">
        <v>4384</v>
      </c>
      <c r="D854" s="4">
        <v>46001</v>
      </c>
      <c r="E854">
        <v>92271</v>
      </c>
      <c r="F854" t="s">
        <v>739</v>
      </c>
      <c r="G854" t="s">
        <v>420</v>
      </c>
      <c r="H854" t="s">
        <v>67</v>
      </c>
      <c r="I854" t="s">
        <v>305</v>
      </c>
      <c r="J854" t="s">
        <v>67</v>
      </c>
      <c r="K854" t="s">
        <v>6593</v>
      </c>
      <c r="L854" t="s">
        <v>44</v>
      </c>
      <c r="M854" t="s">
        <v>6594</v>
      </c>
      <c r="N854">
        <v>15344</v>
      </c>
      <c r="O854" t="s">
        <v>45</v>
      </c>
      <c r="P854" t="s">
        <v>54</v>
      </c>
      <c r="Q854" t="s">
        <v>55</v>
      </c>
      <c r="R854">
        <v>2010</v>
      </c>
      <c r="S854">
        <v>52.98</v>
      </c>
      <c r="T854">
        <v>0</v>
      </c>
      <c r="U854">
        <v>0</v>
      </c>
      <c r="V854" t="s">
        <v>4388</v>
      </c>
      <c r="W854">
        <v>39160545</v>
      </c>
      <c r="X854" t="s">
        <v>49</v>
      </c>
      <c r="Y854" t="s">
        <v>6595</v>
      </c>
      <c r="Z854" t="b">
        <v>0</v>
      </c>
      <c r="AA854">
        <v>1741.6194790486979</v>
      </c>
      <c r="AN854" t="e">
        <f>100*(1-E854/AL854)</f>
        <v>#DIV/0!</v>
      </c>
    </row>
    <row r="855" spans="1:40" x14ac:dyDescent="0.3">
      <c r="A855" t="s">
        <v>215</v>
      </c>
      <c r="B855" t="s">
        <v>6596</v>
      </c>
      <c r="C855" t="s">
        <v>4384</v>
      </c>
      <c r="D855" s="4">
        <v>46001</v>
      </c>
      <c r="E855">
        <v>93579</v>
      </c>
      <c r="F855" t="s">
        <v>3015</v>
      </c>
      <c r="G855" t="s">
        <v>420</v>
      </c>
      <c r="H855" t="s">
        <v>67</v>
      </c>
      <c r="I855" t="s">
        <v>305</v>
      </c>
      <c r="J855" t="s">
        <v>67</v>
      </c>
      <c r="K855" t="s">
        <v>6593</v>
      </c>
      <c r="L855" t="s">
        <v>44</v>
      </c>
      <c r="M855" t="s">
        <v>6594</v>
      </c>
      <c r="N855">
        <v>15344</v>
      </c>
      <c r="O855" t="s">
        <v>45</v>
      </c>
      <c r="P855" t="s">
        <v>54</v>
      </c>
      <c r="Q855" t="s">
        <v>85</v>
      </c>
      <c r="R855">
        <v>2010</v>
      </c>
      <c r="S855">
        <v>50.46</v>
      </c>
      <c r="T855">
        <v>0</v>
      </c>
      <c r="U855">
        <v>0</v>
      </c>
      <c r="V855" t="s">
        <v>4388</v>
      </c>
      <c r="W855">
        <v>39160545</v>
      </c>
      <c r="X855" t="s">
        <v>49</v>
      </c>
      <c r="Y855" t="s">
        <v>6597</v>
      </c>
      <c r="Z855" t="b">
        <v>0</v>
      </c>
      <c r="AA855">
        <v>1854.518430439952</v>
      </c>
      <c r="AN855" t="e">
        <f>100*(1-E855/AL855)</f>
        <v>#DIV/0!</v>
      </c>
    </row>
    <row r="856" spans="1:40" x14ac:dyDescent="0.3">
      <c r="A856" t="s">
        <v>215</v>
      </c>
      <c r="B856" t="s">
        <v>6598</v>
      </c>
      <c r="C856" t="s">
        <v>4384</v>
      </c>
      <c r="D856" s="4">
        <v>46001</v>
      </c>
      <c r="E856">
        <v>92000</v>
      </c>
      <c r="F856" t="s">
        <v>739</v>
      </c>
      <c r="G856" t="s">
        <v>420</v>
      </c>
      <c r="H856" t="s">
        <v>67</v>
      </c>
      <c r="I856" t="s">
        <v>305</v>
      </c>
      <c r="J856" t="s">
        <v>67</v>
      </c>
      <c r="K856" t="s">
        <v>6593</v>
      </c>
      <c r="L856" t="s">
        <v>44</v>
      </c>
      <c r="M856" t="s">
        <v>6594</v>
      </c>
      <c r="N856">
        <v>15344</v>
      </c>
      <c r="O856" t="s">
        <v>45</v>
      </c>
      <c r="P856" t="s">
        <v>54</v>
      </c>
      <c r="Q856" t="s">
        <v>55</v>
      </c>
      <c r="R856">
        <v>2010</v>
      </c>
      <c r="S856">
        <v>52.98</v>
      </c>
      <c r="T856">
        <v>0</v>
      </c>
      <c r="U856">
        <v>0</v>
      </c>
      <c r="V856" t="s">
        <v>4388</v>
      </c>
      <c r="W856">
        <v>39160545</v>
      </c>
      <c r="X856" t="s">
        <v>49</v>
      </c>
      <c r="Y856" t="s">
        <v>6599</v>
      </c>
      <c r="Z856" t="b">
        <v>0</v>
      </c>
      <c r="AA856">
        <v>1736.5043412608529</v>
      </c>
      <c r="AN856" t="e">
        <f>100*(1-E856/AL856)</f>
        <v>#DIV/0!</v>
      </c>
    </row>
    <row r="857" spans="1:40" x14ac:dyDescent="0.3">
      <c r="A857" t="s">
        <v>278</v>
      </c>
      <c r="B857" t="s">
        <v>6600</v>
      </c>
      <c r="C857" t="s">
        <v>6600</v>
      </c>
      <c r="D857" s="4">
        <v>46001</v>
      </c>
      <c r="E857">
        <v>119900</v>
      </c>
      <c r="F857" t="s">
        <v>6601</v>
      </c>
      <c r="G857" t="s">
        <v>1458</v>
      </c>
      <c r="H857" t="s">
        <v>67</v>
      </c>
      <c r="I857" t="s">
        <v>1005</v>
      </c>
      <c r="J857" t="s">
        <v>67</v>
      </c>
      <c r="K857" t="s">
        <v>6602</v>
      </c>
      <c r="L857" t="s">
        <v>44</v>
      </c>
      <c r="M857" t="s">
        <v>6603</v>
      </c>
      <c r="N857">
        <v>17235</v>
      </c>
      <c r="O857" t="s">
        <v>45</v>
      </c>
      <c r="P857" t="s">
        <v>54</v>
      </c>
      <c r="Q857" t="s">
        <v>1321</v>
      </c>
      <c r="R857">
        <v>2010</v>
      </c>
      <c r="S857">
        <v>43.8</v>
      </c>
      <c r="T857">
        <v>0</v>
      </c>
      <c r="U857">
        <v>0</v>
      </c>
      <c r="V857" t="s">
        <v>6604</v>
      </c>
      <c r="W857">
        <v>21989287</v>
      </c>
      <c r="X857" t="s">
        <v>86</v>
      </c>
      <c r="Y857" t="s">
        <v>6605</v>
      </c>
      <c r="Z857" t="b">
        <v>0</v>
      </c>
      <c r="AA857">
        <v>2737.4429223744301</v>
      </c>
      <c r="AN857" t="e">
        <f>100*(1-E857/AL857)</f>
        <v>#DIV/0!</v>
      </c>
    </row>
    <row r="858" spans="1:40" x14ac:dyDescent="0.3">
      <c r="A858" t="s">
        <v>215</v>
      </c>
      <c r="B858" t="s">
        <v>6606</v>
      </c>
      <c r="C858" t="s">
        <v>6606</v>
      </c>
      <c r="D858" s="4">
        <v>46001</v>
      </c>
      <c r="E858">
        <v>415000</v>
      </c>
      <c r="F858" t="s">
        <v>6607</v>
      </c>
      <c r="G858" t="s">
        <v>2026</v>
      </c>
      <c r="H858" t="s">
        <v>94</v>
      </c>
      <c r="I858" t="s">
        <v>2027</v>
      </c>
      <c r="J858" t="s">
        <v>96</v>
      </c>
      <c r="K858" t="s">
        <v>6608</v>
      </c>
      <c r="L858" t="s">
        <v>44</v>
      </c>
      <c r="M858" t="s">
        <v>6609</v>
      </c>
      <c r="N858">
        <v>71500</v>
      </c>
      <c r="O858" t="s">
        <v>45</v>
      </c>
      <c r="P858" t="s">
        <v>81</v>
      </c>
      <c r="Q858" t="s">
        <v>52</v>
      </c>
      <c r="R858">
        <v>2010</v>
      </c>
      <c r="S858">
        <v>400</v>
      </c>
      <c r="T858">
        <v>0</v>
      </c>
      <c r="U858">
        <v>0</v>
      </c>
      <c r="V858" t="s">
        <v>6610</v>
      </c>
      <c r="W858">
        <v>38724660</v>
      </c>
      <c r="X858" t="s">
        <v>49</v>
      </c>
      <c r="Y858" t="s">
        <v>6611</v>
      </c>
      <c r="Z858" t="b">
        <v>0</v>
      </c>
      <c r="AA858">
        <v>1037.5</v>
      </c>
      <c r="AN858" t="e">
        <f>100*(1-E858/AL858)</f>
        <v>#DIV/0!</v>
      </c>
    </row>
    <row r="859" spans="1:40" x14ac:dyDescent="0.3">
      <c r="A859" t="s">
        <v>59</v>
      </c>
      <c r="B859" t="s">
        <v>6612</v>
      </c>
      <c r="C859" t="s">
        <v>6612</v>
      </c>
      <c r="D859" s="4">
        <v>46001</v>
      </c>
      <c r="E859">
        <v>305000</v>
      </c>
      <c r="F859" t="s">
        <v>6613</v>
      </c>
      <c r="G859" t="s">
        <v>3685</v>
      </c>
      <c r="H859" t="s">
        <v>62</v>
      </c>
      <c r="I859" t="s">
        <v>388</v>
      </c>
      <c r="J859" t="s">
        <v>389</v>
      </c>
      <c r="K859" t="s">
        <v>6614</v>
      </c>
      <c r="L859" t="s">
        <v>80</v>
      </c>
      <c r="M859" t="s">
        <v>6615</v>
      </c>
      <c r="N859">
        <v>63200</v>
      </c>
      <c r="O859" t="s">
        <v>331</v>
      </c>
      <c r="P859" t="s">
        <v>331</v>
      </c>
      <c r="Q859" t="s">
        <v>55</v>
      </c>
      <c r="R859">
        <v>2010</v>
      </c>
      <c r="S859">
        <v>427.91</v>
      </c>
      <c r="T859">
        <v>0</v>
      </c>
      <c r="U859">
        <v>0</v>
      </c>
      <c r="V859" t="s">
        <v>6616</v>
      </c>
      <c r="W859">
        <v>36746121</v>
      </c>
      <c r="X859" t="s">
        <v>86</v>
      </c>
      <c r="Y859">
        <v>0</v>
      </c>
      <c r="Z859" t="b">
        <v>0</v>
      </c>
      <c r="AA859">
        <v>712.76670327872682</v>
      </c>
      <c r="AN859" t="e">
        <f>100*(1-E859/AL859)</f>
        <v>#DIV/0!</v>
      </c>
    </row>
    <row r="860" spans="1:40" x14ac:dyDescent="0.3">
      <c r="A860" t="s">
        <v>59</v>
      </c>
      <c r="B860" t="s">
        <v>6617</v>
      </c>
      <c r="C860" t="s">
        <v>6617</v>
      </c>
      <c r="D860" s="4">
        <v>46001</v>
      </c>
      <c r="E860">
        <v>222300</v>
      </c>
      <c r="F860" t="s">
        <v>6618</v>
      </c>
      <c r="G860" t="s">
        <v>6619</v>
      </c>
      <c r="H860" t="s">
        <v>111</v>
      </c>
      <c r="I860" t="s">
        <v>319</v>
      </c>
      <c r="J860" t="s">
        <v>175</v>
      </c>
      <c r="K860" t="s">
        <v>6620</v>
      </c>
      <c r="L860" t="s">
        <v>44</v>
      </c>
      <c r="M860" t="s">
        <v>6621</v>
      </c>
      <c r="N860">
        <v>34009</v>
      </c>
      <c r="O860" t="s">
        <v>45</v>
      </c>
      <c r="P860" t="s">
        <v>81</v>
      </c>
      <c r="Q860" t="s">
        <v>55</v>
      </c>
      <c r="R860">
        <v>2010</v>
      </c>
      <c r="S860">
        <v>325.82</v>
      </c>
      <c r="T860">
        <v>0</v>
      </c>
      <c r="U860">
        <v>0</v>
      </c>
      <c r="V860" t="s">
        <v>6622</v>
      </c>
      <c r="W860">
        <v>56600184</v>
      </c>
      <c r="X860" t="s">
        <v>49</v>
      </c>
      <c r="Y860">
        <v>121420106001</v>
      </c>
      <c r="Z860" t="b">
        <v>0</v>
      </c>
      <c r="AA860">
        <v>682.2785587134</v>
      </c>
      <c r="AN860" t="e">
        <f>100*(1-E860/AL860)</f>
        <v>#DIV/0!</v>
      </c>
    </row>
    <row r="861" spans="1:40" x14ac:dyDescent="0.3">
      <c r="A861" t="s">
        <v>166</v>
      </c>
      <c r="B861" t="s">
        <v>6650</v>
      </c>
      <c r="C861" t="s">
        <v>6650</v>
      </c>
      <c r="D861" s="4">
        <v>46001</v>
      </c>
      <c r="E861">
        <v>389000</v>
      </c>
      <c r="F861" t="s">
        <v>6651</v>
      </c>
      <c r="G861" t="s">
        <v>276</v>
      </c>
      <c r="H861" t="s">
        <v>152</v>
      </c>
      <c r="I861" t="s">
        <v>277</v>
      </c>
      <c r="J861" t="s">
        <v>221</v>
      </c>
      <c r="K861" t="s">
        <v>6652</v>
      </c>
      <c r="L861" t="s">
        <v>44</v>
      </c>
      <c r="M861" t="s">
        <v>6653</v>
      </c>
      <c r="N861">
        <v>20100</v>
      </c>
      <c r="O861" t="s">
        <v>45</v>
      </c>
      <c r="P861" t="s">
        <v>81</v>
      </c>
      <c r="Q861" t="s">
        <v>52</v>
      </c>
      <c r="R861">
        <v>2015</v>
      </c>
      <c r="S861">
        <v>340.99</v>
      </c>
      <c r="T861">
        <v>0</v>
      </c>
      <c r="U861">
        <v>0</v>
      </c>
      <c r="V861" t="s">
        <v>6654</v>
      </c>
      <c r="W861">
        <v>116597123</v>
      </c>
      <c r="X861" t="s">
        <v>49</v>
      </c>
      <c r="Y861" t="s">
        <v>6655</v>
      </c>
      <c r="Z861" t="b">
        <v>0</v>
      </c>
      <c r="AA861">
        <v>1140.795917768849</v>
      </c>
      <c r="AN861" t="e">
        <f>100*(1-E861/AL861)</f>
        <v>#DIV/0!</v>
      </c>
    </row>
    <row r="862" spans="1:40" x14ac:dyDescent="0.3">
      <c r="A862" t="s">
        <v>59</v>
      </c>
      <c r="B862" t="s">
        <v>2320</v>
      </c>
      <c r="C862" t="s">
        <v>2320</v>
      </c>
      <c r="D862" s="4">
        <v>46002</v>
      </c>
      <c r="E862">
        <v>66000</v>
      </c>
      <c r="F862" t="s">
        <v>2321</v>
      </c>
      <c r="G862" t="s">
        <v>2322</v>
      </c>
      <c r="H862" t="s">
        <v>62</v>
      </c>
      <c r="I862" t="s">
        <v>2323</v>
      </c>
      <c r="J862" t="s">
        <v>204</v>
      </c>
      <c r="K862" t="s">
        <v>2324</v>
      </c>
      <c r="L862" t="s">
        <v>44</v>
      </c>
      <c r="M862" t="s">
        <v>2325</v>
      </c>
      <c r="N862">
        <v>62043</v>
      </c>
      <c r="O862" t="s">
        <v>45</v>
      </c>
      <c r="P862" t="s">
        <v>81</v>
      </c>
      <c r="Q862" t="s">
        <v>52</v>
      </c>
      <c r="R862">
        <v>0</v>
      </c>
      <c r="S862">
        <v>312</v>
      </c>
      <c r="T862">
        <v>0</v>
      </c>
      <c r="U862">
        <v>0</v>
      </c>
      <c r="V862" t="s">
        <v>2326</v>
      </c>
      <c r="W862">
        <v>73543066</v>
      </c>
      <c r="X862" t="s">
        <v>86</v>
      </c>
      <c r="Y862" t="s">
        <v>2327</v>
      </c>
      <c r="Z862" t="b">
        <v>0</v>
      </c>
      <c r="AA862">
        <v>211.53846153846149</v>
      </c>
      <c r="AN862" t="e">
        <f>100*(1-E862/AL862)</f>
        <v>#DIV/0!</v>
      </c>
    </row>
    <row r="863" spans="1:40" x14ac:dyDescent="0.3">
      <c r="A863" t="s">
        <v>215</v>
      </c>
      <c r="B863" t="s">
        <v>2328</v>
      </c>
      <c r="C863" t="s">
        <v>2328</v>
      </c>
      <c r="D863" s="4">
        <v>46002</v>
      </c>
      <c r="E863">
        <v>309000</v>
      </c>
      <c r="F863" t="s">
        <v>2329</v>
      </c>
      <c r="G863" t="s">
        <v>2330</v>
      </c>
      <c r="H863" t="s">
        <v>196</v>
      </c>
      <c r="I863" t="s">
        <v>245</v>
      </c>
      <c r="J863" t="s">
        <v>198</v>
      </c>
      <c r="K863" t="s">
        <v>2331</v>
      </c>
      <c r="L863" t="s">
        <v>44</v>
      </c>
      <c r="M863" t="s">
        <v>2332</v>
      </c>
      <c r="N863">
        <v>84401</v>
      </c>
      <c r="O863" t="s">
        <v>45</v>
      </c>
      <c r="P863" t="s">
        <v>288</v>
      </c>
      <c r="Q863" t="s">
        <v>52</v>
      </c>
      <c r="R863">
        <v>0</v>
      </c>
      <c r="S863">
        <v>127.29</v>
      </c>
      <c r="T863">
        <v>0</v>
      </c>
      <c r="U863">
        <v>0</v>
      </c>
      <c r="V863" t="s">
        <v>2333</v>
      </c>
      <c r="W863">
        <v>23739130</v>
      </c>
      <c r="X863" t="s">
        <v>49</v>
      </c>
      <c r="Y863">
        <v>0</v>
      </c>
      <c r="Z863" t="b">
        <v>0</v>
      </c>
      <c r="AA863">
        <v>2427.52769267028</v>
      </c>
      <c r="AN863" t="e">
        <f>100*(1-E863/AL863)</f>
        <v>#DIV/0!</v>
      </c>
    </row>
    <row r="864" spans="1:40" x14ac:dyDescent="0.3">
      <c r="A864" t="s">
        <v>59</v>
      </c>
      <c r="B864" t="s">
        <v>2334</v>
      </c>
      <c r="C864" t="s">
        <v>2334</v>
      </c>
      <c r="D864" s="4">
        <v>46003</v>
      </c>
      <c r="E864">
        <v>171000</v>
      </c>
      <c r="F864" t="s">
        <v>2335</v>
      </c>
      <c r="G864" t="s">
        <v>2336</v>
      </c>
      <c r="H864" t="s">
        <v>196</v>
      </c>
      <c r="I864" t="s">
        <v>470</v>
      </c>
      <c r="J864" t="s">
        <v>396</v>
      </c>
      <c r="K864" t="s">
        <v>2337</v>
      </c>
      <c r="L864" t="s">
        <v>80</v>
      </c>
      <c r="M864" t="s">
        <v>2336</v>
      </c>
      <c r="N864">
        <v>85106</v>
      </c>
      <c r="O864" t="s">
        <v>45</v>
      </c>
      <c r="P864" t="s">
        <v>81</v>
      </c>
      <c r="Q864" t="s">
        <v>55</v>
      </c>
      <c r="R864">
        <v>0</v>
      </c>
      <c r="S864">
        <v>140</v>
      </c>
      <c r="T864">
        <v>0</v>
      </c>
      <c r="U864">
        <v>0</v>
      </c>
      <c r="V864" t="s">
        <v>2338</v>
      </c>
      <c r="W864" t="s">
        <v>2339</v>
      </c>
      <c r="X864" t="s">
        <v>86</v>
      </c>
      <c r="Y864">
        <v>0</v>
      </c>
      <c r="Z864" t="b">
        <v>0</v>
      </c>
      <c r="AA864">
        <v>1221.4285714285711</v>
      </c>
      <c r="AN864" t="e">
        <f>100*(1-E864/AL864)</f>
        <v>#DIV/0!</v>
      </c>
    </row>
    <row r="865" spans="1:40" x14ac:dyDescent="0.3">
      <c r="A865" t="s">
        <v>59</v>
      </c>
      <c r="B865" t="s">
        <v>2340</v>
      </c>
      <c r="C865" t="s">
        <v>2341</v>
      </c>
      <c r="D865" s="4">
        <v>46003</v>
      </c>
      <c r="E865">
        <v>8200</v>
      </c>
      <c r="F865" t="s">
        <v>2342</v>
      </c>
      <c r="G865" t="s">
        <v>2294</v>
      </c>
      <c r="H865" t="s">
        <v>225</v>
      </c>
      <c r="I865" t="s">
        <v>2295</v>
      </c>
      <c r="J865" t="s">
        <v>2295</v>
      </c>
      <c r="K865" t="s">
        <v>2343</v>
      </c>
      <c r="L865" t="s">
        <v>44</v>
      </c>
      <c r="M865" t="s">
        <v>2344</v>
      </c>
      <c r="N865">
        <v>81100</v>
      </c>
      <c r="O865" t="s">
        <v>45</v>
      </c>
      <c r="P865" t="s">
        <v>54</v>
      </c>
      <c r="Q865" t="s">
        <v>52</v>
      </c>
      <c r="R865">
        <v>0</v>
      </c>
      <c r="S865">
        <v>119.9</v>
      </c>
      <c r="T865">
        <v>0</v>
      </c>
      <c r="U865">
        <v>0</v>
      </c>
      <c r="V865" t="s">
        <v>2345</v>
      </c>
      <c r="W865">
        <v>13283069</v>
      </c>
      <c r="X865" t="s">
        <v>49</v>
      </c>
      <c r="Y865" t="s">
        <v>2346</v>
      </c>
      <c r="Z865" t="b">
        <v>0</v>
      </c>
      <c r="AA865">
        <v>68.390325271059211</v>
      </c>
      <c r="AN865" t="e">
        <f>100*(1-E865/AL865)</f>
        <v>#DIV/0!</v>
      </c>
    </row>
    <row r="866" spans="1:40" x14ac:dyDescent="0.3">
      <c r="A866" t="s">
        <v>59</v>
      </c>
      <c r="B866" t="s">
        <v>2347</v>
      </c>
      <c r="C866" t="s">
        <v>2341</v>
      </c>
      <c r="D866" s="4">
        <v>46003</v>
      </c>
      <c r="E866">
        <v>9600</v>
      </c>
      <c r="F866" t="s">
        <v>2348</v>
      </c>
      <c r="G866" t="s">
        <v>2294</v>
      </c>
      <c r="H866" t="s">
        <v>225</v>
      </c>
      <c r="I866" t="s">
        <v>2295</v>
      </c>
      <c r="J866" t="s">
        <v>2295</v>
      </c>
      <c r="K866" t="s">
        <v>2343</v>
      </c>
      <c r="L866" t="s">
        <v>44</v>
      </c>
      <c r="M866" t="s">
        <v>2344</v>
      </c>
      <c r="N866">
        <v>81100</v>
      </c>
      <c r="O866" t="s">
        <v>45</v>
      </c>
      <c r="P866" t="s">
        <v>232</v>
      </c>
      <c r="Q866">
        <v>0</v>
      </c>
      <c r="R866">
        <v>0</v>
      </c>
      <c r="S866">
        <v>119.9</v>
      </c>
      <c r="T866">
        <v>0</v>
      </c>
      <c r="U866">
        <v>0</v>
      </c>
      <c r="V866" t="s">
        <v>2345</v>
      </c>
      <c r="W866">
        <v>13283069</v>
      </c>
      <c r="X866" t="s">
        <v>49</v>
      </c>
      <c r="Y866" t="s">
        <v>2349</v>
      </c>
      <c r="Z866" t="b">
        <v>0</v>
      </c>
      <c r="AA866">
        <v>80.066722268557129</v>
      </c>
      <c r="AN866" t="e">
        <f>100*(1-E866/AL866)</f>
        <v>#DIV/0!</v>
      </c>
    </row>
    <row r="867" spans="1:40" x14ac:dyDescent="0.3">
      <c r="A867" t="s">
        <v>166</v>
      </c>
      <c r="B867" t="s">
        <v>3847</v>
      </c>
      <c r="C867" t="s">
        <v>3847</v>
      </c>
      <c r="D867" s="4">
        <v>46003</v>
      </c>
      <c r="E867">
        <v>78000</v>
      </c>
      <c r="F867" t="s">
        <v>3848</v>
      </c>
      <c r="G867" t="s">
        <v>3849</v>
      </c>
      <c r="H867" t="s">
        <v>156</v>
      </c>
      <c r="I867" t="s">
        <v>3702</v>
      </c>
      <c r="J867" t="s">
        <v>3702</v>
      </c>
      <c r="K867" t="s">
        <v>3850</v>
      </c>
      <c r="L867" t="s">
        <v>44</v>
      </c>
      <c r="M867" t="s">
        <v>3851</v>
      </c>
      <c r="N867">
        <v>29100</v>
      </c>
      <c r="O867" t="s">
        <v>45</v>
      </c>
      <c r="P867" t="s">
        <v>182</v>
      </c>
      <c r="Q867" t="s">
        <v>55</v>
      </c>
      <c r="R867">
        <v>1970</v>
      </c>
      <c r="S867">
        <v>107.92</v>
      </c>
      <c r="T867" t="s">
        <v>48</v>
      </c>
      <c r="U867">
        <v>75</v>
      </c>
      <c r="V867" t="s">
        <v>3852</v>
      </c>
      <c r="W867">
        <v>47442388</v>
      </c>
      <c r="X867" t="s">
        <v>86</v>
      </c>
      <c r="Y867" t="s">
        <v>3853</v>
      </c>
      <c r="Z867" t="b">
        <v>0</v>
      </c>
      <c r="AA867">
        <v>722.75759822090436</v>
      </c>
      <c r="AN867" t="e">
        <f>100*(1-E867/AL867)</f>
        <v>#DIV/0!</v>
      </c>
    </row>
    <row r="868" spans="1:40" x14ac:dyDescent="0.3">
      <c r="A868" t="s">
        <v>213</v>
      </c>
      <c r="B868" t="s">
        <v>5463</v>
      </c>
      <c r="C868" t="s">
        <v>5463</v>
      </c>
      <c r="D868" s="4">
        <v>46003</v>
      </c>
      <c r="E868">
        <v>197700</v>
      </c>
      <c r="F868" t="s">
        <v>5464</v>
      </c>
      <c r="G868" t="s">
        <v>1180</v>
      </c>
      <c r="H868" t="s">
        <v>62</v>
      </c>
      <c r="I868" t="s">
        <v>363</v>
      </c>
      <c r="J868" t="s">
        <v>63</v>
      </c>
      <c r="K868" t="s">
        <v>5465</v>
      </c>
      <c r="L868" t="s">
        <v>44</v>
      </c>
      <c r="M868" t="s">
        <v>5466</v>
      </c>
      <c r="N868">
        <v>57200</v>
      </c>
      <c r="O868" t="s">
        <v>45</v>
      </c>
      <c r="P868" t="s">
        <v>81</v>
      </c>
      <c r="Q868" t="s">
        <v>52</v>
      </c>
      <c r="R868">
        <v>1998</v>
      </c>
      <c r="S868">
        <v>287.39999999999998</v>
      </c>
      <c r="T868">
        <v>0</v>
      </c>
      <c r="U868">
        <v>0</v>
      </c>
      <c r="V868" t="s">
        <v>5467</v>
      </c>
      <c r="W868" t="s">
        <v>5468</v>
      </c>
      <c r="X868" t="s">
        <v>86</v>
      </c>
      <c r="Y868" t="s">
        <v>5469</v>
      </c>
      <c r="Z868" t="b">
        <v>0</v>
      </c>
      <c r="AA868">
        <v>687.89144050104392</v>
      </c>
      <c r="AN868" t="e">
        <f>100*(1-E868/AL868)</f>
        <v>#DIV/0!</v>
      </c>
    </row>
    <row r="869" spans="1:40" x14ac:dyDescent="0.3">
      <c r="A869" t="s">
        <v>166</v>
      </c>
      <c r="B869" t="s">
        <v>6244</v>
      </c>
      <c r="C869" t="s">
        <v>6244</v>
      </c>
      <c r="D869" s="4">
        <v>46003</v>
      </c>
      <c r="E869">
        <v>100771</v>
      </c>
      <c r="F869" t="s">
        <v>6245</v>
      </c>
      <c r="G869" t="s">
        <v>5838</v>
      </c>
      <c r="H869" t="s">
        <v>62</v>
      </c>
      <c r="I869" t="s">
        <v>586</v>
      </c>
      <c r="J869" t="s">
        <v>63</v>
      </c>
      <c r="K869" t="s">
        <v>6246</v>
      </c>
      <c r="L869" t="s">
        <v>44</v>
      </c>
      <c r="M869" t="s">
        <v>6247</v>
      </c>
      <c r="N869">
        <v>57008</v>
      </c>
      <c r="O869" t="s">
        <v>45</v>
      </c>
      <c r="P869" t="s">
        <v>54</v>
      </c>
      <c r="Q869" t="s">
        <v>55</v>
      </c>
      <c r="R869">
        <v>2006</v>
      </c>
      <c r="S869">
        <v>44.61</v>
      </c>
      <c r="T869">
        <v>0</v>
      </c>
      <c r="U869">
        <v>0</v>
      </c>
      <c r="V869" t="s">
        <v>6248</v>
      </c>
      <c r="W869">
        <v>35008034</v>
      </c>
      <c r="X869" t="s">
        <v>86</v>
      </c>
      <c r="Y869" t="s">
        <v>6249</v>
      </c>
      <c r="Z869" t="b">
        <v>0</v>
      </c>
      <c r="AA869">
        <v>2258.932974669357</v>
      </c>
      <c r="AN869" t="e">
        <f>100*(1-E869/AL869)</f>
        <v>#DIV/0!</v>
      </c>
    </row>
    <row r="870" spans="1:40" x14ac:dyDescent="0.3">
      <c r="A870" t="s">
        <v>166</v>
      </c>
      <c r="B870" t="s">
        <v>2350</v>
      </c>
      <c r="C870" t="s">
        <v>2350</v>
      </c>
      <c r="D870" s="4">
        <v>46008</v>
      </c>
      <c r="E870">
        <v>258200</v>
      </c>
      <c r="F870" t="s">
        <v>2351</v>
      </c>
      <c r="G870" t="s">
        <v>412</v>
      </c>
      <c r="H870" t="s">
        <v>230</v>
      </c>
      <c r="I870" t="s">
        <v>413</v>
      </c>
      <c r="J870" t="s">
        <v>260</v>
      </c>
      <c r="K870" t="s">
        <v>2352</v>
      </c>
      <c r="L870" t="s">
        <v>44</v>
      </c>
      <c r="M870" t="s">
        <v>2353</v>
      </c>
      <c r="N870">
        <v>66200</v>
      </c>
      <c r="O870" t="s">
        <v>45</v>
      </c>
      <c r="P870" t="s">
        <v>81</v>
      </c>
      <c r="Q870" t="s">
        <v>55</v>
      </c>
      <c r="R870">
        <v>0</v>
      </c>
      <c r="S870">
        <v>293.06</v>
      </c>
      <c r="T870">
        <v>0</v>
      </c>
      <c r="U870">
        <v>0</v>
      </c>
      <c r="V870" t="s">
        <v>2354</v>
      </c>
      <c r="W870" t="s">
        <v>2355</v>
      </c>
      <c r="X870" t="s">
        <v>49</v>
      </c>
      <c r="Y870" t="s">
        <v>2356</v>
      </c>
      <c r="Z870" t="b">
        <v>0</v>
      </c>
      <c r="AA870">
        <v>881.04824950522072</v>
      </c>
      <c r="AN870" t="e">
        <f>100*(1-E870/AL870)</f>
        <v>#DIV/0!</v>
      </c>
    </row>
    <row r="871" spans="1:40" x14ac:dyDescent="0.3">
      <c r="A871" t="s">
        <v>278</v>
      </c>
      <c r="B871" t="s">
        <v>2357</v>
      </c>
      <c r="C871" t="s">
        <v>2357</v>
      </c>
      <c r="D871" s="4">
        <v>46008</v>
      </c>
      <c r="E871">
        <v>60000</v>
      </c>
      <c r="F871" t="s">
        <v>2358</v>
      </c>
      <c r="G871" t="s">
        <v>2359</v>
      </c>
      <c r="H871" t="s">
        <v>225</v>
      </c>
      <c r="I871" t="s">
        <v>2360</v>
      </c>
      <c r="J871" t="s">
        <v>2295</v>
      </c>
      <c r="K871" t="s">
        <v>2361</v>
      </c>
      <c r="L871" t="s">
        <v>44</v>
      </c>
      <c r="M871" t="s">
        <v>2362</v>
      </c>
      <c r="N871">
        <v>81400</v>
      </c>
      <c r="O871" t="s">
        <v>45</v>
      </c>
      <c r="P871" t="s">
        <v>81</v>
      </c>
      <c r="Q871">
        <v>0</v>
      </c>
      <c r="R871">
        <v>0</v>
      </c>
      <c r="S871">
        <v>80</v>
      </c>
      <c r="T871">
        <v>0</v>
      </c>
      <c r="U871">
        <v>0</v>
      </c>
      <c r="V871" t="s">
        <v>2363</v>
      </c>
      <c r="W871">
        <v>301433810</v>
      </c>
      <c r="X871" t="s">
        <v>49</v>
      </c>
      <c r="Y871">
        <v>0</v>
      </c>
      <c r="Z871" t="b">
        <v>0</v>
      </c>
      <c r="AA871">
        <v>750</v>
      </c>
      <c r="AN871" t="e">
        <f>100*(1-E871/AL871)</f>
        <v>#DIV/0!</v>
      </c>
    </row>
    <row r="872" spans="1:40" x14ac:dyDescent="0.3">
      <c r="A872" t="s">
        <v>59</v>
      </c>
      <c r="B872" t="s">
        <v>2364</v>
      </c>
      <c r="C872" t="s">
        <v>2365</v>
      </c>
      <c r="D872" s="4">
        <v>46008</v>
      </c>
      <c r="E872">
        <v>30000</v>
      </c>
      <c r="F872" t="s">
        <v>2366</v>
      </c>
      <c r="G872" t="s">
        <v>378</v>
      </c>
      <c r="H872" t="s">
        <v>67</v>
      </c>
      <c r="I872" t="s">
        <v>379</v>
      </c>
      <c r="J872" t="s">
        <v>67</v>
      </c>
      <c r="K872" t="s">
        <v>2367</v>
      </c>
      <c r="L872" t="s">
        <v>44</v>
      </c>
      <c r="M872" t="s">
        <v>2368</v>
      </c>
      <c r="N872">
        <v>19500</v>
      </c>
      <c r="O872" t="s">
        <v>97</v>
      </c>
      <c r="P872" t="s">
        <v>98</v>
      </c>
      <c r="Q872">
        <v>0</v>
      </c>
      <c r="R872">
        <v>0</v>
      </c>
      <c r="S872">
        <v>51.02</v>
      </c>
      <c r="T872">
        <v>0</v>
      </c>
      <c r="U872">
        <v>0</v>
      </c>
      <c r="V872" t="s">
        <v>2369</v>
      </c>
      <c r="W872">
        <v>106523058</v>
      </c>
      <c r="X872" t="s">
        <v>49</v>
      </c>
      <c r="Y872" t="s">
        <v>2370</v>
      </c>
      <c r="Z872" t="b">
        <v>0</v>
      </c>
      <c r="AA872">
        <v>588.00470403763222</v>
      </c>
      <c r="AN872" t="e">
        <f>100*(1-E872/AL872)</f>
        <v>#DIV/0!</v>
      </c>
    </row>
    <row r="873" spans="1:40" x14ac:dyDescent="0.3">
      <c r="A873" t="s">
        <v>166</v>
      </c>
      <c r="B873" t="s">
        <v>2371</v>
      </c>
      <c r="C873" t="s">
        <v>2371</v>
      </c>
      <c r="D873" s="4">
        <v>46008</v>
      </c>
      <c r="E873">
        <v>175500</v>
      </c>
      <c r="F873" t="s">
        <v>70</v>
      </c>
      <c r="G873" t="s">
        <v>1677</v>
      </c>
      <c r="H873" t="s">
        <v>67</v>
      </c>
      <c r="I873" t="s">
        <v>1678</v>
      </c>
      <c r="J873" t="s">
        <v>67</v>
      </c>
      <c r="K873" t="s">
        <v>2372</v>
      </c>
      <c r="L873" t="s">
        <v>44</v>
      </c>
      <c r="M873" t="s">
        <v>2373</v>
      </c>
      <c r="N873">
        <v>17563</v>
      </c>
      <c r="O873" t="s">
        <v>45</v>
      </c>
      <c r="P873" t="s">
        <v>54</v>
      </c>
      <c r="Q873" t="s">
        <v>52</v>
      </c>
      <c r="R873">
        <v>0</v>
      </c>
      <c r="S873">
        <v>99.5</v>
      </c>
      <c r="T873">
        <v>0</v>
      </c>
      <c r="U873">
        <v>0</v>
      </c>
      <c r="V873" t="s">
        <v>2374</v>
      </c>
      <c r="W873" t="s">
        <v>2375</v>
      </c>
      <c r="X873" t="s">
        <v>49</v>
      </c>
      <c r="Y873">
        <v>0</v>
      </c>
      <c r="Z873" t="b">
        <v>0</v>
      </c>
      <c r="AA873">
        <v>1763.819095477387</v>
      </c>
      <c r="AN873" t="e">
        <f>100*(1-E873/AL873)</f>
        <v>#DIV/0!</v>
      </c>
    </row>
    <row r="874" spans="1:40" x14ac:dyDescent="0.3">
      <c r="A874" t="s">
        <v>139</v>
      </c>
      <c r="B874" t="s">
        <v>2376</v>
      </c>
      <c r="C874" t="s">
        <v>2376</v>
      </c>
      <c r="D874" s="4">
        <v>46008</v>
      </c>
      <c r="E874">
        <v>98000</v>
      </c>
      <c r="F874" t="s">
        <v>2377</v>
      </c>
      <c r="G874" t="s">
        <v>293</v>
      </c>
      <c r="H874" t="s">
        <v>67</v>
      </c>
      <c r="I874" t="s">
        <v>207</v>
      </c>
      <c r="J874" t="s">
        <v>67</v>
      </c>
      <c r="K874" t="s">
        <v>2378</v>
      </c>
      <c r="L874" t="s">
        <v>44</v>
      </c>
      <c r="M874" t="s">
        <v>2379</v>
      </c>
      <c r="N874">
        <v>18648</v>
      </c>
      <c r="O874" t="s">
        <v>45</v>
      </c>
      <c r="P874" t="s">
        <v>54</v>
      </c>
      <c r="Q874" t="s">
        <v>55</v>
      </c>
      <c r="R874">
        <v>0</v>
      </c>
      <c r="S874">
        <v>100.9</v>
      </c>
      <c r="T874">
        <v>0</v>
      </c>
      <c r="U874">
        <v>0</v>
      </c>
      <c r="V874" t="s">
        <v>2380</v>
      </c>
      <c r="W874">
        <v>54739309</v>
      </c>
      <c r="X874" t="s">
        <v>49</v>
      </c>
      <c r="Y874" t="s">
        <v>2381</v>
      </c>
      <c r="Z874" t="b">
        <v>0</v>
      </c>
      <c r="AA874">
        <v>971.25867195242813</v>
      </c>
      <c r="AN874" t="e">
        <f>100*(1-E874/AL874)</f>
        <v>#DIV/0!</v>
      </c>
    </row>
    <row r="875" spans="1:40" x14ac:dyDescent="0.3">
      <c r="A875" t="s">
        <v>139</v>
      </c>
      <c r="B875" t="s">
        <v>2382</v>
      </c>
      <c r="C875" t="s">
        <v>2382</v>
      </c>
      <c r="D875" s="4">
        <v>46008</v>
      </c>
      <c r="E875">
        <v>82000</v>
      </c>
      <c r="F875" t="s">
        <v>162</v>
      </c>
      <c r="G875" t="s">
        <v>115</v>
      </c>
      <c r="H875" t="s">
        <v>67</v>
      </c>
      <c r="I875" t="s">
        <v>116</v>
      </c>
      <c r="J875" t="s">
        <v>67</v>
      </c>
      <c r="K875" t="s">
        <v>2383</v>
      </c>
      <c r="L875" t="s">
        <v>44</v>
      </c>
      <c r="M875" t="s">
        <v>2384</v>
      </c>
      <c r="N875">
        <v>10446</v>
      </c>
      <c r="O875" t="s">
        <v>45</v>
      </c>
      <c r="P875" t="s">
        <v>54</v>
      </c>
      <c r="Q875" t="s">
        <v>85</v>
      </c>
      <c r="R875">
        <v>0</v>
      </c>
      <c r="S875">
        <v>71.03</v>
      </c>
      <c r="T875">
        <v>0</v>
      </c>
      <c r="U875">
        <v>0</v>
      </c>
      <c r="V875" t="s">
        <v>2385</v>
      </c>
      <c r="W875">
        <v>21290257</v>
      </c>
      <c r="X875" t="s">
        <v>49</v>
      </c>
      <c r="Y875" t="s">
        <v>2386</v>
      </c>
      <c r="Z875" t="b">
        <v>0</v>
      </c>
      <c r="AA875">
        <v>1154.4417851612</v>
      </c>
      <c r="AN875" t="e">
        <f>100*(1-E875/AL875)</f>
        <v>#DIV/0!</v>
      </c>
    </row>
    <row r="876" spans="1:40" x14ac:dyDescent="0.3">
      <c r="A876" t="s">
        <v>59</v>
      </c>
      <c r="B876" t="s">
        <v>2387</v>
      </c>
      <c r="C876" t="s">
        <v>2365</v>
      </c>
      <c r="D876" s="4">
        <v>46008</v>
      </c>
      <c r="E876">
        <v>28000</v>
      </c>
      <c r="F876" t="s">
        <v>2366</v>
      </c>
      <c r="G876" t="s">
        <v>378</v>
      </c>
      <c r="H876" t="s">
        <v>67</v>
      </c>
      <c r="I876" t="s">
        <v>379</v>
      </c>
      <c r="J876" t="s">
        <v>67</v>
      </c>
      <c r="K876" t="s">
        <v>2388</v>
      </c>
      <c r="L876" t="s">
        <v>44</v>
      </c>
      <c r="M876" t="s">
        <v>2389</v>
      </c>
      <c r="N876">
        <v>19500</v>
      </c>
      <c r="O876" t="s">
        <v>97</v>
      </c>
      <c r="P876" t="s">
        <v>98</v>
      </c>
      <c r="Q876">
        <v>0</v>
      </c>
      <c r="R876">
        <v>0</v>
      </c>
      <c r="S876">
        <v>51.05</v>
      </c>
      <c r="T876">
        <v>0</v>
      </c>
      <c r="U876">
        <v>0</v>
      </c>
      <c r="V876" t="s">
        <v>2369</v>
      </c>
      <c r="W876">
        <v>106523058</v>
      </c>
      <c r="X876" t="s">
        <v>49</v>
      </c>
      <c r="Y876" t="s">
        <v>2390</v>
      </c>
      <c r="Z876" t="b">
        <v>0</v>
      </c>
      <c r="AA876">
        <v>548.48188050930469</v>
      </c>
      <c r="AN876" t="e">
        <f>100*(1-E876/AL876)</f>
        <v>#DIV/0!</v>
      </c>
    </row>
    <row r="877" spans="1:40" x14ac:dyDescent="0.3">
      <c r="A877" t="s">
        <v>166</v>
      </c>
      <c r="B877" t="s">
        <v>2391</v>
      </c>
      <c r="C877" t="s">
        <v>2391</v>
      </c>
      <c r="D877" s="4">
        <v>46008</v>
      </c>
      <c r="E877">
        <v>29500</v>
      </c>
      <c r="F877" t="s">
        <v>2392</v>
      </c>
      <c r="G877" t="s">
        <v>2026</v>
      </c>
      <c r="H877" t="s">
        <v>94</v>
      </c>
      <c r="I877" t="s">
        <v>2027</v>
      </c>
      <c r="J877" t="s">
        <v>96</v>
      </c>
      <c r="K877" t="s">
        <v>2393</v>
      </c>
      <c r="L877" t="s">
        <v>44</v>
      </c>
      <c r="M877" t="s">
        <v>2394</v>
      </c>
      <c r="N877">
        <v>71307</v>
      </c>
      <c r="O877" t="s">
        <v>45</v>
      </c>
      <c r="P877" t="s">
        <v>54</v>
      </c>
      <c r="Q877" t="s">
        <v>52</v>
      </c>
      <c r="R877">
        <v>0</v>
      </c>
      <c r="S877">
        <v>70.72</v>
      </c>
      <c r="T877" t="s">
        <v>48</v>
      </c>
      <c r="U877" t="s">
        <v>286</v>
      </c>
      <c r="V877" t="s">
        <v>2395</v>
      </c>
      <c r="W877">
        <v>40480490</v>
      </c>
      <c r="X877" t="s">
        <v>49</v>
      </c>
      <c r="Y877" t="s">
        <v>2396</v>
      </c>
      <c r="Z877" t="b">
        <v>0</v>
      </c>
      <c r="AA877">
        <v>417.13800904977381</v>
      </c>
      <c r="AN877" t="e">
        <f>100*(1-E877/AL877)</f>
        <v>#DIV/0!</v>
      </c>
    </row>
    <row r="878" spans="1:40" x14ac:dyDescent="0.3">
      <c r="A878" t="s">
        <v>215</v>
      </c>
      <c r="B878" t="s">
        <v>2397</v>
      </c>
      <c r="C878" t="s">
        <v>2398</v>
      </c>
      <c r="D878" s="4">
        <v>46008</v>
      </c>
      <c r="E878">
        <v>21000</v>
      </c>
      <c r="F878" t="s">
        <v>725</v>
      </c>
      <c r="G878" t="s">
        <v>2399</v>
      </c>
      <c r="H878" t="s">
        <v>152</v>
      </c>
      <c r="I878" t="s">
        <v>277</v>
      </c>
      <c r="J878" t="s">
        <v>221</v>
      </c>
      <c r="K878" t="s">
        <v>2400</v>
      </c>
      <c r="L878" t="s">
        <v>44</v>
      </c>
      <c r="M878" t="s">
        <v>2401</v>
      </c>
      <c r="N878">
        <v>20011</v>
      </c>
      <c r="O878" t="s">
        <v>45</v>
      </c>
      <c r="P878" t="s">
        <v>56</v>
      </c>
      <c r="Q878">
        <v>0</v>
      </c>
      <c r="R878">
        <v>0</v>
      </c>
      <c r="S878">
        <v>0</v>
      </c>
      <c r="T878" t="s">
        <v>92</v>
      </c>
      <c r="U878">
        <v>100</v>
      </c>
      <c r="V878" t="s">
        <v>2402</v>
      </c>
      <c r="W878">
        <v>102937830</v>
      </c>
      <c r="X878" t="s">
        <v>49</v>
      </c>
      <c r="Y878" t="s">
        <v>2403</v>
      </c>
      <c r="Z878" t="b">
        <v>0</v>
      </c>
      <c r="AA878" t="s">
        <v>58</v>
      </c>
      <c r="AN878" t="e">
        <f>100*(1-E878/AL878)</f>
        <v>#DIV/0!</v>
      </c>
    </row>
    <row r="879" spans="1:40" x14ac:dyDescent="0.3">
      <c r="A879" t="s">
        <v>215</v>
      </c>
      <c r="B879" t="s">
        <v>2404</v>
      </c>
      <c r="C879" t="s">
        <v>2398</v>
      </c>
      <c r="D879" s="4">
        <v>46008</v>
      </c>
      <c r="E879">
        <v>21000</v>
      </c>
      <c r="F879" t="s">
        <v>725</v>
      </c>
      <c r="G879" t="s">
        <v>2399</v>
      </c>
      <c r="H879" t="s">
        <v>152</v>
      </c>
      <c r="I879" t="s">
        <v>277</v>
      </c>
      <c r="J879" t="s">
        <v>221</v>
      </c>
      <c r="K879" t="s">
        <v>2400</v>
      </c>
      <c r="L879" t="s">
        <v>44</v>
      </c>
      <c r="M879" t="s">
        <v>2401</v>
      </c>
      <c r="N879">
        <v>20011</v>
      </c>
      <c r="O879" t="s">
        <v>45</v>
      </c>
      <c r="P879" t="s">
        <v>56</v>
      </c>
      <c r="Q879">
        <v>0</v>
      </c>
      <c r="R879">
        <v>0</v>
      </c>
      <c r="S879">
        <v>0</v>
      </c>
      <c r="T879" t="s">
        <v>92</v>
      </c>
      <c r="U879">
        <v>100</v>
      </c>
      <c r="V879" t="s">
        <v>2402</v>
      </c>
      <c r="W879">
        <v>102937830</v>
      </c>
      <c r="X879" t="s">
        <v>49</v>
      </c>
      <c r="Y879" t="s">
        <v>2405</v>
      </c>
      <c r="Z879" t="b">
        <v>0</v>
      </c>
      <c r="AA879" t="s">
        <v>58</v>
      </c>
      <c r="AN879" t="e">
        <f>100*(1-E879/AL879)</f>
        <v>#DIV/0!</v>
      </c>
    </row>
    <row r="880" spans="1:40" x14ac:dyDescent="0.3">
      <c r="A880" t="s">
        <v>215</v>
      </c>
      <c r="B880" t="s">
        <v>2406</v>
      </c>
      <c r="C880" t="s">
        <v>2398</v>
      </c>
      <c r="D880" s="4">
        <v>46008</v>
      </c>
      <c r="E880">
        <v>1000</v>
      </c>
      <c r="F880" t="s">
        <v>395</v>
      </c>
      <c r="G880" t="s">
        <v>2399</v>
      </c>
      <c r="H880" t="s">
        <v>152</v>
      </c>
      <c r="I880" t="s">
        <v>277</v>
      </c>
      <c r="J880" t="s">
        <v>221</v>
      </c>
      <c r="K880" t="s">
        <v>2400</v>
      </c>
      <c r="L880" t="s">
        <v>44</v>
      </c>
      <c r="M880" t="s">
        <v>2401</v>
      </c>
      <c r="N880">
        <v>20011</v>
      </c>
      <c r="O880" t="s">
        <v>45</v>
      </c>
      <c r="P880" t="s">
        <v>56</v>
      </c>
      <c r="Q880">
        <v>0</v>
      </c>
      <c r="R880">
        <v>0</v>
      </c>
      <c r="S880">
        <v>0</v>
      </c>
      <c r="T880" t="s">
        <v>92</v>
      </c>
      <c r="U880">
        <v>100</v>
      </c>
      <c r="V880" t="s">
        <v>2402</v>
      </c>
      <c r="W880">
        <v>102937830</v>
      </c>
      <c r="X880" t="s">
        <v>49</v>
      </c>
      <c r="Y880" t="s">
        <v>2407</v>
      </c>
      <c r="Z880" t="b">
        <v>0</v>
      </c>
      <c r="AA880" t="s">
        <v>58</v>
      </c>
      <c r="AN880" t="e">
        <f>100*(1-E880/AL880)</f>
        <v>#DIV/0!</v>
      </c>
    </row>
    <row r="881" spans="1:40" x14ac:dyDescent="0.3">
      <c r="A881" t="s">
        <v>166</v>
      </c>
      <c r="B881" t="s">
        <v>2408</v>
      </c>
      <c r="C881" t="s">
        <v>2408</v>
      </c>
      <c r="D881" s="4">
        <v>46008</v>
      </c>
      <c r="E881">
        <v>38500</v>
      </c>
      <c r="F881" t="s">
        <v>2409</v>
      </c>
      <c r="G881" t="s">
        <v>462</v>
      </c>
      <c r="H881" t="s">
        <v>230</v>
      </c>
      <c r="I881" t="s">
        <v>463</v>
      </c>
      <c r="J881" t="s">
        <v>464</v>
      </c>
      <c r="K881" t="s">
        <v>2410</v>
      </c>
      <c r="L881" t="s">
        <v>44</v>
      </c>
      <c r="M881" t="s">
        <v>2411</v>
      </c>
      <c r="N881">
        <v>68100</v>
      </c>
      <c r="O881" t="s">
        <v>45</v>
      </c>
      <c r="P881" t="s">
        <v>54</v>
      </c>
      <c r="Q881" t="s">
        <v>55</v>
      </c>
      <c r="R881">
        <v>0</v>
      </c>
      <c r="S881">
        <v>25.85</v>
      </c>
      <c r="T881">
        <v>0</v>
      </c>
      <c r="U881">
        <v>0</v>
      </c>
      <c r="V881" t="s">
        <v>2412</v>
      </c>
      <c r="W881">
        <v>119825492</v>
      </c>
      <c r="X881" t="s">
        <v>49</v>
      </c>
      <c r="Y881" t="s">
        <v>2413</v>
      </c>
      <c r="Z881" t="b">
        <v>0</v>
      </c>
      <c r="AA881">
        <v>1489.36170212766</v>
      </c>
      <c r="AN881" t="e">
        <f>100*(1-E881/AL881)</f>
        <v>#DIV/0!</v>
      </c>
    </row>
    <row r="882" spans="1:40" x14ac:dyDescent="0.3">
      <c r="A882" t="s">
        <v>215</v>
      </c>
      <c r="B882" t="s">
        <v>2414</v>
      </c>
      <c r="C882" t="s">
        <v>2414</v>
      </c>
      <c r="D882" s="4">
        <v>46008</v>
      </c>
      <c r="E882">
        <v>43000</v>
      </c>
      <c r="F882" t="s">
        <v>2415</v>
      </c>
      <c r="G882" t="s">
        <v>238</v>
      </c>
      <c r="H882" t="s">
        <v>62</v>
      </c>
      <c r="I882" t="s">
        <v>238</v>
      </c>
      <c r="J882" t="s">
        <v>238</v>
      </c>
      <c r="K882" t="s">
        <v>2416</v>
      </c>
      <c r="L882" t="s">
        <v>44</v>
      </c>
      <c r="M882" t="s">
        <v>2417</v>
      </c>
      <c r="N882">
        <v>61100</v>
      </c>
      <c r="O882" t="s">
        <v>45</v>
      </c>
      <c r="P882" t="s">
        <v>81</v>
      </c>
      <c r="Q882" t="s">
        <v>52</v>
      </c>
      <c r="R882">
        <v>0</v>
      </c>
      <c r="S882">
        <v>94.76</v>
      </c>
      <c r="T882">
        <v>0</v>
      </c>
      <c r="U882">
        <v>0</v>
      </c>
      <c r="V882" t="s">
        <v>2418</v>
      </c>
      <c r="W882">
        <v>32878280</v>
      </c>
      <c r="X882" t="s">
        <v>86</v>
      </c>
      <c r="Y882" t="s">
        <v>2419</v>
      </c>
      <c r="Z882" t="b">
        <v>0</v>
      </c>
      <c r="AA882">
        <v>453.77796538623892</v>
      </c>
      <c r="AN882" t="e">
        <f>100*(1-E882/AL882)</f>
        <v>#DIV/0!</v>
      </c>
    </row>
    <row r="883" spans="1:40" x14ac:dyDescent="0.3">
      <c r="A883" t="s">
        <v>215</v>
      </c>
      <c r="B883" t="s">
        <v>2420</v>
      </c>
      <c r="C883" t="s">
        <v>2421</v>
      </c>
      <c r="D883" s="4">
        <v>46008</v>
      </c>
      <c r="E883">
        <v>1</v>
      </c>
      <c r="F883" t="s">
        <v>2422</v>
      </c>
      <c r="G883" t="s">
        <v>194</v>
      </c>
      <c r="H883" t="s">
        <v>67</v>
      </c>
      <c r="I883" t="s">
        <v>195</v>
      </c>
      <c r="J883" t="s">
        <v>67</v>
      </c>
      <c r="K883" t="s">
        <v>2423</v>
      </c>
      <c r="L883" t="s">
        <v>44</v>
      </c>
      <c r="M883" t="s">
        <v>2424</v>
      </c>
      <c r="N883">
        <v>18537</v>
      </c>
      <c r="O883" t="s">
        <v>45</v>
      </c>
      <c r="P883" t="s">
        <v>56</v>
      </c>
      <c r="Q883">
        <v>0</v>
      </c>
      <c r="R883">
        <v>0</v>
      </c>
      <c r="S883">
        <v>0</v>
      </c>
      <c r="T883" t="s">
        <v>92</v>
      </c>
      <c r="U883">
        <v>100</v>
      </c>
      <c r="V883" t="s">
        <v>2425</v>
      </c>
      <c r="W883">
        <v>40024004</v>
      </c>
      <c r="X883" t="s">
        <v>49</v>
      </c>
      <c r="Y883" t="s">
        <v>2426</v>
      </c>
      <c r="Z883" t="b">
        <v>0</v>
      </c>
      <c r="AA883" t="s">
        <v>58</v>
      </c>
      <c r="AN883" t="e">
        <f>100*(1-E883/AL883)</f>
        <v>#DIV/0!</v>
      </c>
    </row>
    <row r="884" spans="1:40" x14ac:dyDescent="0.3">
      <c r="A884" t="s">
        <v>59</v>
      </c>
      <c r="B884" t="s">
        <v>2427</v>
      </c>
      <c r="C884" t="s">
        <v>2427</v>
      </c>
      <c r="D884" s="4">
        <v>46008</v>
      </c>
      <c r="E884">
        <v>28000</v>
      </c>
      <c r="F884" t="s">
        <v>2428</v>
      </c>
      <c r="G884" t="s">
        <v>469</v>
      </c>
      <c r="H884" t="s">
        <v>196</v>
      </c>
      <c r="I884" t="s">
        <v>470</v>
      </c>
      <c r="J884" t="s">
        <v>396</v>
      </c>
      <c r="K884" t="s">
        <v>2429</v>
      </c>
      <c r="L884" t="s">
        <v>80</v>
      </c>
      <c r="M884" t="s">
        <v>2430</v>
      </c>
      <c r="N884">
        <v>85106</v>
      </c>
      <c r="O884" t="s">
        <v>97</v>
      </c>
      <c r="P884" t="s">
        <v>118</v>
      </c>
      <c r="Q884">
        <v>0</v>
      </c>
      <c r="R884">
        <v>0</v>
      </c>
      <c r="S884">
        <v>13880</v>
      </c>
      <c r="T884" t="s">
        <v>48</v>
      </c>
      <c r="U884">
        <v>50</v>
      </c>
      <c r="V884" t="s">
        <v>2431</v>
      </c>
      <c r="W884">
        <v>112272337</v>
      </c>
      <c r="X884" t="s">
        <v>86</v>
      </c>
      <c r="Y884">
        <v>0</v>
      </c>
      <c r="Z884" t="b">
        <v>0</v>
      </c>
      <c r="AA884">
        <v>2.0172910662824211</v>
      </c>
      <c r="AN884" t="e">
        <f>100*(1-E884/AL884)</f>
        <v>#DIV/0!</v>
      </c>
    </row>
    <row r="885" spans="1:40" x14ac:dyDescent="0.3">
      <c r="A885" t="s">
        <v>166</v>
      </c>
      <c r="B885" t="s">
        <v>2432</v>
      </c>
      <c r="C885" t="s">
        <v>2432</v>
      </c>
      <c r="D885" s="4">
        <v>46008</v>
      </c>
      <c r="E885">
        <v>42300</v>
      </c>
      <c r="F885" t="s">
        <v>2433</v>
      </c>
      <c r="G885" t="s">
        <v>527</v>
      </c>
      <c r="H885" t="s">
        <v>196</v>
      </c>
      <c r="I885" t="s">
        <v>470</v>
      </c>
      <c r="J885" t="s">
        <v>396</v>
      </c>
      <c r="K885" t="s">
        <v>2434</v>
      </c>
      <c r="L885" t="s">
        <v>80</v>
      </c>
      <c r="M885" t="s">
        <v>527</v>
      </c>
      <c r="N885">
        <v>85100</v>
      </c>
      <c r="O885" t="s">
        <v>45</v>
      </c>
      <c r="P885" t="s">
        <v>54</v>
      </c>
      <c r="Q885" t="s">
        <v>100</v>
      </c>
      <c r="R885">
        <v>0</v>
      </c>
      <c r="S885">
        <v>79.61</v>
      </c>
      <c r="T885" t="s">
        <v>161</v>
      </c>
      <c r="U885">
        <v>50</v>
      </c>
      <c r="V885" t="s">
        <v>2435</v>
      </c>
      <c r="W885">
        <v>74238807</v>
      </c>
      <c r="X885" t="s">
        <v>86</v>
      </c>
      <c r="Y885">
        <v>0</v>
      </c>
      <c r="Z885" t="b">
        <v>0</v>
      </c>
      <c r="AA885">
        <v>531.34028388393415</v>
      </c>
      <c r="AN885" t="e">
        <f>100*(1-E885/AL885)</f>
        <v>#DIV/0!</v>
      </c>
    </row>
    <row r="886" spans="1:40" x14ac:dyDescent="0.3">
      <c r="A886" t="s">
        <v>166</v>
      </c>
      <c r="B886" t="s">
        <v>2436</v>
      </c>
      <c r="C886" t="s">
        <v>2436</v>
      </c>
      <c r="D886" s="4">
        <v>46008</v>
      </c>
      <c r="E886">
        <v>60000</v>
      </c>
      <c r="F886" t="s">
        <v>77</v>
      </c>
      <c r="G886" t="s">
        <v>492</v>
      </c>
      <c r="H886" t="s">
        <v>62</v>
      </c>
      <c r="I886" t="s">
        <v>402</v>
      </c>
      <c r="J886" t="s">
        <v>108</v>
      </c>
      <c r="K886" t="s">
        <v>2437</v>
      </c>
      <c r="L886" t="s">
        <v>44</v>
      </c>
      <c r="M886" t="s">
        <v>2438</v>
      </c>
      <c r="N886">
        <v>59300</v>
      </c>
      <c r="O886" t="s">
        <v>45</v>
      </c>
      <c r="P886" t="s">
        <v>81</v>
      </c>
      <c r="Q886" t="s">
        <v>52</v>
      </c>
      <c r="R886">
        <v>0</v>
      </c>
      <c r="S886">
        <v>90</v>
      </c>
      <c r="T886">
        <v>0</v>
      </c>
      <c r="U886">
        <v>0</v>
      </c>
      <c r="V886" t="s">
        <v>2439</v>
      </c>
      <c r="W886">
        <v>49153501</v>
      </c>
      <c r="X886" t="s">
        <v>86</v>
      </c>
      <c r="Y886" t="s">
        <v>2440</v>
      </c>
      <c r="Z886" t="b">
        <v>0</v>
      </c>
      <c r="AA886">
        <v>666.66666666666663</v>
      </c>
      <c r="AN886" t="e">
        <f>100*(1-E886/AL886)</f>
        <v>#DIV/0!</v>
      </c>
    </row>
    <row r="887" spans="1:40" x14ac:dyDescent="0.3">
      <c r="A887" t="s">
        <v>71</v>
      </c>
      <c r="B887" t="s">
        <v>2441</v>
      </c>
      <c r="C887" t="s">
        <v>2441</v>
      </c>
      <c r="D887" s="4">
        <v>46008</v>
      </c>
      <c r="E887">
        <v>119766</v>
      </c>
      <c r="F887" t="s">
        <v>60</v>
      </c>
      <c r="G887" t="s">
        <v>143</v>
      </c>
      <c r="H887" t="s">
        <v>41</v>
      </c>
      <c r="I887" t="s">
        <v>144</v>
      </c>
      <c r="J887" t="s">
        <v>145</v>
      </c>
      <c r="K887" t="s">
        <v>2442</v>
      </c>
      <c r="L887" t="s">
        <v>44</v>
      </c>
      <c r="M887" t="s">
        <v>2443</v>
      </c>
      <c r="N887">
        <v>45332</v>
      </c>
      <c r="O887" t="s">
        <v>45</v>
      </c>
      <c r="P887" t="s">
        <v>54</v>
      </c>
      <c r="Q887" t="s">
        <v>64</v>
      </c>
      <c r="R887">
        <v>0</v>
      </c>
      <c r="S887">
        <v>73</v>
      </c>
      <c r="T887">
        <v>0</v>
      </c>
      <c r="U887">
        <v>0</v>
      </c>
      <c r="V887" t="s">
        <v>2444</v>
      </c>
      <c r="W887" t="s">
        <v>2445</v>
      </c>
      <c r="X887" t="s">
        <v>49</v>
      </c>
      <c r="Y887" t="s">
        <v>2446</v>
      </c>
      <c r="Z887" t="b">
        <v>0</v>
      </c>
      <c r="AA887">
        <v>1640.6301369863011</v>
      </c>
      <c r="AN887" t="e">
        <f>100*(1-E887/AL887)</f>
        <v>#DIV/0!</v>
      </c>
    </row>
    <row r="888" spans="1:40" x14ac:dyDescent="0.3">
      <c r="A888" t="s">
        <v>59</v>
      </c>
      <c r="B888" t="s">
        <v>2427</v>
      </c>
      <c r="C888" t="s">
        <v>2427</v>
      </c>
      <c r="D888" s="4">
        <v>46008</v>
      </c>
      <c r="E888">
        <v>28000</v>
      </c>
      <c r="F888" t="s">
        <v>2428</v>
      </c>
      <c r="G888" t="s">
        <v>469</v>
      </c>
      <c r="H888" t="s">
        <v>196</v>
      </c>
      <c r="I888" t="s">
        <v>470</v>
      </c>
      <c r="J888" t="s">
        <v>396</v>
      </c>
      <c r="K888" t="s">
        <v>2429</v>
      </c>
      <c r="L888" t="s">
        <v>80</v>
      </c>
      <c r="M888" t="s">
        <v>2430</v>
      </c>
      <c r="N888">
        <v>85106</v>
      </c>
      <c r="O888" t="s">
        <v>97</v>
      </c>
      <c r="P888" t="s">
        <v>118</v>
      </c>
      <c r="Q888">
        <v>0</v>
      </c>
      <c r="R888">
        <v>0</v>
      </c>
      <c r="S888">
        <v>13880</v>
      </c>
      <c r="T888" t="s">
        <v>48</v>
      </c>
      <c r="U888">
        <v>50</v>
      </c>
      <c r="V888" t="s">
        <v>2431</v>
      </c>
      <c r="W888">
        <v>112272337</v>
      </c>
      <c r="X888" t="s">
        <v>86</v>
      </c>
      <c r="Y888">
        <v>0</v>
      </c>
      <c r="Z888" t="b">
        <v>0</v>
      </c>
      <c r="AA888">
        <v>2.0172910662824211</v>
      </c>
      <c r="AN888" t="e">
        <f>100*(1-E888/AL888)</f>
        <v>#DIV/0!</v>
      </c>
    </row>
    <row r="889" spans="1:40" x14ac:dyDescent="0.3">
      <c r="A889" t="s">
        <v>166</v>
      </c>
      <c r="B889" t="s">
        <v>2447</v>
      </c>
      <c r="C889" t="s">
        <v>2447</v>
      </c>
      <c r="D889" s="4">
        <v>46008</v>
      </c>
      <c r="E889">
        <v>152000</v>
      </c>
      <c r="F889" t="s">
        <v>1665</v>
      </c>
      <c r="G889" t="s">
        <v>115</v>
      </c>
      <c r="H889" t="s">
        <v>67</v>
      </c>
      <c r="I889" t="s">
        <v>116</v>
      </c>
      <c r="J889" t="s">
        <v>67</v>
      </c>
      <c r="K889" t="s">
        <v>2448</v>
      </c>
      <c r="L889" t="s">
        <v>44</v>
      </c>
      <c r="M889" t="s">
        <v>2449</v>
      </c>
      <c r="N889">
        <v>11476</v>
      </c>
      <c r="O889" t="s">
        <v>45</v>
      </c>
      <c r="P889" t="s">
        <v>54</v>
      </c>
      <c r="Q889" t="s">
        <v>52</v>
      </c>
      <c r="R889">
        <v>0</v>
      </c>
      <c r="S889">
        <v>81.040000000000006</v>
      </c>
      <c r="T889">
        <v>0</v>
      </c>
      <c r="U889">
        <v>0</v>
      </c>
      <c r="V889" t="s">
        <v>2450</v>
      </c>
      <c r="W889">
        <v>28247608</v>
      </c>
      <c r="X889" t="s">
        <v>86</v>
      </c>
      <c r="Y889" t="s">
        <v>2451</v>
      </c>
      <c r="Z889" t="b">
        <v>0</v>
      </c>
      <c r="AA889">
        <v>1875.6169792694959</v>
      </c>
      <c r="AN889" t="e">
        <f>100*(1-E889/AL889)</f>
        <v>#DIV/0!</v>
      </c>
    </row>
    <row r="890" spans="1:40" x14ac:dyDescent="0.3">
      <c r="A890" t="s">
        <v>139</v>
      </c>
      <c r="B890" t="s">
        <v>2452</v>
      </c>
      <c r="C890" t="s">
        <v>2452</v>
      </c>
      <c r="D890" s="4">
        <v>46008</v>
      </c>
      <c r="E890">
        <v>1600</v>
      </c>
      <c r="F890" t="s">
        <v>417</v>
      </c>
      <c r="G890" t="s">
        <v>90</v>
      </c>
      <c r="H890" t="s">
        <v>67</v>
      </c>
      <c r="I890" t="s">
        <v>91</v>
      </c>
      <c r="J890" t="s">
        <v>67</v>
      </c>
      <c r="K890" t="s">
        <v>2453</v>
      </c>
      <c r="L890" t="s">
        <v>44</v>
      </c>
      <c r="M890" t="s">
        <v>2454</v>
      </c>
      <c r="N890">
        <v>17672</v>
      </c>
      <c r="O890" t="s">
        <v>45</v>
      </c>
      <c r="P890" t="s">
        <v>46</v>
      </c>
      <c r="Q890" t="s">
        <v>47</v>
      </c>
      <c r="R890">
        <v>0</v>
      </c>
      <c r="S890">
        <v>3.5</v>
      </c>
      <c r="T890">
        <v>0</v>
      </c>
      <c r="U890">
        <v>0</v>
      </c>
      <c r="V890" t="s">
        <v>2455</v>
      </c>
      <c r="W890">
        <v>24094100</v>
      </c>
      <c r="X890" t="s">
        <v>86</v>
      </c>
      <c r="Y890" t="s">
        <v>2456</v>
      </c>
      <c r="Z890" t="b">
        <v>0</v>
      </c>
      <c r="AA890">
        <v>457.14285714285722</v>
      </c>
      <c r="AN890" t="e">
        <f>100*(1-E890/AL890)</f>
        <v>#DIV/0!</v>
      </c>
    </row>
    <row r="891" spans="1:40" x14ac:dyDescent="0.3">
      <c r="A891" t="s">
        <v>139</v>
      </c>
      <c r="B891" t="s">
        <v>2452</v>
      </c>
      <c r="C891" t="s">
        <v>2452</v>
      </c>
      <c r="D891" s="4">
        <v>46008</v>
      </c>
      <c r="E891">
        <v>1600</v>
      </c>
      <c r="F891" t="s">
        <v>417</v>
      </c>
      <c r="G891" t="s">
        <v>90</v>
      </c>
      <c r="H891" t="s">
        <v>67</v>
      </c>
      <c r="I891" t="s">
        <v>91</v>
      </c>
      <c r="J891" t="s">
        <v>67</v>
      </c>
      <c r="K891" t="s">
        <v>2453</v>
      </c>
      <c r="L891" t="s">
        <v>44</v>
      </c>
      <c r="M891" t="s">
        <v>2454</v>
      </c>
      <c r="N891">
        <v>17672</v>
      </c>
      <c r="O891" t="s">
        <v>45</v>
      </c>
      <c r="P891" t="s">
        <v>46</v>
      </c>
      <c r="Q891" t="s">
        <v>47</v>
      </c>
      <c r="R891">
        <v>0</v>
      </c>
      <c r="S891">
        <v>3.5</v>
      </c>
      <c r="T891">
        <v>0</v>
      </c>
      <c r="U891">
        <v>0</v>
      </c>
      <c r="V891" t="s">
        <v>2455</v>
      </c>
      <c r="W891">
        <v>24094100</v>
      </c>
      <c r="X891" t="s">
        <v>86</v>
      </c>
      <c r="Y891" t="s">
        <v>2456</v>
      </c>
      <c r="Z891" t="b">
        <v>0</v>
      </c>
      <c r="AA891">
        <v>457.14285714285722</v>
      </c>
      <c r="AN891" t="e">
        <f>100*(1-E891/AL891)</f>
        <v>#DIV/0!</v>
      </c>
    </row>
    <row r="892" spans="1:40" x14ac:dyDescent="0.3">
      <c r="A892" t="s">
        <v>139</v>
      </c>
      <c r="B892" t="s">
        <v>2452</v>
      </c>
      <c r="C892" t="s">
        <v>2452</v>
      </c>
      <c r="D892" s="4">
        <v>46008</v>
      </c>
      <c r="E892">
        <v>1600</v>
      </c>
      <c r="F892" t="s">
        <v>417</v>
      </c>
      <c r="G892" t="s">
        <v>90</v>
      </c>
      <c r="H892" t="s">
        <v>67</v>
      </c>
      <c r="I892" t="s">
        <v>91</v>
      </c>
      <c r="J892" t="s">
        <v>67</v>
      </c>
      <c r="K892" t="s">
        <v>2453</v>
      </c>
      <c r="L892" t="s">
        <v>44</v>
      </c>
      <c r="M892" t="s">
        <v>2454</v>
      </c>
      <c r="N892">
        <v>17672</v>
      </c>
      <c r="O892" t="s">
        <v>45</v>
      </c>
      <c r="P892" t="s">
        <v>46</v>
      </c>
      <c r="Q892" t="s">
        <v>47</v>
      </c>
      <c r="R892">
        <v>0</v>
      </c>
      <c r="S892">
        <v>3.5</v>
      </c>
      <c r="T892">
        <v>0</v>
      </c>
      <c r="U892">
        <v>0</v>
      </c>
      <c r="V892" t="s">
        <v>2455</v>
      </c>
      <c r="W892">
        <v>24094100</v>
      </c>
      <c r="X892" t="s">
        <v>86</v>
      </c>
      <c r="Y892" t="s">
        <v>2456</v>
      </c>
      <c r="Z892" t="b">
        <v>0</v>
      </c>
      <c r="AA892">
        <v>457.14285714285722</v>
      </c>
      <c r="AN892" t="e">
        <f>100*(1-E892/AL892)</f>
        <v>#DIV/0!</v>
      </c>
    </row>
    <row r="893" spans="1:40" x14ac:dyDescent="0.3">
      <c r="A893" t="s">
        <v>71</v>
      </c>
      <c r="B893" t="s">
        <v>2457</v>
      </c>
      <c r="C893" t="s">
        <v>2457</v>
      </c>
      <c r="D893" s="4">
        <v>46008</v>
      </c>
      <c r="E893">
        <v>17000</v>
      </c>
      <c r="F893" t="s">
        <v>2458</v>
      </c>
      <c r="G893" t="s">
        <v>2459</v>
      </c>
      <c r="H893" t="s">
        <v>124</v>
      </c>
      <c r="I893" t="s">
        <v>255</v>
      </c>
      <c r="J893" t="s">
        <v>256</v>
      </c>
      <c r="K893" t="s">
        <v>2460</v>
      </c>
      <c r="L893" t="s">
        <v>44</v>
      </c>
      <c r="M893" t="s">
        <v>2461</v>
      </c>
      <c r="N893">
        <v>30027</v>
      </c>
      <c r="O893" t="s">
        <v>97</v>
      </c>
      <c r="P893" t="s">
        <v>98</v>
      </c>
      <c r="Q893">
        <v>0</v>
      </c>
      <c r="R893">
        <v>0</v>
      </c>
      <c r="S893">
        <v>344</v>
      </c>
      <c r="T893" t="s">
        <v>48</v>
      </c>
      <c r="U893" t="s">
        <v>2462</v>
      </c>
      <c r="V893" t="s">
        <v>2463</v>
      </c>
      <c r="W893">
        <v>46363351</v>
      </c>
      <c r="X893" t="s">
        <v>49</v>
      </c>
      <c r="Y893" t="s">
        <v>2464</v>
      </c>
      <c r="Z893" t="b">
        <v>0</v>
      </c>
      <c r="AA893">
        <v>49.418604651162788</v>
      </c>
      <c r="AN893" t="e">
        <f>100*(1-E893/AL893)</f>
        <v>#DIV/0!</v>
      </c>
    </row>
    <row r="894" spans="1:40" x14ac:dyDescent="0.3">
      <c r="A894" t="s">
        <v>39</v>
      </c>
      <c r="B894" t="s">
        <v>2465</v>
      </c>
      <c r="C894" t="s">
        <v>2465</v>
      </c>
      <c r="D894" s="4">
        <v>46008</v>
      </c>
      <c r="E894">
        <v>139000</v>
      </c>
      <c r="F894" t="s">
        <v>2466</v>
      </c>
      <c r="G894" t="s">
        <v>2467</v>
      </c>
      <c r="H894" t="s">
        <v>196</v>
      </c>
      <c r="I894" t="s">
        <v>2468</v>
      </c>
      <c r="J894" t="s">
        <v>198</v>
      </c>
      <c r="K894" t="s">
        <v>2469</v>
      </c>
      <c r="L894" t="s">
        <v>80</v>
      </c>
      <c r="M894" t="s">
        <v>2470</v>
      </c>
      <c r="N894">
        <v>84700</v>
      </c>
      <c r="O894" t="s">
        <v>45</v>
      </c>
      <c r="P894" t="s">
        <v>81</v>
      </c>
      <c r="Q894" t="s">
        <v>52</v>
      </c>
      <c r="R894">
        <v>0</v>
      </c>
      <c r="S894">
        <v>56.94</v>
      </c>
      <c r="T894">
        <v>0</v>
      </c>
      <c r="U894">
        <v>0</v>
      </c>
      <c r="V894" t="s">
        <v>2471</v>
      </c>
      <c r="W894" t="s">
        <v>2472</v>
      </c>
      <c r="X894" t="s">
        <v>86</v>
      </c>
      <c r="Y894">
        <v>0</v>
      </c>
      <c r="Z894" t="b">
        <v>0</v>
      </c>
      <c r="AA894">
        <v>2441.1661397962771</v>
      </c>
      <c r="AN894" t="e">
        <f>100*(1-E894/AL894)</f>
        <v>#DIV/0!</v>
      </c>
    </row>
    <row r="895" spans="1:40" x14ac:dyDescent="0.3">
      <c r="A895" t="s">
        <v>39</v>
      </c>
      <c r="B895" t="s">
        <v>2473</v>
      </c>
      <c r="C895" t="s">
        <v>2473</v>
      </c>
      <c r="D895" s="4">
        <v>46008</v>
      </c>
      <c r="E895">
        <v>80900</v>
      </c>
      <c r="F895" t="s">
        <v>424</v>
      </c>
      <c r="G895" t="s">
        <v>2474</v>
      </c>
      <c r="H895" t="s">
        <v>111</v>
      </c>
      <c r="I895" t="s">
        <v>2475</v>
      </c>
      <c r="J895" t="s">
        <v>165</v>
      </c>
      <c r="K895" t="s">
        <v>2476</v>
      </c>
      <c r="L895" t="s">
        <v>44</v>
      </c>
      <c r="M895" t="s">
        <v>2477</v>
      </c>
      <c r="N895">
        <v>32012</v>
      </c>
      <c r="O895" t="s">
        <v>45</v>
      </c>
      <c r="P895" t="s">
        <v>54</v>
      </c>
      <c r="Q895" t="s">
        <v>52</v>
      </c>
      <c r="R895">
        <v>0</v>
      </c>
      <c r="S895">
        <v>88.01</v>
      </c>
      <c r="T895">
        <v>0</v>
      </c>
      <c r="U895">
        <v>0</v>
      </c>
      <c r="V895" t="s">
        <v>2478</v>
      </c>
      <c r="W895">
        <v>45763060</v>
      </c>
      <c r="X895" t="s">
        <v>86</v>
      </c>
      <c r="Y895" t="s">
        <v>2479</v>
      </c>
      <c r="Z895" t="b">
        <v>0</v>
      </c>
      <c r="AA895">
        <v>919.21372571298707</v>
      </c>
      <c r="AN895" t="e">
        <f>100*(1-E895/AL895)</f>
        <v>#DIV/0!</v>
      </c>
    </row>
    <row r="896" spans="1:40" x14ac:dyDescent="0.3">
      <c r="A896" t="s">
        <v>71</v>
      </c>
      <c r="B896" t="s">
        <v>2480</v>
      </c>
      <c r="C896" t="s">
        <v>2480</v>
      </c>
      <c r="D896" s="4">
        <v>46008</v>
      </c>
      <c r="E896">
        <v>133000</v>
      </c>
      <c r="F896" t="s">
        <v>2481</v>
      </c>
      <c r="G896" t="s">
        <v>2482</v>
      </c>
      <c r="H896" t="s">
        <v>94</v>
      </c>
      <c r="I896" t="s">
        <v>105</v>
      </c>
      <c r="J896" t="s">
        <v>105</v>
      </c>
      <c r="K896" t="s">
        <v>2483</v>
      </c>
      <c r="L896" t="s">
        <v>44</v>
      </c>
      <c r="M896" t="s">
        <v>2484</v>
      </c>
      <c r="N896">
        <v>73300</v>
      </c>
      <c r="O896" t="s">
        <v>331</v>
      </c>
      <c r="P896" t="s">
        <v>331</v>
      </c>
      <c r="Q896" t="s">
        <v>55</v>
      </c>
      <c r="R896">
        <v>0</v>
      </c>
      <c r="S896">
        <v>211.55</v>
      </c>
      <c r="T896">
        <v>0</v>
      </c>
      <c r="U896">
        <v>0</v>
      </c>
      <c r="V896" t="s">
        <v>2485</v>
      </c>
      <c r="W896">
        <v>20048373</v>
      </c>
      <c r="X896" t="s">
        <v>86</v>
      </c>
      <c r="Y896">
        <v>500891203011</v>
      </c>
      <c r="Z896" t="b">
        <v>0</v>
      </c>
      <c r="AA896">
        <v>628.69298038288821</v>
      </c>
      <c r="AN896" t="e">
        <f>100*(1-E896/AL896)</f>
        <v>#DIV/0!</v>
      </c>
    </row>
    <row r="897" spans="1:40" x14ac:dyDescent="0.3">
      <c r="A897" t="s">
        <v>71</v>
      </c>
      <c r="B897" t="s">
        <v>2486</v>
      </c>
      <c r="C897" t="s">
        <v>2486</v>
      </c>
      <c r="D897" s="4">
        <v>46008</v>
      </c>
      <c r="E897">
        <v>136500</v>
      </c>
      <c r="F897" t="s">
        <v>2487</v>
      </c>
      <c r="G897" t="s">
        <v>2488</v>
      </c>
      <c r="H897" t="s">
        <v>136</v>
      </c>
      <c r="I897" t="s">
        <v>2489</v>
      </c>
      <c r="J897" t="s">
        <v>149</v>
      </c>
      <c r="K897" t="s">
        <v>2490</v>
      </c>
      <c r="L897" t="s">
        <v>44</v>
      </c>
      <c r="M897" t="s">
        <v>2491</v>
      </c>
      <c r="N897">
        <v>40300</v>
      </c>
      <c r="O897" t="s">
        <v>45</v>
      </c>
      <c r="P897" t="s">
        <v>81</v>
      </c>
      <c r="Q897" t="s">
        <v>55</v>
      </c>
      <c r="R897">
        <v>0</v>
      </c>
      <c r="S897">
        <v>215</v>
      </c>
      <c r="T897">
        <v>0</v>
      </c>
      <c r="U897">
        <v>0</v>
      </c>
      <c r="V897" t="s">
        <v>2492</v>
      </c>
      <c r="W897">
        <v>50016767</v>
      </c>
      <c r="X897" t="s">
        <v>86</v>
      </c>
      <c r="Y897" t="s">
        <v>2493</v>
      </c>
      <c r="Z897" t="b">
        <v>0</v>
      </c>
      <c r="AA897">
        <v>634.88372093023258</v>
      </c>
      <c r="AN897" t="e">
        <f>100*(1-E897/AL897)</f>
        <v>#DIV/0!</v>
      </c>
    </row>
    <row r="898" spans="1:40" x14ac:dyDescent="0.3">
      <c r="A898" t="s">
        <v>139</v>
      </c>
      <c r="B898" t="s">
        <v>2494</v>
      </c>
      <c r="C898" t="s">
        <v>2494</v>
      </c>
      <c r="D898" s="4">
        <v>46008</v>
      </c>
      <c r="E898">
        <v>46000</v>
      </c>
      <c r="F898" t="s">
        <v>2495</v>
      </c>
      <c r="G898" t="s">
        <v>1141</v>
      </c>
      <c r="H898" t="s">
        <v>62</v>
      </c>
      <c r="I898" t="s">
        <v>88</v>
      </c>
      <c r="J898" t="s">
        <v>88</v>
      </c>
      <c r="K898" t="s">
        <v>2496</v>
      </c>
      <c r="L898" t="s">
        <v>44</v>
      </c>
      <c r="M898" t="s">
        <v>2497</v>
      </c>
      <c r="N898">
        <v>58100</v>
      </c>
      <c r="O898" t="s">
        <v>45</v>
      </c>
      <c r="P898" t="s">
        <v>81</v>
      </c>
      <c r="Q898" t="s">
        <v>55</v>
      </c>
      <c r="R898">
        <v>0</v>
      </c>
      <c r="S898">
        <v>247.41</v>
      </c>
      <c r="T898">
        <v>0</v>
      </c>
      <c r="U898">
        <v>0</v>
      </c>
      <c r="V898" t="s">
        <v>2498</v>
      </c>
      <c r="W898">
        <v>130141591</v>
      </c>
      <c r="X898" t="s">
        <v>86</v>
      </c>
      <c r="Y898" t="s">
        <v>2499</v>
      </c>
      <c r="Z898" t="b">
        <v>0</v>
      </c>
      <c r="AA898">
        <v>185.92619538418009</v>
      </c>
      <c r="AN898" t="e">
        <f>100*(1-E898/AL898)</f>
        <v>#DIV/0!</v>
      </c>
    </row>
    <row r="899" spans="1:40" x14ac:dyDescent="0.3">
      <c r="A899" t="s">
        <v>59</v>
      </c>
      <c r="B899" t="s">
        <v>2500</v>
      </c>
      <c r="C899" t="s">
        <v>2500</v>
      </c>
      <c r="D899" s="4">
        <v>46008</v>
      </c>
      <c r="E899">
        <v>141000</v>
      </c>
      <c r="F899" t="s">
        <v>162</v>
      </c>
      <c r="G899" t="s">
        <v>61</v>
      </c>
      <c r="H899" t="s">
        <v>62</v>
      </c>
      <c r="I899" t="s">
        <v>63</v>
      </c>
      <c r="J899" t="s">
        <v>63</v>
      </c>
      <c r="K899" t="s">
        <v>2501</v>
      </c>
      <c r="L899" t="s">
        <v>44</v>
      </c>
      <c r="M899" t="s">
        <v>2502</v>
      </c>
      <c r="N899">
        <v>54645</v>
      </c>
      <c r="O899" t="s">
        <v>45</v>
      </c>
      <c r="P899" t="s">
        <v>54</v>
      </c>
      <c r="Q899" t="s">
        <v>55</v>
      </c>
      <c r="R899">
        <v>0</v>
      </c>
      <c r="S899">
        <v>71.099999999999994</v>
      </c>
      <c r="T899">
        <v>0</v>
      </c>
      <c r="U899">
        <v>0</v>
      </c>
      <c r="V899" t="s">
        <v>2503</v>
      </c>
      <c r="W899">
        <v>45348976</v>
      </c>
      <c r="X899" t="s">
        <v>86</v>
      </c>
      <c r="Y899" t="s">
        <v>2504</v>
      </c>
      <c r="Z899" t="b">
        <v>0</v>
      </c>
      <c r="AA899">
        <v>1983.122362869198</v>
      </c>
      <c r="AN899" t="e">
        <f>100*(1-E899/AL899)</f>
        <v>#DIV/0!</v>
      </c>
    </row>
    <row r="900" spans="1:40" x14ac:dyDescent="0.3">
      <c r="A900" t="s">
        <v>71</v>
      </c>
      <c r="B900" t="s">
        <v>2505</v>
      </c>
      <c r="C900" t="s">
        <v>2505</v>
      </c>
      <c r="D900" s="4">
        <v>46008</v>
      </c>
      <c r="E900">
        <v>72800</v>
      </c>
      <c r="F900" t="s">
        <v>2358</v>
      </c>
      <c r="G900" t="s">
        <v>2506</v>
      </c>
      <c r="H900" t="s">
        <v>136</v>
      </c>
      <c r="I900" t="s">
        <v>451</v>
      </c>
      <c r="J900" t="s">
        <v>452</v>
      </c>
      <c r="K900" t="s">
        <v>2507</v>
      </c>
      <c r="L900" t="s">
        <v>44</v>
      </c>
      <c r="M900" t="s">
        <v>2508</v>
      </c>
      <c r="N900">
        <v>38334</v>
      </c>
      <c r="O900" t="s">
        <v>45</v>
      </c>
      <c r="P900" t="s">
        <v>81</v>
      </c>
      <c r="Q900" t="s">
        <v>52</v>
      </c>
      <c r="R900">
        <v>0</v>
      </c>
      <c r="S900">
        <v>80</v>
      </c>
      <c r="T900">
        <v>0</v>
      </c>
      <c r="U900">
        <v>0</v>
      </c>
      <c r="V900" t="s">
        <v>2509</v>
      </c>
      <c r="W900">
        <v>13943193</v>
      </c>
      <c r="X900" t="s">
        <v>86</v>
      </c>
      <c r="Y900" t="s">
        <v>2510</v>
      </c>
      <c r="Z900" t="b">
        <v>0</v>
      </c>
      <c r="AA900">
        <v>910</v>
      </c>
      <c r="AN900" t="e">
        <f>100*(1-E900/AL900)</f>
        <v>#DIV/0!</v>
      </c>
    </row>
    <row r="901" spans="1:40" x14ac:dyDescent="0.3">
      <c r="A901" t="s">
        <v>71</v>
      </c>
      <c r="B901" t="s">
        <v>2511</v>
      </c>
      <c r="C901" t="s">
        <v>2511</v>
      </c>
      <c r="D901" s="4">
        <v>46008</v>
      </c>
      <c r="E901">
        <v>311000</v>
      </c>
      <c r="F901" t="s">
        <v>2512</v>
      </c>
      <c r="G901" t="s">
        <v>2513</v>
      </c>
      <c r="H901" t="s">
        <v>196</v>
      </c>
      <c r="I901" t="s">
        <v>2514</v>
      </c>
      <c r="J901" t="s">
        <v>396</v>
      </c>
      <c r="K901" t="s">
        <v>2515</v>
      </c>
      <c r="L901" t="s">
        <v>44</v>
      </c>
      <c r="M901" t="s">
        <v>2516</v>
      </c>
      <c r="N901">
        <v>85300</v>
      </c>
      <c r="O901" t="s">
        <v>45</v>
      </c>
      <c r="P901" t="s">
        <v>81</v>
      </c>
      <c r="Q901" t="s">
        <v>52</v>
      </c>
      <c r="R901">
        <v>0</v>
      </c>
      <c r="S901">
        <v>282.60000000000002</v>
      </c>
      <c r="T901">
        <v>0</v>
      </c>
      <c r="U901">
        <v>0</v>
      </c>
      <c r="V901" t="s">
        <v>2517</v>
      </c>
      <c r="W901">
        <v>33333277</v>
      </c>
      <c r="X901" t="s">
        <v>86</v>
      </c>
      <c r="Y901">
        <v>0</v>
      </c>
      <c r="Z901" t="b">
        <v>0</v>
      </c>
      <c r="AA901">
        <v>1100.4953998584569</v>
      </c>
      <c r="AN901" t="e">
        <f>100*(1-E901/AL901)</f>
        <v>#DIV/0!</v>
      </c>
    </row>
    <row r="902" spans="1:40" x14ac:dyDescent="0.3">
      <c r="A902" t="s">
        <v>166</v>
      </c>
      <c r="B902" t="s">
        <v>2518</v>
      </c>
      <c r="C902" t="s">
        <v>2518</v>
      </c>
      <c r="D902" s="4">
        <v>46008</v>
      </c>
      <c r="E902">
        <v>204000</v>
      </c>
      <c r="F902" t="s">
        <v>2519</v>
      </c>
      <c r="G902" t="s">
        <v>416</v>
      </c>
      <c r="H902" t="s">
        <v>152</v>
      </c>
      <c r="I902" t="s">
        <v>373</v>
      </c>
      <c r="J902" t="s">
        <v>172</v>
      </c>
      <c r="K902" t="s">
        <v>2520</v>
      </c>
      <c r="L902" t="s">
        <v>44</v>
      </c>
      <c r="M902" t="s">
        <v>416</v>
      </c>
      <c r="N902">
        <v>21051</v>
      </c>
      <c r="O902" t="s">
        <v>50</v>
      </c>
      <c r="P902" t="s">
        <v>2521</v>
      </c>
      <c r="Q902" t="s">
        <v>55</v>
      </c>
      <c r="R902">
        <v>0</v>
      </c>
      <c r="S902">
        <v>207.08</v>
      </c>
      <c r="T902">
        <v>0</v>
      </c>
      <c r="U902">
        <v>0</v>
      </c>
      <c r="V902" t="s">
        <v>2522</v>
      </c>
      <c r="W902">
        <v>45114860</v>
      </c>
      <c r="X902" t="s">
        <v>86</v>
      </c>
      <c r="Y902" t="s">
        <v>2523</v>
      </c>
      <c r="Z902" t="b">
        <v>0</v>
      </c>
      <c r="AA902">
        <v>985.12652115124581</v>
      </c>
      <c r="AN902" t="e">
        <f>100*(1-E902/AL902)</f>
        <v>#DIV/0!</v>
      </c>
    </row>
    <row r="903" spans="1:40" x14ac:dyDescent="0.3">
      <c r="A903" t="s">
        <v>71</v>
      </c>
      <c r="B903" t="s">
        <v>2524</v>
      </c>
      <c r="C903" t="s">
        <v>2524</v>
      </c>
      <c r="D903" s="4">
        <v>46008</v>
      </c>
      <c r="E903">
        <v>33000</v>
      </c>
      <c r="F903" t="s">
        <v>205</v>
      </c>
      <c r="G903" t="s">
        <v>2525</v>
      </c>
      <c r="H903" t="s">
        <v>111</v>
      </c>
      <c r="I903" t="s">
        <v>319</v>
      </c>
      <c r="J903" t="s">
        <v>175</v>
      </c>
      <c r="K903" t="s">
        <v>2526</v>
      </c>
      <c r="L903" t="s">
        <v>44</v>
      </c>
      <c r="M903" t="s">
        <v>355</v>
      </c>
      <c r="N903">
        <v>34009</v>
      </c>
      <c r="O903" t="s">
        <v>45</v>
      </c>
      <c r="P903" t="s">
        <v>54</v>
      </c>
      <c r="Q903" t="s">
        <v>52</v>
      </c>
      <c r="R903">
        <v>0</v>
      </c>
      <c r="S903">
        <v>57.2</v>
      </c>
      <c r="T903">
        <v>0</v>
      </c>
      <c r="U903">
        <v>0</v>
      </c>
      <c r="V903" t="s">
        <v>2527</v>
      </c>
      <c r="W903">
        <v>138169324</v>
      </c>
      <c r="X903" t="s">
        <v>86</v>
      </c>
      <c r="Y903" t="s">
        <v>2528</v>
      </c>
      <c r="Z903" t="b">
        <v>0</v>
      </c>
      <c r="AA903">
        <v>576.92307692307691</v>
      </c>
      <c r="AN903" t="e">
        <f>100*(1-E903/AL903)</f>
        <v>#DIV/0!</v>
      </c>
    </row>
    <row r="904" spans="1:40" x14ac:dyDescent="0.3">
      <c r="A904" t="s">
        <v>59</v>
      </c>
      <c r="B904" t="s">
        <v>2529</v>
      </c>
      <c r="C904" t="s">
        <v>2529</v>
      </c>
      <c r="D904" s="4">
        <v>46008</v>
      </c>
      <c r="E904">
        <v>78000</v>
      </c>
      <c r="F904" t="s">
        <v>2530</v>
      </c>
      <c r="G904" t="s">
        <v>387</v>
      </c>
      <c r="H904" t="s">
        <v>62</v>
      </c>
      <c r="I904" t="s">
        <v>388</v>
      </c>
      <c r="J904" t="s">
        <v>389</v>
      </c>
      <c r="K904" t="s">
        <v>2531</v>
      </c>
      <c r="L904" t="s">
        <v>80</v>
      </c>
      <c r="M904" t="s">
        <v>2532</v>
      </c>
      <c r="N904">
        <v>63080</v>
      </c>
      <c r="O904" t="s">
        <v>97</v>
      </c>
      <c r="P904" t="s">
        <v>118</v>
      </c>
      <c r="Q904">
        <v>0</v>
      </c>
      <c r="R904">
        <v>0</v>
      </c>
      <c r="S904">
        <v>4700.33</v>
      </c>
      <c r="T904">
        <v>0</v>
      </c>
      <c r="U904">
        <v>0</v>
      </c>
      <c r="V904" t="s">
        <v>2533</v>
      </c>
      <c r="W904">
        <v>34317080</v>
      </c>
      <c r="X904" t="s">
        <v>86</v>
      </c>
      <c r="Y904">
        <v>0</v>
      </c>
      <c r="Z904" t="b">
        <v>0</v>
      </c>
      <c r="AA904">
        <v>16.594579529522399</v>
      </c>
      <c r="AN904" t="e">
        <f>100*(1-E904/AL904)</f>
        <v>#DIV/0!</v>
      </c>
    </row>
    <row r="905" spans="1:40" x14ac:dyDescent="0.3">
      <c r="A905" t="s">
        <v>166</v>
      </c>
      <c r="B905" t="s">
        <v>2534</v>
      </c>
      <c r="C905" t="s">
        <v>2534</v>
      </c>
      <c r="D905" s="4">
        <v>46008</v>
      </c>
      <c r="E905">
        <v>37400</v>
      </c>
      <c r="F905" t="s">
        <v>303</v>
      </c>
      <c r="G905" t="s">
        <v>110</v>
      </c>
      <c r="H905" t="s">
        <v>111</v>
      </c>
      <c r="I905" t="s">
        <v>112</v>
      </c>
      <c r="J905" t="s">
        <v>113</v>
      </c>
      <c r="K905" t="s">
        <v>2535</v>
      </c>
      <c r="L905" t="s">
        <v>44</v>
      </c>
      <c r="M905" t="s">
        <v>2536</v>
      </c>
      <c r="N905">
        <v>35100</v>
      </c>
      <c r="O905" t="s">
        <v>45</v>
      </c>
      <c r="P905" t="s">
        <v>54</v>
      </c>
      <c r="Q905">
        <v>0</v>
      </c>
      <c r="R905">
        <v>0</v>
      </c>
      <c r="S905">
        <v>73.5</v>
      </c>
      <c r="T905">
        <v>0</v>
      </c>
      <c r="U905">
        <v>0</v>
      </c>
      <c r="V905" t="s">
        <v>2537</v>
      </c>
      <c r="W905">
        <v>35611505</v>
      </c>
      <c r="X905" t="s">
        <v>86</v>
      </c>
      <c r="Y905" t="s">
        <v>2538</v>
      </c>
      <c r="Z905" t="b">
        <v>0</v>
      </c>
      <c r="AA905">
        <v>508.84353741496602</v>
      </c>
      <c r="AN905" t="e">
        <f>100*(1-E905/AL905)</f>
        <v>#DIV/0!</v>
      </c>
    </row>
    <row r="906" spans="1:40" x14ac:dyDescent="0.3">
      <c r="A906" t="s">
        <v>59</v>
      </c>
      <c r="B906" t="s">
        <v>2529</v>
      </c>
      <c r="C906" t="s">
        <v>2529</v>
      </c>
      <c r="D906" s="4">
        <v>46008</v>
      </c>
      <c r="E906">
        <v>78000</v>
      </c>
      <c r="F906" t="s">
        <v>2530</v>
      </c>
      <c r="G906" t="s">
        <v>387</v>
      </c>
      <c r="H906" t="s">
        <v>62</v>
      </c>
      <c r="I906" t="s">
        <v>388</v>
      </c>
      <c r="J906" t="s">
        <v>389</v>
      </c>
      <c r="K906" t="s">
        <v>2531</v>
      </c>
      <c r="L906" t="s">
        <v>80</v>
      </c>
      <c r="M906" t="s">
        <v>2532</v>
      </c>
      <c r="N906">
        <v>63080</v>
      </c>
      <c r="O906" t="s">
        <v>97</v>
      </c>
      <c r="P906" t="s">
        <v>118</v>
      </c>
      <c r="Q906">
        <v>0</v>
      </c>
      <c r="R906">
        <v>0</v>
      </c>
      <c r="S906">
        <v>4700.33</v>
      </c>
      <c r="T906">
        <v>0</v>
      </c>
      <c r="U906">
        <v>0</v>
      </c>
      <c r="V906" t="s">
        <v>2533</v>
      </c>
      <c r="W906">
        <v>34317080</v>
      </c>
      <c r="X906" t="s">
        <v>86</v>
      </c>
      <c r="Y906">
        <v>0</v>
      </c>
      <c r="Z906" t="b">
        <v>0</v>
      </c>
      <c r="AA906">
        <v>16.594579529522399</v>
      </c>
      <c r="AN906" t="e">
        <f>100*(1-E906/AL906)</f>
        <v>#DIV/0!</v>
      </c>
    </row>
    <row r="907" spans="1:40" x14ac:dyDescent="0.3">
      <c r="A907" t="s">
        <v>183</v>
      </c>
      <c r="B907" t="s">
        <v>2539</v>
      </c>
      <c r="C907" t="s">
        <v>2540</v>
      </c>
      <c r="D907" s="4">
        <v>46008</v>
      </c>
      <c r="E907">
        <v>165000</v>
      </c>
      <c r="F907" t="s">
        <v>134</v>
      </c>
      <c r="G907" t="s">
        <v>194</v>
      </c>
      <c r="H907" t="s">
        <v>67</v>
      </c>
      <c r="I907" t="s">
        <v>195</v>
      </c>
      <c r="J907" t="s">
        <v>67</v>
      </c>
      <c r="K907" t="s">
        <v>2541</v>
      </c>
      <c r="L907" t="s">
        <v>44</v>
      </c>
      <c r="M907" t="s">
        <v>2542</v>
      </c>
      <c r="N907">
        <v>18543</v>
      </c>
      <c r="O907" t="s">
        <v>45</v>
      </c>
      <c r="P907" t="s">
        <v>54</v>
      </c>
      <c r="Q907" t="s">
        <v>100</v>
      </c>
      <c r="R907">
        <v>0</v>
      </c>
      <c r="S907">
        <v>76.709999999999994</v>
      </c>
      <c r="T907">
        <v>0</v>
      </c>
      <c r="U907">
        <v>0</v>
      </c>
      <c r="V907" t="s">
        <v>2543</v>
      </c>
      <c r="W907">
        <v>102818066</v>
      </c>
      <c r="X907" t="s">
        <v>49</v>
      </c>
      <c r="Y907" t="s">
        <v>2544</v>
      </c>
      <c r="Z907" t="b">
        <v>0</v>
      </c>
      <c r="AA907">
        <v>2150.9581540868212</v>
      </c>
      <c r="AN907" t="e">
        <f>100*(1-E907/AL907)</f>
        <v>#DIV/0!</v>
      </c>
    </row>
    <row r="908" spans="1:40" x14ac:dyDescent="0.3">
      <c r="A908" t="s">
        <v>183</v>
      </c>
      <c r="B908" t="s">
        <v>2545</v>
      </c>
      <c r="C908" t="s">
        <v>2540</v>
      </c>
      <c r="D908" s="4">
        <v>46008</v>
      </c>
      <c r="E908">
        <v>8000</v>
      </c>
      <c r="F908" t="s">
        <v>130</v>
      </c>
      <c r="G908" t="s">
        <v>194</v>
      </c>
      <c r="H908" t="s">
        <v>67</v>
      </c>
      <c r="I908" t="s">
        <v>195</v>
      </c>
      <c r="J908" t="s">
        <v>67</v>
      </c>
      <c r="K908" t="s">
        <v>2541</v>
      </c>
      <c r="L908" t="s">
        <v>44</v>
      </c>
      <c r="M908" t="s">
        <v>2542</v>
      </c>
      <c r="N908">
        <v>18543</v>
      </c>
      <c r="O908" t="s">
        <v>76</v>
      </c>
      <c r="P908" t="s">
        <v>133</v>
      </c>
      <c r="Q908">
        <v>0</v>
      </c>
      <c r="R908">
        <v>0</v>
      </c>
      <c r="S908">
        <v>12.5</v>
      </c>
      <c r="T908">
        <v>0</v>
      </c>
      <c r="U908">
        <v>0</v>
      </c>
      <c r="V908" t="s">
        <v>2543</v>
      </c>
      <c r="W908">
        <v>102818066</v>
      </c>
      <c r="X908" t="s">
        <v>49</v>
      </c>
      <c r="Y908" t="s">
        <v>2546</v>
      </c>
      <c r="Z908" t="b">
        <v>0</v>
      </c>
      <c r="AA908">
        <v>640</v>
      </c>
      <c r="AN908" t="e">
        <f>100*(1-E908/AL908)</f>
        <v>#DIV/0!</v>
      </c>
    </row>
    <row r="909" spans="1:40" x14ac:dyDescent="0.3">
      <c r="A909" t="s">
        <v>71</v>
      </c>
      <c r="B909" t="s">
        <v>2524</v>
      </c>
      <c r="C909" t="s">
        <v>2524</v>
      </c>
      <c r="D909" s="4">
        <v>46008</v>
      </c>
      <c r="E909">
        <v>33000</v>
      </c>
      <c r="F909" t="s">
        <v>205</v>
      </c>
      <c r="G909" t="s">
        <v>2525</v>
      </c>
      <c r="H909" t="s">
        <v>111</v>
      </c>
      <c r="I909" t="s">
        <v>319</v>
      </c>
      <c r="J909" t="s">
        <v>175</v>
      </c>
      <c r="K909" t="s">
        <v>2526</v>
      </c>
      <c r="L909" t="s">
        <v>44</v>
      </c>
      <c r="M909" t="s">
        <v>355</v>
      </c>
      <c r="N909">
        <v>34009</v>
      </c>
      <c r="O909" t="s">
        <v>45</v>
      </c>
      <c r="P909" t="s">
        <v>54</v>
      </c>
      <c r="Q909" t="s">
        <v>52</v>
      </c>
      <c r="R909">
        <v>0</v>
      </c>
      <c r="S909">
        <v>57.2</v>
      </c>
      <c r="T909">
        <v>0</v>
      </c>
      <c r="U909">
        <v>0</v>
      </c>
      <c r="V909" t="s">
        <v>2527</v>
      </c>
      <c r="W909">
        <v>138169324</v>
      </c>
      <c r="X909" t="s">
        <v>86</v>
      </c>
      <c r="Y909" t="s">
        <v>2528</v>
      </c>
      <c r="Z909" t="b">
        <v>0</v>
      </c>
      <c r="AA909">
        <v>576.92307692307691</v>
      </c>
      <c r="AN909" t="e">
        <f>100*(1-E909/AL909)</f>
        <v>#DIV/0!</v>
      </c>
    </row>
    <row r="910" spans="1:40" x14ac:dyDescent="0.3">
      <c r="A910" t="s">
        <v>183</v>
      </c>
      <c r="B910" t="s">
        <v>2547</v>
      </c>
      <c r="C910" t="s">
        <v>2548</v>
      </c>
      <c r="D910" s="4">
        <v>46008</v>
      </c>
      <c r="E910">
        <v>45000</v>
      </c>
      <c r="F910" t="s">
        <v>2549</v>
      </c>
      <c r="G910" t="s">
        <v>300</v>
      </c>
      <c r="H910" t="s">
        <v>67</v>
      </c>
      <c r="I910" t="s">
        <v>301</v>
      </c>
      <c r="J910" t="s">
        <v>67</v>
      </c>
      <c r="K910" t="s">
        <v>2550</v>
      </c>
      <c r="L910" t="s">
        <v>44</v>
      </c>
      <c r="M910" t="s">
        <v>2551</v>
      </c>
      <c r="N910">
        <v>18450</v>
      </c>
      <c r="O910" t="s">
        <v>50</v>
      </c>
      <c r="P910" t="s">
        <v>51</v>
      </c>
      <c r="Q910" t="s">
        <v>52</v>
      </c>
      <c r="R910">
        <v>0</v>
      </c>
      <c r="S910">
        <v>60</v>
      </c>
      <c r="T910" t="s">
        <v>161</v>
      </c>
      <c r="U910">
        <v>100</v>
      </c>
      <c r="V910" t="s">
        <v>2552</v>
      </c>
      <c r="W910">
        <v>43916860</v>
      </c>
      <c r="X910" t="s">
        <v>49</v>
      </c>
      <c r="Y910" t="s">
        <v>2553</v>
      </c>
      <c r="Z910" t="b">
        <v>0</v>
      </c>
      <c r="AA910">
        <v>750</v>
      </c>
      <c r="AN910" t="e">
        <f>100*(1-E910/AL910)</f>
        <v>#DIV/0!</v>
      </c>
    </row>
    <row r="911" spans="1:40" x14ac:dyDescent="0.3">
      <c r="A911" t="s">
        <v>183</v>
      </c>
      <c r="B911" t="s">
        <v>2554</v>
      </c>
      <c r="C911" t="s">
        <v>2548</v>
      </c>
      <c r="D911" s="4">
        <v>46008</v>
      </c>
      <c r="E911">
        <v>54000</v>
      </c>
      <c r="F911" t="s">
        <v>2555</v>
      </c>
      <c r="G911" t="s">
        <v>300</v>
      </c>
      <c r="H911" t="s">
        <v>67</v>
      </c>
      <c r="I911" t="s">
        <v>301</v>
      </c>
      <c r="J911" t="s">
        <v>67</v>
      </c>
      <c r="K911" t="s">
        <v>2550</v>
      </c>
      <c r="L911" t="s">
        <v>44</v>
      </c>
      <c r="M911" t="s">
        <v>2551</v>
      </c>
      <c r="N911">
        <v>18450</v>
      </c>
      <c r="O911" t="s">
        <v>45</v>
      </c>
      <c r="P911" t="s">
        <v>54</v>
      </c>
      <c r="Q911" t="s">
        <v>55</v>
      </c>
      <c r="R911">
        <v>0</v>
      </c>
      <c r="S911">
        <v>66</v>
      </c>
      <c r="T911" t="s">
        <v>161</v>
      </c>
      <c r="U911">
        <v>100</v>
      </c>
      <c r="V911" t="s">
        <v>2552</v>
      </c>
      <c r="W911">
        <v>43916860</v>
      </c>
      <c r="X911" t="s">
        <v>49</v>
      </c>
      <c r="Y911" t="s">
        <v>2556</v>
      </c>
      <c r="Z911" t="b">
        <v>0</v>
      </c>
      <c r="AA911">
        <v>818.18181818181813</v>
      </c>
      <c r="AN911" t="e">
        <f>100*(1-E911/AL911)</f>
        <v>#DIV/0!</v>
      </c>
    </row>
    <row r="912" spans="1:40" x14ac:dyDescent="0.3">
      <c r="A912" t="s">
        <v>183</v>
      </c>
      <c r="B912" t="s">
        <v>2557</v>
      </c>
      <c r="C912" t="s">
        <v>2548</v>
      </c>
      <c r="D912" s="4">
        <v>46008</v>
      </c>
      <c r="E912">
        <v>29970</v>
      </c>
      <c r="F912" t="s">
        <v>2558</v>
      </c>
      <c r="G912" t="s">
        <v>300</v>
      </c>
      <c r="H912" t="s">
        <v>67</v>
      </c>
      <c r="I912" t="s">
        <v>301</v>
      </c>
      <c r="J912" t="s">
        <v>67</v>
      </c>
      <c r="K912" t="s">
        <v>2550</v>
      </c>
      <c r="L912" t="s">
        <v>44</v>
      </c>
      <c r="M912" t="s">
        <v>2551</v>
      </c>
      <c r="N912">
        <v>18450</v>
      </c>
      <c r="O912" t="s">
        <v>45</v>
      </c>
      <c r="P912" t="s">
        <v>56</v>
      </c>
      <c r="Q912">
        <v>0</v>
      </c>
      <c r="R912">
        <v>0</v>
      </c>
      <c r="S912">
        <v>0</v>
      </c>
      <c r="T912" t="s">
        <v>1072</v>
      </c>
      <c r="U912" t="s">
        <v>57</v>
      </c>
      <c r="V912" t="s">
        <v>2552</v>
      </c>
      <c r="W912">
        <v>43916860</v>
      </c>
      <c r="X912" t="s">
        <v>49</v>
      </c>
      <c r="Y912" t="s">
        <v>2559</v>
      </c>
      <c r="Z912" t="b">
        <v>0</v>
      </c>
      <c r="AA912" t="s">
        <v>58</v>
      </c>
      <c r="AN912" t="e">
        <f>100*(1-E912/AL912)</f>
        <v>#DIV/0!</v>
      </c>
    </row>
    <row r="913" spans="1:40" x14ac:dyDescent="0.3">
      <c r="A913" t="s">
        <v>59</v>
      </c>
      <c r="B913" t="s">
        <v>2560</v>
      </c>
      <c r="C913" t="s">
        <v>2560</v>
      </c>
      <c r="D913" s="4">
        <v>46008</v>
      </c>
      <c r="E913">
        <v>4000</v>
      </c>
      <c r="F913" t="s">
        <v>2561</v>
      </c>
      <c r="G913" t="s">
        <v>446</v>
      </c>
      <c r="H913" t="s">
        <v>67</v>
      </c>
      <c r="I913" t="s">
        <v>447</v>
      </c>
      <c r="J913" t="s">
        <v>67</v>
      </c>
      <c r="K913" t="s">
        <v>2562</v>
      </c>
      <c r="L913" t="s">
        <v>44</v>
      </c>
      <c r="M913" t="s">
        <v>2563</v>
      </c>
      <c r="N913">
        <v>15771</v>
      </c>
      <c r="O913" t="s">
        <v>50</v>
      </c>
      <c r="P913" t="s">
        <v>51</v>
      </c>
      <c r="Q913" t="s">
        <v>52</v>
      </c>
      <c r="R913">
        <v>0</v>
      </c>
      <c r="S913">
        <v>35.69</v>
      </c>
      <c r="T913" t="s">
        <v>192</v>
      </c>
      <c r="U913">
        <v>100</v>
      </c>
      <c r="V913" t="s">
        <v>2564</v>
      </c>
      <c r="W913">
        <v>28582091</v>
      </c>
      <c r="X913" t="s">
        <v>86</v>
      </c>
      <c r="Y913" t="s">
        <v>2565</v>
      </c>
      <c r="Z913" t="b">
        <v>0</v>
      </c>
      <c r="AA913">
        <v>112.0762118240404</v>
      </c>
      <c r="AN913" t="e">
        <f>100*(1-E913/AL913)</f>
        <v>#DIV/0!</v>
      </c>
    </row>
    <row r="914" spans="1:40" x14ac:dyDescent="0.3">
      <c r="A914" t="s">
        <v>59</v>
      </c>
      <c r="B914" t="s">
        <v>2566</v>
      </c>
      <c r="C914" t="s">
        <v>2566</v>
      </c>
      <c r="D914" s="4">
        <v>46008</v>
      </c>
      <c r="E914">
        <v>28000</v>
      </c>
      <c r="F914" t="s">
        <v>2567</v>
      </c>
      <c r="G914" t="s">
        <v>352</v>
      </c>
      <c r="H914" t="s">
        <v>67</v>
      </c>
      <c r="I914" t="s">
        <v>266</v>
      </c>
      <c r="J914" t="s">
        <v>67</v>
      </c>
      <c r="K914" t="s">
        <v>2568</v>
      </c>
      <c r="L914" t="s">
        <v>44</v>
      </c>
      <c r="M914" t="s">
        <v>2569</v>
      </c>
      <c r="N914">
        <v>18902</v>
      </c>
      <c r="O914" t="s">
        <v>97</v>
      </c>
      <c r="P914" t="s">
        <v>98</v>
      </c>
      <c r="Q914">
        <v>0</v>
      </c>
      <c r="R914">
        <v>0</v>
      </c>
      <c r="S914">
        <v>280</v>
      </c>
      <c r="T914">
        <v>0</v>
      </c>
      <c r="U914">
        <v>0</v>
      </c>
      <c r="V914" t="s">
        <v>2570</v>
      </c>
      <c r="W914">
        <v>102247820</v>
      </c>
      <c r="X914" t="s">
        <v>49</v>
      </c>
      <c r="Y914" t="s">
        <v>2571</v>
      </c>
      <c r="Z914" t="b">
        <v>0</v>
      </c>
      <c r="AA914">
        <v>100</v>
      </c>
      <c r="AN914" t="e">
        <f>100*(1-E914/AL914)</f>
        <v>#DIV/0!</v>
      </c>
    </row>
    <row r="915" spans="1:40" x14ac:dyDescent="0.3">
      <c r="A915" t="s">
        <v>71</v>
      </c>
      <c r="B915" t="s">
        <v>2572</v>
      </c>
      <c r="C915" t="s">
        <v>2572</v>
      </c>
      <c r="D915" s="4">
        <v>46008</v>
      </c>
      <c r="E915">
        <v>34000</v>
      </c>
      <c r="F915" t="s">
        <v>2573</v>
      </c>
      <c r="G915" t="s">
        <v>315</v>
      </c>
      <c r="H915" t="s">
        <v>111</v>
      </c>
      <c r="I915" t="s">
        <v>316</v>
      </c>
      <c r="J915" t="s">
        <v>113</v>
      </c>
      <c r="K915" t="s">
        <v>2574</v>
      </c>
      <c r="L915" t="s">
        <v>44</v>
      </c>
      <c r="M915" t="s">
        <v>2575</v>
      </c>
      <c r="N915">
        <v>35200</v>
      </c>
      <c r="O915" t="s">
        <v>97</v>
      </c>
      <c r="P915" t="s">
        <v>98</v>
      </c>
      <c r="Q915">
        <v>0</v>
      </c>
      <c r="R915">
        <v>0</v>
      </c>
      <c r="S915">
        <v>751</v>
      </c>
      <c r="T915">
        <v>0</v>
      </c>
      <c r="U915">
        <v>0</v>
      </c>
      <c r="V915" t="s">
        <v>2576</v>
      </c>
      <c r="W915">
        <v>101152520</v>
      </c>
      <c r="X915" t="s">
        <v>49</v>
      </c>
      <c r="Y915" t="s">
        <v>2577</v>
      </c>
      <c r="Z915" t="b">
        <v>0</v>
      </c>
      <c r="AA915">
        <v>45.272969374167779</v>
      </c>
      <c r="AN915" t="e">
        <f>100*(1-E915/AL915)</f>
        <v>#DIV/0!</v>
      </c>
    </row>
    <row r="916" spans="1:40" x14ac:dyDescent="0.3">
      <c r="A916" t="s">
        <v>71</v>
      </c>
      <c r="B916" t="s">
        <v>2578</v>
      </c>
      <c r="C916" t="s">
        <v>2578</v>
      </c>
      <c r="D916" s="4">
        <v>46008</v>
      </c>
      <c r="E916">
        <v>77000</v>
      </c>
      <c r="F916" t="s">
        <v>2579</v>
      </c>
      <c r="G916" t="s">
        <v>1842</v>
      </c>
      <c r="H916" t="s">
        <v>67</v>
      </c>
      <c r="I916" t="s">
        <v>379</v>
      </c>
      <c r="J916" t="s">
        <v>67</v>
      </c>
      <c r="K916" t="s">
        <v>2580</v>
      </c>
      <c r="L916" t="s">
        <v>44</v>
      </c>
      <c r="M916" t="s">
        <v>2581</v>
      </c>
      <c r="N916">
        <v>19001</v>
      </c>
      <c r="O916" t="s">
        <v>97</v>
      </c>
      <c r="P916" t="s">
        <v>98</v>
      </c>
      <c r="Q916">
        <v>0</v>
      </c>
      <c r="R916">
        <v>0</v>
      </c>
      <c r="S916">
        <v>310.3</v>
      </c>
      <c r="T916">
        <v>0</v>
      </c>
      <c r="U916">
        <v>0</v>
      </c>
      <c r="V916" t="s">
        <v>2582</v>
      </c>
      <c r="W916">
        <v>34253736</v>
      </c>
      <c r="X916" t="s">
        <v>86</v>
      </c>
      <c r="Y916" t="s">
        <v>2583</v>
      </c>
      <c r="Z916" t="b">
        <v>0</v>
      </c>
      <c r="AA916">
        <v>248.1469545601031</v>
      </c>
      <c r="AN916" t="e">
        <f>100*(1-E916/AL916)</f>
        <v>#DIV/0!</v>
      </c>
    </row>
    <row r="917" spans="1:40" x14ac:dyDescent="0.3">
      <c r="A917" t="s">
        <v>59</v>
      </c>
      <c r="B917" t="s">
        <v>2560</v>
      </c>
      <c r="C917" t="s">
        <v>2560</v>
      </c>
      <c r="D917" s="4">
        <v>46008</v>
      </c>
      <c r="E917">
        <v>4000</v>
      </c>
      <c r="F917" t="s">
        <v>2561</v>
      </c>
      <c r="G917" t="s">
        <v>446</v>
      </c>
      <c r="H917" t="s">
        <v>67</v>
      </c>
      <c r="I917" t="s">
        <v>447</v>
      </c>
      <c r="J917" t="s">
        <v>67</v>
      </c>
      <c r="K917" t="s">
        <v>2562</v>
      </c>
      <c r="L917" t="s">
        <v>44</v>
      </c>
      <c r="M917" t="s">
        <v>2563</v>
      </c>
      <c r="N917">
        <v>15771</v>
      </c>
      <c r="O917" t="s">
        <v>50</v>
      </c>
      <c r="P917" t="s">
        <v>51</v>
      </c>
      <c r="Q917" t="s">
        <v>52</v>
      </c>
      <c r="R917">
        <v>0</v>
      </c>
      <c r="S917">
        <v>35.69</v>
      </c>
      <c r="T917" t="s">
        <v>192</v>
      </c>
      <c r="U917">
        <v>100</v>
      </c>
      <c r="V917" t="s">
        <v>2564</v>
      </c>
      <c r="W917">
        <v>28582091</v>
      </c>
      <c r="X917" t="s">
        <v>86</v>
      </c>
      <c r="Y917" t="s">
        <v>2565</v>
      </c>
      <c r="Z917" t="b">
        <v>0</v>
      </c>
      <c r="AA917">
        <v>112.0762118240404</v>
      </c>
      <c r="AN917" t="e">
        <f>100*(1-E917/AL917)</f>
        <v>#DIV/0!</v>
      </c>
    </row>
    <row r="918" spans="1:40" x14ac:dyDescent="0.3">
      <c r="A918" t="s">
        <v>59</v>
      </c>
      <c r="B918" t="s">
        <v>2584</v>
      </c>
      <c r="C918" t="s">
        <v>2584</v>
      </c>
      <c r="D918" s="4">
        <v>46008</v>
      </c>
      <c r="E918">
        <v>33000</v>
      </c>
      <c r="F918" t="s">
        <v>2585</v>
      </c>
      <c r="G918" t="s">
        <v>2586</v>
      </c>
      <c r="H918" t="s">
        <v>152</v>
      </c>
      <c r="I918" t="s">
        <v>601</v>
      </c>
      <c r="J918" t="s">
        <v>221</v>
      </c>
      <c r="K918" t="s">
        <v>2587</v>
      </c>
      <c r="L918" t="s">
        <v>44</v>
      </c>
      <c r="M918" t="s">
        <v>2588</v>
      </c>
      <c r="N918">
        <v>20016</v>
      </c>
      <c r="O918" t="s">
        <v>97</v>
      </c>
      <c r="P918" t="s">
        <v>118</v>
      </c>
      <c r="Q918">
        <v>0</v>
      </c>
      <c r="R918">
        <v>0</v>
      </c>
      <c r="S918">
        <v>18087.77</v>
      </c>
      <c r="T918">
        <v>0</v>
      </c>
      <c r="U918">
        <v>0</v>
      </c>
      <c r="V918" t="s">
        <v>2589</v>
      </c>
      <c r="W918">
        <v>79633403</v>
      </c>
      <c r="X918" t="s">
        <v>49</v>
      </c>
      <c r="Y918" t="s">
        <v>2590</v>
      </c>
      <c r="Z918" t="b">
        <v>0</v>
      </c>
      <c r="AA918">
        <v>1.824437174953021</v>
      </c>
      <c r="AN918" t="e">
        <f>100*(1-E918/AL918)</f>
        <v>#DIV/0!</v>
      </c>
    </row>
    <row r="919" spans="1:40" x14ac:dyDescent="0.3">
      <c r="A919" t="s">
        <v>39</v>
      </c>
      <c r="B919" t="s">
        <v>2591</v>
      </c>
      <c r="C919" t="s">
        <v>2591</v>
      </c>
      <c r="D919" s="4">
        <v>46008</v>
      </c>
      <c r="E919">
        <v>85000</v>
      </c>
      <c r="F919" t="s">
        <v>2592</v>
      </c>
      <c r="G919" t="s">
        <v>419</v>
      </c>
      <c r="H919" t="s">
        <v>152</v>
      </c>
      <c r="I919" t="s">
        <v>153</v>
      </c>
      <c r="J919" t="s">
        <v>154</v>
      </c>
      <c r="K919" t="s">
        <v>2593</v>
      </c>
      <c r="L919" t="s">
        <v>44</v>
      </c>
      <c r="M919" t="s">
        <v>2594</v>
      </c>
      <c r="N919">
        <v>24100</v>
      </c>
      <c r="O919" t="s">
        <v>50</v>
      </c>
      <c r="P919" t="s">
        <v>51</v>
      </c>
      <c r="Q919" t="s">
        <v>52</v>
      </c>
      <c r="R919">
        <v>0</v>
      </c>
      <c r="S919">
        <v>119.6</v>
      </c>
      <c r="T919">
        <v>0</v>
      </c>
      <c r="U919">
        <v>0</v>
      </c>
      <c r="V919" t="s">
        <v>2595</v>
      </c>
      <c r="W919">
        <v>73673229</v>
      </c>
      <c r="X919" t="s">
        <v>49</v>
      </c>
      <c r="Y919" t="s">
        <v>2596</v>
      </c>
      <c r="Z919" t="b">
        <v>0</v>
      </c>
      <c r="AA919">
        <v>710.70234113712377</v>
      </c>
      <c r="AN919" t="e">
        <f>100*(1-E919/AL919)</f>
        <v>#DIV/0!</v>
      </c>
    </row>
    <row r="920" spans="1:40" x14ac:dyDescent="0.3">
      <c r="A920" t="s">
        <v>139</v>
      </c>
      <c r="B920" t="s">
        <v>2597</v>
      </c>
      <c r="C920" t="s">
        <v>2597</v>
      </c>
      <c r="D920" s="4">
        <v>46008</v>
      </c>
      <c r="E920">
        <v>38000</v>
      </c>
      <c r="F920" t="s">
        <v>2598</v>
      </c>
      <c r="G920" t="s">
        <v>1823</v>
      </c>
      <c r="H920" t="s">
        <v>94</v>
      </c>
      <c r="I920" t="s">
        <v>1824</v>
      </c>
      <c r="J920" t="s">
        <v>96</v>
      </c>
      <c r="K920" t="s">
        <v>2599</v>
      </c>
      <c r="L920" t="s">
        <v>44</v>
      </c>
      <c r="M920" t="s">
        <v>2600</v>
      </c>
      <c r="N920">
        <v>70012</v>
      </c>
      <c r="O920" t="s">
        <v>45</v>
      </c>
      <c r="P920" t="s">
        <v>81</v>
      </c>
      <c r="Q920" t="s">
        <v>52</v>
      </c>
      <c r="R920">
        <v>0</v>
      </c>
      <c r="S920">
        <v>45.35</v>
      </c>
      <c r="T920">
        <v>0</v>
      </c>
      <c r="U920">
        <v>0</v>
      </c>
      <c r="V920" t="s">
        <v>2601</v>
      </c>
      <c r="W920">
        <v>66243400</v>
      </c>
      <c r="X920" t="s">
        <v>49</v>
      </c>
      <c r="Y920">
        <v>170071311012</v>
      </c>
      <c r="Z920" t="b">
        <v>0</v>
      </c>
      <c r="AA920">
        <v>837.92723263506059</v>
      </c>
      <c r="AN920" t="e">
        <f>100*(1-E920/AL920)</f>
        <v>#DIV/0!</v>
      </c>
    </row>
    <row r="921" spans="1:40" x14ac:dyDescent="0.3">
      <c r="A921" t="s">
        <v>215</v>
      </c>
      <c r="B921" t="s">
        <v>2602</v>
      </c>
      <c r="C921" t="s">
        <v>2602</v>
      </c>
      <c r="D921" s="4">
        <v>46008</v>
      </c>
      <c r="E921">
        <v>59000</v>
      </c>
      <c r="F921" t="s">
        <v>607</v>
      </c>
      <c r="G921" t="s">
        <v>2603</v>
      </c>
      <c r="H921" t="s">
        <v>62</v>
      </c>
      <c r="I921" t="s">
        <v>228</v>
      </c>
      <c r="J921" t="s">
        <v>79</v>
      </c>
      <c r="K921" t="s">
        <v>2604</v>
      </c>
      <c r="L921" t="s">
        <v>44</v>
      </c>
      <c r="M921" t="s">
        <v>90</v>
      </c>
      <c r="N921">
        <v>60100</v>
      </c>
      <c r="O921" t="s">
        <v>45</v>
      </c>
      <c r="P921" t="s">
        <v>54</v>
      </c>
      <c r="Q921" t="s">
        <v>52</v>
      </c>
      <c r="R921">
        <v>0</v>
      </c>
      <c r="S921">
        <v>66.930000000000007</v>
      </c>
      <c r="T921">
        <v>0</v>
      </c>
      <c r="U921">
        <v>0</v>
      </c>
      <c r="V921" t="s">
        <v>2605</v>
      </c>
      <c r="W921">
        <v>104743256</v>
      </c>
      <c r="X921" t="s">
        <v>49</v>
      </c>
      <c r="Y921" t="s">
        <v>2606</v>
      </c>
      <c r="Z921" t="b">
        <v>0</v>
      </c>
      <c r="AA921">
        <v>881.51800388465551</v>
      </c>
      <c r="AN921" t="e">
        <f>100*(1-E921/AL921)</f>
        <v>#DIV/0!</v>
      </c>
    </row>
    <row r="922" spans="1:40" x14ac:dyDescent="0.3">
      <c r="A922" t="s">
        <v>59</v>
      </c>
      <c r="B922" t="s">
        <v>2607</v>
      </c>
      <c r="C922" t="s">
        <v>2607</v>
      </c>
      <c r="D922" s="4">
        <v>46008</v>
      </c>
      <c r="E922">
        <v>35600</v>
      </c>
      <c r="F922" t="s">
        <v>2608</v>
      </c>
      <c r="G922" t="s">
        <v>2609</v>
      </c>
      <c r="H922" t="s">
        <v>124</v>
      </c>
      <c r="I922" t="s">
        <v>334</v>
      </c>
      <c r="J922" t="s">
        <v>126</v>
      </c>
      <c r="K922" t="s">
        <v>2610</v>
      </c>
      <c r="L922" t="s">
        <v>44</v>
      </c>
      <c r="M922" t="s">
        <v>2611</v>
      </c>
      <c r="N922">
        <v>25006</v>
      </c>
      <c r="O922" t="s">
        <v>45</v>
      </c>
      <c r="P922" t="s">
        <v>81</v>
      </c>
      <c r="Q922" t="s">
        <v>52</v>
      </c>
      <c r="R922">
        <v>0</v>
      </c>
      <c r="S922">
        <v>120</v>
      </c>
      <c r="T922">
        <v>0</v>
      </c>
      <c r="U922">
        <v>0</v>
      </c>
      <c r="V922" t="s">
        <v>2612</v>
      </c>
      <c r="W922">
        <v>53242740</v>
      </c>
      <c r="X922" t="s">
        <v>49</v>
      </c>
      <c r="Y922">
        <v>60150728003</v>
      </c>
      <c r="Z922" t="b">
        <v>0</v>
      </c>
      <c r="AA922">
        <v>296.66666666666669</v>
      </c>
      <c r="AN922" t="e">
        <f>100*(1-E922/AL922)</f>
        <v>#DIV/0!</v>
      </c>
    </row>
    <row r="923" spans="1:40" x14ac:dyDescent="0.3">
      <c r="A923" t="s">
        <v>39</v>
      </c>
      <c r="B923" t="s">
        <v>2613</v>
      </c>
      <c r="C923" t="s">
        <v>2613</v>
      </c>
      <c r="D923" s="4">
        <v>46008</v>
      </c>
      <c r="E923">
        <v>250736</v>
      </c>
      <c r="F923" t="s">
        <v>2614</v>
      </c>
      <c r="G923" t="s">
        <v>227</v>
      </c>
      <c r="H923" t="s">
        <v>62</v>
      </c>
      <c r="I923" t="s">
        <v>228</v>
      </c>
      <c r="J923" t="s">
        <v>79</v>
      </c>
      <c r="K923" t="s">
        <v>2615</v>
      </c>
      <c r="L923" t="s">
        <v>44</v>
      </c>
      <c r="M923" t="s">
        <v>2616</v>
      </c>
      <c r="N923">
        <v>60100</v>
      </c>
      <c r="O923" t="s">
        <v>45</v>
      </c>
      <c r="P923" t="s">
        <v>182</v>
      </c>
      <c r="Q923" t="s">
        <v>85</v>
      </c>
      <c r="R923">
        <v>0</v>
      </c>
      <c r="S923">
        <v>361.08</v>
      </c>
      <c r="T923">
        <v>0</v>
      </c>
      <c r="U923">
        <v>0</v>
      </c>
      <c r="V923" t="s">
        <v>2617</v>
      </c>
      <c r="W923">
        <v>115220186</v>
      </c>
      <c r="X923" t="s">
        <v>49</v>
      </c>
      <c r="Y923" t="s">
        <v>2618</v>
      </c>
      <c r="Z923" t="b">
        <v>0</v>
      </c>
      <c r="AA923">
        <v>694.40567187326906</v>
      </c>
      <c r="AN923" t="e">
        <f>100*(1-E923/AL923)</f>
        <v>#DIV/0!</v>
      </c>
    </row>
    <row r="924" spans="1:40" x14ac:dyDescent="0.3">
      <c r="A924" t="s">
        <v>39</v>
      </c>
      <c r="B924" t="s">
        <v>2619</v>
      </c>
      <c r="C924" t="s">
        <v>2619</v>
      </c>
      <c r="D924" s="4">
        <v>46008</v>
      </c>
      <c r="E924">
        <v>215000</v>
      </c>
      <c r="F924" t="s">
        <v>312</v>
      </c>
      <c r="G924" t="s">
        <v>90</v>
      </c>
      <c r="H924" t="s">
        <v>67</v>
      </c>
      <c r="I924" t="s">
        <v>91</v>
      </c>
      <c r="J924" t="s">
        <v>67</v>
      </c>
      <c r="K924" t="s">
        <v>2620</v>
      </c>
      <c r="L924" t="s">
        <v>44</v>
      </c>
      <c r="M924" t="s">
        <v>2621</v>
      </c>
      <c r="N924">
        <v>17675</v>
      </c>
      <c r="O924" t="s">
        <v>45</v>
      </c>
      <c r="P924" t="s">
        <v>54</v>
      </c>
      <c r="Q924" t="s">
        <v>291</v>
      </c>
      <c r="R924">
        <v>0</v>
      </c>
      <c r="S924">
        <v>84.57</v>
      </c>
      <c r="T924">
        <v>0</v>
      </c>
      <c r="U924">
        <v>0</v>
      </c>
      <c r="V924" t="s">
        <v>2622</v>
      </c>
      <c r="W924">
        <v>70403771</v>
      </c>
      <c r="X924" t="s">
        <v>49</v>
      </c>
      <c r="Y924" t="s">
        <v>2623</v>
      </c>
      <c r="Z924" t="b">
        <v>0</v>
      </c>
      <c r="AA924">
        <v>2542.2726735248912</v>
      </c>
      <c r="AN924" t="e">
        <f>100*(1-E924/AL924)</f>
        <v>#DIV/0!</v>
      </c>
    </row>
    <row r="925" spans="1:40" x14ac:dyDescent="0.3">
      <c r="A925" t="s">
        <v>166</v>
      </c>
      <c r="B925" t="s">
        <v>2624</v>
      </c>
      <c r="C925" t="s">
        <v>2624</v>
      </c>
      <c r="D925" s="4">
        <v>46008</v>
      </c>
      <c r="E925">
        <v>23000</v>
      </c>
      <c r="F925" t="s">
        <v>2625</v>
      </c>
      <c r="G925" t="s">
        <v>298</v>
      </c>
      <c r="H925" t="s">
        <v>67</v>
      </c>
      <c r="I925" t="s">
        <v>299</v>
      </c>
      <c r="J925" t="s">
        <v>67</v>
      </c>
      <c r="K925" t="s">
        <v>2626</v>
      </c>
      <c r="L925" t="s">
        <v>44</v>
      </c>
      <c r="M925" t="s">
        <v>2627</v>
      </c>
      <c r="N925">
        <v>13121</v>
      </c>
      <c r="O925" t="s">
        <v>97</v>
      </c>
      <c r="P925" t="s">
        <v>98</v>
      </c>
      <c r="Q925">
        <v>0</v>
      </c>
      <c r="R925">
        <v>0</v>
      </c>
      <c r="S925">
        <v>64.03</v>
      </c>
      <c r="T925">
        <v>0</v>
      </c>
      <c r="U925">
        <v>0</v>
      </c>
      <c r="V925" t="s">
        <v>2628</v>
      </c>
      <c r="W925">
        <v>33485433</v>
      </c>
      <c r="X925" t="s">
        <v>49</v>
      </c>
      <c r="Y925" t="s">
        <v>2629</v>
      </c>
      <c r="Z925" t="b">
        <v>0</v>
      </c>
      <c r="AA925">
        <v>359.20662189598619</v>
      </c>
      <c r="AN925" t="e">
        <f>100*(1-E925/AL925)</f>
        <v>#DIV/0!</v>
      </c>
    </row>
    <row r="926" spans="1:40" x14ac:dyDescent="0.3">
      <c r="A926" t="s">
        <v>213</v>
      </c>
      <c r="B926" t="s">
        <v>2630</v>
      </c>
      <c r="C926" t="s">
        <v>2630</v>
      </c>
      <c r="D926" s="4">
        <v>46008</v>
      </c>
      <c r="E926">
        <v>10500</v>
      </c>
      <c r="F926" t="s">
        <v>2631</v>
      </c>
      <c r="G926" t="s">
        <v>2632</v>
      </c>
      <c r="H926" t="s">
        <v>152</v>
      </c>
      <c r="I926" t="s">
        <v>2633</v>
      </c>
      <c r="J926" t="s">
        <v>1996</v>
      </c>
      <c r="K926" t="s">
        <v>2634</v>
      </c>
      <c r="L926" t="s">
        <v>44</v>
      </c>
      <c r="M926" t="s">
        <v>2635</v>
      </c>
      <c r="N926">
        <v>23055</v>
      </c>
      <c r="O926" t="s">
        <v>45</v>
      </c>
      <c r="P926" t="s">
        <v>81</v>
      </c>
      <c r="Q926" t="s">
        <v>52</v>
      </c>
      <c r="R926">
        <v>0</v>
      </c>
      <c r="S926">
        <v>0</v>
      </c>
      <c r="T926">
        <v>0</v>
      </c>
      <c r="U926">
        <v>0</v>
      </c>
      <c r="V926" t="s">
        <v>2636</v>
      </c>
      <c r="W926">
        <v>65558842</v>
      </c>
      <c r="X926" t="s">
        <v>49</v>
      </c>
      <c r="Y926">
        <v>300590329013</v>
      </c>
      <c r="Z926" t="b">
        <v>0</v>
      </c>
      <c r="AA926" t="s">
        <v>58</v>
      </c>
      <c r="AN926" t="e">
        <f>100*(1-E926/AL926)</f>
        <v>#DIV/0!</v>
      </c>
    </row>
    <row r="927" spans="1:40" x14ac:dyDescent="0.3">
      <c r="A927" t="s">
        <v>166</v>
      </c>
      <c r="B927" t="s">
        <v>2637</v>
      </c>
      <c r="C927" t="s">
        <v>2637</v>
      </c>
      <c r="D927" s="4">
        <v>46008</v>
      </c>
      <c r="E927">
        <v>10000</v>
      </c>
      <c r="F927" t="s">
        <v>2638</v>
      </c>
      <c r="G927" t="s">
        <v>83</v>
      </c>
      <c r="H927" t="s">
        <v>67</v>
      </c>
      <c r="I927" t="s">
        <v>84</v>
      </c>
      <c r="J927" t="s">
        <v>67</v>
      </c>
      <c r="K927" t="s">
        <v>2639</v>
      </c>
      <c r="L927" t="s">
        <v>44</v>
      </c>
      <c r="M927" t="s">
        <v>2640</v>
      </c>
      <c r="N927">
        <v>12135</v>
      </c>
      <c r="O927" t="s">
        <v>45</v>
      </c>
      <c r="P927" t="s">
        <v>54</v>
      </c>
      <c r="Q927" t="s">
        <v>52</v>
      </c>
      <c r="R927">
        <v>0</v>
      </c>
      <c r="S927">
        <v>76.319999999999993</v>
      </c>
      <c r="T927" t="s">
        <v>161</v>
      </c>
      <c r="U927" t="s">
        <v>2641</v>
      </c>
      <c r="V927" t="s">
        <v>2642</v>
      </c>
      <c r="W927">
        <v>76539372</v>
      </c>
      <c r="X927" t="s">
        <v>86</v>
      </c>
      <c r="Y927" t="s">
        <v>2643</v>
      </c>
      <c r="Z927" t="b">
        <v>0</v>
      </c>
      <c r="AA927">
        <v>131.02725366876311</v>
      </c>
      <c r="AN927" t="e">
        <f>100*(1-E927/AL927)</f>
        <v>#DIV/0!</v>
      </c>
    </row>
    <row r="928" spans="1:40" x14ac:dyDescent="0.3">
      <c r="A928" t="s">
        <v>166</v>
      </c>
      <c r="B928" t="s">
        <v>2637</v>
      </c>
      <c r="C928" t="s">
        <v>2637</v>
      </c>
      <c r="D928" s="4">
        <v>46008</v>
      </c>
      <c r="E928">
        <v>10000</v>
      </c>
      <c r="F928" t="s">
        <v>2638</v>
      </c>
      <c r="G928" t="s">
        <v>83</v>
      </c>
      <c r="H928" t="s">
        <v>67</v>
      </c>
      <c r="I928" t="s">
        <v>84</v>
      </c>
      <c r="J928" t="s">
        <v>67</v>
      </c>
      <c r="K928" t="s">
        <v>2639</v>
      </c>
      <c r="L928" t="s">
        <v>44</v>
      </c>
      <c r="M928" t="s">
        <v>2640</v>
      </c>
      <c r="N928">
        <v>12135</v>
      </c>
      <c r="O928" t="s">
        <v>45</v>
      </c>
      <c r="P928" t="s">
        <v>54</v>
      </c>
      <c r="Q928" t="s">
        <v>52</v>
      </c>
      <c r="R928">
        <v>0</v>
      </c>
      <c r="S928">
        <v>76.319999999999993</v>
      </c>
      <c r="T928" t="s">
        <v>161</v>
      </c>
      <c r="U928" t="s">
        <v>2641</v>
      </c>
      <c r="V928" t="s">
        <v>2642</v>
      </c>
      <c r="W928">
        <v>76539372</v>
      </c>
      <c r="X928" t="s">
        <v>86</v>
      </c>
      <c r="Y928" t="s">
        <v>2643</v>
      </c>
      <c r="Z928" t="b">
        <v>0</v>
      </c>
      <c r="AA928">
        <v>131.02725366876311</v>
      </c>
      <c r="AN928" t="e">
        <f>100*(1-E928/AL928)</f>
        <v>#DIV/0!</v>
      </c>
    </row>
    <row r="929" spans="1:40" x14ac:dyDescent="0.3">
      <c r="A929" t="s">
        <v>183</v>
      </c>
      <c r="B929" t="s">
        <v>2644</v>
      </c>
      <c r="C929" t="s">
        <v>2645</v>
      </c>
      <c r="D929" s="4">
        <v>46008</v>
      </c>
      <c r="E929">
        <v>145000</v>
      </c>
      <c r="F929" t="s">
        <v>2646</v>
      </c>
      <c r="G929" t="s">
        <v>222</v>
      </c>
      <c r="H929" t="s">
        <v>102</v>
      </c>
      <c r="I929" t="s">
        <v>223</v>
      </c>
      <c r="J929" t="s">
        <v>224</v>
      </c>
      <c r="K929" t="s">
        <v>2647</v>
      </c>
      <c r="L929" t="s">
        <v>44</v>
      </c>
      <c r="M929" t="s">
        <v>2648</v>
      </c>
      <c r="N929">
        <v>53200</v>
      </c>
      <c r="O929" t="s">
        <v>50</v>
      </c>
      <c r="P929" t="s">
        <v>51</v>
      </c>
      <c r="Q929" t="s">
        <v>52</v>
      </c>
      <c r="R929">
        <v>0</v>
      </c>
      <c r="S929">
        <v>509.23</v>
      </c>
      <c r="T929">
        <v>0</v>
      </c>
      <c r="U929">
        <v>0</v>
      </c>
      <c r="V929" t="s">
        <v>2649</v>
      </c>
      <c r="W929">
        <v>59560126</v>
      </c>
      <c r="X929" t="s">
        <v>49</v>
      </c>
      <c r="Y929" t="s">
        <v>2650</v>
      </c>
      <c r="Z929" t="b">
        <v>0</v>
      </c>
      <c r="AA929">
        <v>284.74363254325158</v>
      </c>
      <c r="AN929" t="e">
        <f>100*(1-E929/AL929)</f>
        <v>#DIV/0!</v>
      </c>
    </row>
    <row r="930" spans="1:40" x14ac:dyDescent="0.3">
      <c r="A930" t="s">
        <v>183</v>
      </c>
      <c r="B930" t="s">
        <v>2651</v>
      </c>
      <c r="C930" t="s">
        <v>2645</v>
      </c>
      <c r="D930" s="4">
        <v>46008</v>
      </c>
      <c r="E930">
        <v>60000</v>
      </c>
      <c r="F930" t="s">
        <v>2652</v>
      </c>
      <c r="G930" t="s">
        <v>222</v>
      </c>
      <c r="H930" t="s">
        <v>102</v>
      </c>
      <c r="I930" t="s">
        <v>223</v>
      </c>
      <c r="J930" t="s">
        <v>224</v>
      </c>
      <c r="K930" t="s">
        <v>2653</v>
      </c>
      <c r="L930" t="s">
        <v>44</v>
      </c>
      <c r="M930" t="s">
        <v>2654</v>
      </c>
      <c r="N930">
        <v>53200</v>
      </c>
      <c r="O930" t="s">
        <v>45</v>
      </c>
      <c r="P930" t="s">
        <v>54</v>
      </c>
      <c r="Q930" t="s">
        <v>52</v>
      </c>
      <c r="R930">
        <v>0</v>
      </c>
      <c r="S930">
        <v>117.15</v>
      </c>
      <c r="T930">
        <v>0</v>
      </c>
      <c r="U930">
        <v>0</v>
      </c>
      <c r="V930" t="s">
        <v>2655</v>
      </c>
      <c r="W930">
        <v>10580937</v>
      </c>
      <c r="X930" t="s">
        <v>49</v>
      </c>
      <c r="Y930" t="s">
        <v>2656</v>
      </c>
      <c r="Z930" t="b">
        <v>0</v>
      </c>
      <c r="AA930">
        <v>512.16389244558252</v>
      </c>
      <c r="AN930" t="e">
        <f>100*(1-E930/AL930)</f>
        <v>#DIV/0!</v>
      </c>
    </row>
    <row r="931" spans="1:40" x14ac:dyDescent="0.3">
      <c r="A931" t="s">
        <v>183</v>
      </c>
      <c r="B931" t="s">
        <v>2657</v>
      </c>
      <c r="C931" t="s">
        <v>2645</v>
      </c>
      <c r="D931" s="4">
        <v>46008</v>
      </c>
      <c r="E931">
        <v>15000</v>
      </c>
      <c r="F931" t="s">
        <v>2658</v>
      </c>
      <c r="G931" t="s">
        <v>222</v>
      </c>
      <c r="H931" t="s">
        <v>102</v>
      </c>
      <c r="I931" t="s">
        <v>223</v>
      </c>
      <c r="J931" t="s">
        <v>224</v>
      </c>
      <c r="K931" t="s">
        <v>2653</v>
      </c>
      <c r="L931" t="s">
        <v>44</v>
      </c>
      <c r="M931" t="s">
        <v>2654</v>
      </c>
      <c r="N931">
        <v>53200</v>
      </c>
      <c r="O931" t="s">
        <v>45</v>
      </c>
      <c r="P931" t="s">
        <v>46</v>
      </c>
      <c r="Q931" t="s">
        <v>47</v>
      </c>
      <c r="R931">
        <v>0</v>
      </c>
      <c r="S931">
        <v>58.59</v>
      </c>
      <c r="T931">
        <v>0</v>
      </c>
      <c r="U931">
        <v>0</v>
      </c>
      <c r="V931" t="s">
        <v>2655</v>
      </c>
      <c r="W931">
        <v>10580937</v>
      </c>
      <c r="X931" t="s">
        <v>49</v>
      </c>
      <c r="Y931" t="s">
        <v>2659</v>
      </c>
      <c r="Z931" t="b">
        <v>0</v>
      </c>
      <c r="AA931">
        <v>256.01638504864309</v>
      </c>
      <c r="AN931" t="e">
        <f>100*(1-E931/AL931)</f>
        <v>#DIV/0!</v>
      </c>
    </row>
    <row r="932" spans="1:40" x14ac:dyDescent="0.3">
      <c r="A932" t="s">
        <v>215</v>
      </c>
      <c r="B932" t="s">
        <v>2660</v>
      </c>
      <c r="C932" t="s">
        <v>2660</v>
      </c>
      <c r="D932" s="4">
        <v>46008</v>
      </c>
      <c r="E932">
        <v>145000</v>
      </c>
      <c r="F932" t="s">
        <v>70</v>
      </c>
      <c r="G932" t="s">
        <v>2661</v>
      </c>
      <c r="H932" t="s">
        <v>94</v>
      </c>
      <c r="I932" t="s">
        <v>105</v>
      </c>
      <c r="J932" t="s">
        <v>105</v>
      </c>
      <c r="K932" t="s">
        <v>2662</v>
      </c>
      <c r="L932" t="s">
        <v>44</v>
      </c>
      <c r="M932" t="s">
        <v>2663</v>
      </c>
      <c r="N932">
        <v>73100</v>
      </c>
      <c r="O932" t="s">
        <v>45</v>
      </c>
      <c r="P932" t="s">
        <v>54</v>
      </c>
      <c r="Q932" t="s">
        <v>55</v>
      </c>
      <c r="R932">
        <v>0</v>
      </c>
      <c r="S932">
        <v>100</v>
      </c>
      <c r="T932">
        <v>0</v>
      </c>
      <c r="U932">
        <v>0</v>
      </c>
      <c r="V932" t="s">
        <v>2664</v>
      </c>
      <c r="W932">
        <v>43429676</v>
      </c>
      <c r="X932" t="s">
        <v>49</v>
      </c>
      <c r="Y932" t="s">
        <v>2665</v>
      </c>
      <c r="Z932" t="b">
        <v>0</v>
      </c>
      <c r="AA932">
        <v>1450</v>
      </c>
      <c r="AN932" t="e">
        <f>100*(1-E932/AL932)</f>
        <v>#DIV/0!</v>
      </c>
    </row>
    <row r="933" spans="1:40" x14ac:dyDescent="0.3">
      <c r="A933" t="s">
        <v>166</v>
      </c>
      <c r="B933" t="s">
        <v>2666</v>
      </c>
      <c r="C933" t="s">
        <v>2666</v>
      </c>
      <c r="D933" s="4">
        <v>46008</v>
      </c>
      <c r="E933">
        <v>122000</v>
      </c>
      <c r="F933" t="s">
        <v>2667</v>
      </c>
      <c r="G933" t="s">
        <v>241</v>
      </c>
      <c r="H933" t="s">
        <v>67</v>
      </c>
      <c r="I933" t="s">
        <v>242</v>
      </c>
      <c r="J933" t="s">
        <v>67</v>
      </c>
      <c r="K933" t="s">
        <v>2668</v>
      </c>
      <c r="L933" t="s">
        <v>44</v>
      </c>
      <c r="M933" t="s">
        <v>2669</v>
      </c>
      <c r="N933">
        <v>15238</v>
      </c>
      <c r="O933" t="s">
        <v>45</v>
      </c>
      <c r="P933" t="s">
        <v>54</v>
      </c>
      <c r="Q933" t="s">
        <v>55</v>
      </c>
      <c r="R933">
        <v>0</v>
      </c>
      <c r="S933">
        <v>59.85</v>
      </c>
      <c r="T933">
        <v>0</v>
      </c>
      <c r="U933">
        <v>0</v>
      </c>
      <c r="V933" t="s">
        <v>2670</v>
      </c>
      <c r="W933">
        <v>17428659</v>
      </c>
      <c r="X933" t="s">
        <v>49</v>
      </c>
      <c r="Y933" t="s">
        <v>2671</v>
      </c>
      <c r="Z933" t="b">
        <v>0</v>
      </c>
      <c r="AA933">
        <v>2038.4294068504589</v>
      </c>
      <c r="AN933" t="e">
        <f>100*(1-E933/AL933)</f>
        <v>#DIV/0!</v>
      </c>
    </row>
    <row r="934" spans="1:40" x14ac:dyDescent="0.3">
      <c r="A934" t="s">
        <v>166</v>
      </c>
      <c r="B934" t="s">
        <v>2672</v>
      </c>
      <c r="C934" t="s">
        <v>2672</v>
      </c>
      <c r="D934" s="4">
        <v>46008</v>
      </c>
      <c r="E934">
        <v>166000</v>
      </c>
      <c r="F934" t="s">
        <v>397</v>
      </c>
      <c r="G934" t="s">
        <v>261</v>
      </c>
      <c r="H934" t="s">
        <v>67</v>
      </c>
      <c r="I934" t="s">
        <v>262</v>
      </c>
      <c r="J934" t="s">
        <v>67</v>
      </c>
      <c r="K934" t="s">
        <v>2673</v>
      </c>
      <c r="L934" t="s">
        <v>44</v>
      </c>
      <c r="M934" t="s">
        <v>2674</v>
      </c>
      <c r="N934">
        <v>12351</v>
      </c>
      <c r="O934" t="s">
        <v>45</v>
      </c>
      <c r="P934" t="s">
        <v>54</v>
      </c>
      <c r="Q934" t="s">
        <v>52</v>
      </c>
      <c r="R934">
        <v>0</v>
      </c>
      <c r="S934">
        <v>88.57</v>
      </c>
      <c r="T934">
        <v>0</v>
      </c>
      <c r="U934">
        <v>0</v>
      </c>
      <c r="V934" t="s">
        <v>2675</v>
      </c>
      <c r="W934">
        <v>37189402</v>
      </c>
      <c r="X934" t="s">
        <v>49</v>
      </c>
      <c r="Y934">
        <v>0</v>
      </c>
      <c r="Z934" t="b">
        <v>0</v>
      </c>
      <c r="AA934">
        <v>1874.223777802868</v>
      </c>
      <c r="AN934" t="e">
        <f>100*(1-E934/AL934)</f>
        <v>#DIV/0!</v>
      </c>
    </row>
    <row r="935" spans="1:40" x14ac:dyDescent="0.3">
      <c r="A935" t="s">
        <v>166</v>
      </c>
      <c r="B935" t="s">
        <v>2676</v>
      </c>
      <c r="C935" t="s">
        <v>2676</v>
      </c>
      <c r="D935" s="4">
        <v>46008</v>
      </c>
      <c r="E935">
        <v>82500</v>
      </c>
      <c r="F935" t="s">
        <v>297</v>
      </c>
      <c r="G935" t="s">
        <v>497</v>
      </c>
      <c r="H935" t="s">
        <v>62</v>
      </c>
      <c r="I935" t="s">
        <v>498</v>
      </c>
      <c r="J935" t="s">
        <v>63</v>
      </c>
      <c r="K935" t="s">
        <v>2677</v>
      </c>
      <c r="L935" t="s">
        <v>44</v>
      </c>
      <c r="M935" t="s">
        <v>2678</v>
      </c>
      <c r="N935">
        <v>56123</v>
      </c>
      <c r="O935" t="s">
        <v>45</v>
      </c>
      <c r="P935" t="s">
        <v>54</v>
      </c>
      <c r="Q935" t="s">
        <v>85</v>
      </c>
      <c r="R935">
        <v>0</v>
      </c>
      <c r="S935">
        <v>82.1</v>
      </c>
      <c r="T935">
        <v>0</v>
      </c>
      <c r="U935">
        <v>0</v>
      </c>
      <c r="V935" t="s">
        <v>2679</v>
      </c>
      <c r="W935">
        <v>116527004</v>
      </c>
      <c r="X935" t="s">
        <v>49</v>
      </c>
      <c r="Y935" t="s">
        <v>2680</v>
      </c>
      <c r="Z935" t="b">
        <v>0</v>
      </c>
      <c r="AA935">
        <v>1004.872107186358</v>
      </c>
      <c r="AN935" t="e">
        <f>100*(1-E935/AL935)</f>
        <v>#DIV/0!</v>
      </c>
    </row>
    <row r="936" spans="1:40" x14ac:dyDescent="0.3">
      <c r="A936" t="s">
        <v>166</v>
      </c>
      <c r="B936" t="s">
        <v>2681</v>
      </c>
      <c r="C936" t="s">
        <v>2682</v>
      </c>
      <c r="D936" s="4">
        <v>46008</v>
      </c>
      <c r="E936">
        <v>13070</v>
      </c>
      <c r="F936" t="s">
        <v>395</v>
      </c>
      <c r="G936" t="s">
        <v>479</v>
      </c>
      <c r="H936" t="s">
        <v>124</v>
      </c>
      <c r="I936" t="s">
        <v>480</v>
      </c>
      <c r="J936" t="s">
        <v>325</v>
      </c>
      <c r="K936" t="s">
        <v>2683</v>
      </c>
      <c r="L936" t="s">
        <v>44</v>
      </c>
      <c r="M936" t="s">
        <v>2684</v>
      </c>
      <c r="N936">
        <v>27100</v>
      </c>
      <c r="O936" t="s">
        <v>45</v>
      </c>
      <c r="P936" t="s">
        <v>56</v>
      </c>
      <c r="Q936">
        <v>0</v>
      </c>
      <c r="R936">
        <v>0</v>
      </c>
      <c r="S936">
        <v>0</v>
      </c>
      <c r="T936" t="s">
        <v>92</v>
      </c>
      <c r="U936">
        <v>100</v>
      </c>
      <c r="V936" t="s">
        <v>2685</v>
      </c>
      <c r="W936">
        <v>51812825</v>
      </c>
      <c r="X936" t="s">
        <v>49</v>
      </c>
      <c r="Y936" t="s">
        <v>2686</v>
      </c>
      <c r="Z936" t="b">
        <v>0</v>
      </c>
      <c r="AA936" t="s">
        <v>58</v>
      </c>
      <c r="AN936" t="e">
        <f>100*(1-E936/AL936)</f>
        <v>#DIV/0!</v>
      </c>
    </row>
    <row r="937" spans="1:40" x14ac:dyDescent="0.3">
      <c r="A937" t="s">
        <v>59</v>
      </c>
      <c r="B937" t="s">
        <v>2687</v>
      </c>
      <c r="C937" t="s">
        <v>2688</v>
      </c>
      <c r="D937" s="4">
        <v>46008</v>
      </c>
      <c r="E937">
        <v>8000</v>
      </c>
      <c r="F937" t="s">
        <v>2689</v>
      </c>
      <c r="G937" t="s">
        <v>2690</v>
      </c>
      <c r="H937" t="s">
        <v>111</v>
      </c>
      <c r="I937" t="s">
        <v>1575</v>
      </c>
      <c r="J937" t="s">
        <v>165</v>
      </c>
      <c r="K937" t="s">
        <v>2691</v>
      </c>
      <c r="L937" t="s">
        <v>44</v>
      </c>
      <c r="M937" t="s">
        <v>2690</v>
      </c>
      <c r="N937">
        <v>32009</v>
      </c>
      <c r="O937" t="s">
        <v>45</v>
      </c>
      <c r="P937" t="s">
        <v>46</v>
      </c>
      <c r="Q937" t="s">
        <v>47</v>
      </c>
      <c r="R937">
        <v>0</v>
      </c>
      <c r="S937">
        <v>75.239999999999995</v>
      </c>
      <c r="T937">
        <v>0</v>
      </c>
      <c r="U937">
        <v>0</v>
      </c>
      <c r="V937" t="s">
        <v>2692</v>
      </c>
      <c r="W937">
        <v>72618220</v>
      </c>
      <c r="X937" t="s">
        <v>49</v>
      </c>
      <c r="Y937" t="s">
        <v>2693</v>
      </c>
      <c r="Z937" t="b">
        <v>0</v>
      </c>
      <c r="AA937">
        <v>106.3264221158958</v>
      </c>
      <c r="AN937" t="e">
        <f>100*(1-E937/AL937)</f>
        <v>#DIV/0!</v>
      </c>
    </row>
    <row r="938" spans="1:40" x14ac:dyDescent="0.3">
      <c r="A938" t="s">
        <v>166</v>
      </c>
      <c r="B938" t="s">
        <v>2694</v>
      </c>
      <c r="C938" t="s">
        <v>2682</v>
      </c>
      <c r="D938" s="4">
        <v>46008</v>
      </c>
      <c r="E938">
        <v>116390</v>
      </c>
      <c r="F938" t="s">
        <v>140</v>
      </c>
      <c r="G938" t="s">
        <v>479</v>
      </c>
      <c r="H938" t="s">
        <v>124</v>
      </c>
      <c r="I938" t="s">
        <v>480</v>
      </c>
      <c r="J938" t="s">
        <v>325</v>
      </c>
      <c r="K938" t="s">
        <v>2683</v>
      </c>
      <c r="L938" t="s">
        <v>44</v>
      </c>
      <c r="M938" t="s">
        <v>2684</v>
      </c>
      <c r="N938">
        <v>27100</v>
      </c>
      <c r="O938" t="s">
        <v>45</v>
      </c>
      <c r="P938" t="s">
        <v>54</v>
      </c>
      <c r="Q938" t="s">
        <v>55</v>
      </c>
      <c r="R938">
        <v>0</v>
      </c>
      <c r="S938">
        <v>107.46</v>
      </c>
      <c r="T938">
        <v>0</v>
      </c>
      <c r="U938">
        <v>0</v>
      </c>
      <c r="V938" t="s">
        <v>2685</v>
      </c>
      <c r="W938">
        <v>51812825</v>
      </c>
      <c r="X938" t="s">
        <v>49</v>
      </c>
      <c r="Y938" t="s">
        <v>2695</v>
      </c>
      <c r="Z938" t="b">
        <v>0</v>
      </c>
      <c r="AA938">
        <v>1083.1006886283269</v>
      </c>
      <c r="AN938" t="e">
        <f>100*(1-E938/AL938)</f>
        <v>#DIV/0!</v>
      </c>
    </row>
    <row r="939" spans="1:40" x14ac:dyDescent="0.3">
      <c r="A939" t="s">
        <v>166</v>
      </c>
      <c r="B939" t="s">
        <v>2696</v>
      </c>
      <c r="C939" t="s">
        <v>2696</v>
      </c>
      <c r="D939" s="4">
        <v>46008</v>
      </c>
      <c r="E939">
        <v>19000</v>
      </c>
      <c r="F939" t="s">
        <v>2697</v>
      </c>
      <c r="G939" t="s">
        <v>2698</v>
      </c>
      <c r="H939" t="s">
        <v>111</v>
      </c>
      <c r="I939" t="s">
        <v>319</v>
      </c>
      <c r="J939" t="s">
        <v>175</v>
      </c>
      <c r="K939" t="s">
        <v>2699</v>
      </c>
      <c r="L939" t="s">
        <v>44</v>
      </c>
      <c r="M939" t="s">
        <v>2700</v>
      </c>
      <c r="N939">
        <v>34003</v>
      </c>
      <c r="O939" t="s">
        <v>45</v>
      </c>
      <c r="P939" t="s">
        <v>54</v>
      </c>
      <c r="Q939" t="s">
        <v>52</v>
      </c>
      <c r="R939">
        <v>0</v>
      </c>
      <c r="S939">
        <v>33.39</v>
      </c>
      <c r="T939" t="s">
        <v>161</v>
      </c>
      <c r="U939">
        <v>100</v>
      </c>
      <c r="V939" t="s">
        <v>2701</v>
      </c>
      <c r="W939">
        <v>50406794</v>
      </c>
      <c r="X939" t="s">
        <v>49</v>
      </c>
      <c r="Y939" t="s">
        <v>2702</v>
      </c>
      <c r="Z939" t="b">
        <v>0</v>
      </c>
      <c r="AA939">
        <v>569.03264450434256</v>
      </c>
      <c r="AN939" t="e">
        <f>100*(1-E939/AL939)</f>
        <v>#DIV/0!</v>
      </c>
    </row>
    <row r="940" spans="1:40" x14ac:dyDescent="0.3">
      <c r="A940" t="s">
        <v>59</v>
      </c>
      <c r="B940" t="s">
        <v>2703</v>
      </c>
      <c r="C940" t="s">
        <v>2703</v>
      </c>
      <c r="D940" s="4">
        <v>46008</v>
      </c>
      <c r="E940">
        <v>115000</v>
      </c>
      <c r="F940" t="s">
        <v>2704</v>
      </c>
      <c r="G940" t="s">
        <v>2705</v>
      </c>
      <c r="H940" t="s">
        <v>152</v>
      </c>
      <c r="I940" t="s">
        <v>2706</v>
      </c>
      <c r="J940" t="s">
        <v>610</v>
      </c>
      <c r="K940" t="s">
        <v>2707</v>
      </c>
      <c r="L940" t="s">
        <v>44</v>
      </c>
      <c r="M940" t="s">
        <v>2708</v>
      </c>
      <c r="N940">
        <v>22100</v>
      </c>
      <c r="O940" t="s">
        <v>97</v>
      </c>
      <c r="P940" t="s">
        <v>118</v>
      </c>
      <c r="Q940">
        <v>0</v>
      </c>
      <c r="R940">
        <v>0</v>
      </c>
      <c r="S940">
        <v>5699</v>
      </c>
      <c r="T940">
        <v>0</v>
      </c>
      <c r="U940">
        <v>0</v>
      </c>
      <c r="V940" t="s">
        <v>2709</v>
      </c>
      <c r="W940">
        <v>47142379</v>
      </c>
      <c r="X940" t="s">
        <v>49</v>
      </c>
      <c r="Y940" t="s">
        <v>2710</v>
      </c>
      <c r="Z940" t="b">
        <v>0</v>
      </c>
      <c r="AA940">
        <v>20.178978768204949</v>
      </c>
      <c r="AN940" t="e">
        <f>100*(1-E940/AL940)</f>
        <v>#DIV/0!</v>
      </c>
    </row>
    <row r="941" spans="1:40" x14ac:dyDescent="0.3">
      <c r="A941" t="s">
        <v>59</v>
      </c>
      <c r="B941" t="s">
        <v>2711</v>
      </c>
      <c r="C941" t="s">
        <v>2711</v>
      </c>
      <c r="D941" s="4">
        <v>46008</v>
      </c>
      <c r="E941">
        <v>193000</v>
      </c>
      <c r="F941" t="s">
        <v>2712</v>
      </c>
      <c r="G941" t="s">
        <v>2713</v>
      </c>
      <c r="H941" t="s">
        <v>152</v>
      </c>
      <c r="I941" t="s">
        <v>845</v>
      </c>
      <c r="J941" t="s">
        <v>154</v>
      </c>
      <c r="K941" t="s">
        <v>2714</v>
      </c>
      <c r="L941" t="s">
        <v>44</v>
      </c>
      <c r="M941" t="s">
        <v>2713</v>
      </c>
      <c r="N941">
        <v>24013</v>
      </c>
      <c r="O941" t="s">
        <v>331</v>
      </c>
      <c r="P941" t="s">
        <v>331</v>
      </c>
      <c r="Q941" t="s">
        <v>55</v>
      </c>
      <c r="R941">
        <v>0</v>
      </c>
      <c r="S941">
        <v>267.95999999999998</v>
      </c>
      <c r="T941">
        <v>0</v>
      </c>
      <c r="U941">
        <v>0</v>
      </c>
      <c r="V941" t="s">
        <v>2715</v>
      </c>
      <c r="W941">
        <v>23886915</v>
      </c>
      <c r="X941" t="s">
        <v>69</v>
      </c>
      <c r="Y941" t="s">
        <v>2716</v>
      </c>
      <c r="Z941" t="b">
        <v>0</v>
      </c>
      <c r="AA941">
        <v>720.25675473951344</v>
      </c>
      <c r="AN941" t="e">
        <f>100*(1-E941/AL941)</f>
        <v>#DIV/0!</v>
      </c>
    </row>
    <row r="942" spans="1:40" x14ac:dyDescent="0.3">
      <c r="A942" t="s">
        <v>166</v>
      </c>
      <c r="B942" t="s">
        <v>2717</v>
      </c>
      <c r="C942" t="s">
        <v>2717</v>
      </c>
      <c r="D942" s="4">
        <v>46008</v>
      </c>
      <c r="E942">
        <v>81000</v>
      </c>
      <c r="F942" t="s">
        <v>2718</v>
      </c>
      <c r="G942" t="s">
        <v>244</v>
      </c>
      <c r="H942" t="s">
        <v>102</v>
      </c>
      <c r="I942" t="s">
        <v>237</v>
      </c>
      <c r="J942" t="s">
        <v>237</v>
      </c>
      <c r="K942" t="s">
        <v>2719</v>
      </c>
      <c r="L942" t="s">
        <v>44</v>
      </c>
      <c r="M942" t="s">
        <v>2720</v>
      </c>
      <c r="N942">
        <v>52100</v>
      </c>
      <c r="O942" t="s">
        <v>45</v>
      </c>
      <c r="P942" t="s">
        <v>182</v>
      </c>
      <c r="Q942" t="s">
        <v>85</v>
      </c>
      <c r="R942">
        <v>0</v>
      </c>
      <c r="S942">
        <v>236</v>
      </c>
      <c r="T942" t="s">
        <v>48</v>
      </c>
      <c r="U942">
        <v>50</v>
      </c>
      <c r="V942" t="s">
        <v>2721</v>
      </c>
      <c r="W942">
        <v>32655508</v>
      </c>
      <c r="X942" t="s">
        <v>49</v>
      </c>
      <c r="Y942" t="s">
        <v>2722</v>
      </c>
      <c r="Z942" t="b">
        <v>0</v>
      </c>
      <c r="AA942">
        <v>343.22033898305091</v>
      </c>
      <c r="AN942" t="e">
        <f>100*(1-E942/AL942)</f>
        <v>#DIV/0!</v>
      </c>
    </row>
    <row r="943" spans="1:40" x14ac:dyDescent="0.3">
      <c r="A943" t="s">
        <v>59</v>
      </c>
      <c r="B943" t="s">
        <v>2723</v>
      </c>
      <c r="C943" t="s">
        <v>2723</v>
      </c>
      <c r="D943" s="4">
        <v>46008</v>
      </c>
      <c r="E943">
        <v>30000</v>
      </c>
      <c r="F943" t="s">
        <v>2358</v>
      </c>
      <c r="G943" t="s">
        <v>2724</v>
      </c>
      <c r="H943" t="s">
        <v>94</v>
      </c>
      <c r="I943" t="s">
        <v>448</v>
      </c>
      <c r="J943" t="s">
        <v>449</v>
      </c>
      <c r="K943" t="s">
        <v>2725</v>
      </c>
      <c r="L943" t="s">
        <v>44</v>
      </c>
      <c r="M943" t="s">
        <v>2726</v>
      </c>
      <c r="N943">
        <v>74052</v>
      </c>
      <c r="O943" t="s">
        <v>45</v>
      </c>
      <c r="P943" t="s">
        <v>81</v>
      </c>
      <c r="Q943" t="s">
        <v>55</v>
      </c>
      <c r="R943">
        <v>0</v>
      </c>
      <c r="S943">
        <v>80</v>
      </c>
      <c r="T943">
        <v>0</v>
      </c>
      <c r="U943">
        <v>0</v>
      </c>
      <c r="V943" t="s">
        <v>2727</v>
      </c>
      <c r="W943">
        <v>64563946</v>
      </c>
      <c r="X943" t="s">
        <v>49</v>
      </c>
      <c r="Y943">
        <v>0</v>
      </c>
      <c r="Z943" t="b">
        <v>0</v>
      </c>
      <c r="AA943">
        <v>375</v>
      </c>
      <c r="AN943" t="e">
        <f>100*(1-E943/AL943)</f>
        <v>#DIV/0!</v>
      </c>
    </row>
    <row r="944" spans="1:40" x14ac:dyDescent="0.3">
      <c r="A944" t="s">
        <v>166</v>
      </c>
      <c r="B944" t="s">
        <v>2728</v>
      </c>
      <c r="C944" t="s">
        <v>2728</v>
      </c>
      <c r="D944" s="4">
        <v>46008</v>
      </c>
      <c r="E944">
        <v>37000</v>
      </c>
      <c r="F944" t="s">
        <v>2729</v>
      </c>
      <c r="G944" t="s">
        <v>1994</v>
      </c>
      <c r="H944" t="s">
        <v>152</v>
      </c>
      <c r="I944" t="s">
        <v>1995</v>
      </c>
      <c r="J944" t="s">
        <v>1996</v>
      </c>
      <c r="K944" t="s">
        <v>2730</v>
      </c>
      <c r="L944" t="s">
        <v>44</v>
      </c>
      <c r="M944" t="s">
        <v>2731</v>
      </c>
      <c r="N944">
        <v>23100</v>
      </c>
      <c r="O944" t="s">
        <v>97</v>
      </c>
      <c r="P944" t="s">
        <v>98</v>
      </c>
      <c r="Q944">
        <v>0</v>
      </c>
      <c r="R944">
        <v>0</v>
      </c>
      <c r="S944">
        <v>574.62</v>
      </c>
      <c r="T944">
        <v>0</v>
      </c>
      <c r="U944">
        <v>0</v>
      </c>
      <c r="V944" t="s">
        <v>2732</v>
      </c>
      <c r="W944">
        <v>37577908</v>
      </c>
      <c r="X944" t="s">
        <v>49</v>
      </c>
      <c r="Y944" t="s">
        <v>2733</v>
      </c>
      <c r="Z944" t="b">
        <v>0</v>
      </c>
      <c r="AA944">
        <v>64.390379729212341</v>
      </c>
      <c r="AN944" t="e">
        <f>100*(1-E944/AL944)</f>
        <v>#DIV/0!</v>
      </c>
    </row>
    <row r="945" spans="1:40" x14ac:dyDescent="0.3">
      <c r="A945" t="s">
        <v>166</v>
      </c>
      <c r="B945" t="s">
        <v>2734</v>
      </c>
      <c r="C945" t="s">
        <v>2735</v>
      </c>
      <c r="D945" s="4">
        <v>46008</v>
      </c>
      <c r="E945">
        <v>78000</v>
      </c>
      <c r="F945" t="s">
        <v>2736</v>
      </c>
      <c r="G945" t="s">
        <v>2737</v>
      </c>
      <c r="H945" t="s">
        <v>94</v>
      </c>
      <c r="I945" t="s">
        <v>460</v>
      </c>
      <c r="J945" t="s">
        <v>449</v>
      </c>
      <c r="K945" t="s">
        <v>2738</v>
      </c>
      <c r="L945" t="s">
        <v>44</v>
      </c>
      <c r="M945" t="s">
        <v>2739</v>
      </c>
      <c r="N945">
        <v>74055</v>
      </c>
      <c r="O945" t="s">
        <v>97</v>
      </c>
      <c r="P945" t="s">
        <v>118</v>
      </c>
      <c r="Q945">
        <v>0</v>
      </c>
      <c r="R945">
        <v>0</v>
      </c>
      <c r="S945">
        <v>6538.04</v>
      </c>
      <c r="T945" t="s">
        <v>48</v>
      </c>
      <c r="U945">
        <v>50</v>
      </c>
      <c r="V945" t="s">
        <v>2740</v>
      </c>
      <c r="W945">
        <v>30257222</v>
      </c>
      <c r="X945" t="s">
        <v>49</v>
      </c>
      <c r="Y945" t="s">
        <v>2741</v>
      </c>
      <c r="Z945" t="b">
        <v>0</v>
      </c>
      <c r="AA945">
        <v>11.930180910486939</v>
      </c>
      <c r="AN945" t="e">
        <f>100*(1-E945/AL945)</f>
        <v>#DIV/0!</v>
      </c>
    </row>
    <row r="946" spans="1:40" x14ac:dyDescent="0.3">
      <c r="A946" t="s">
        <v>166</v>
      </c>
      <c r="B946" t="s">
        <v>2742</v>
      </c>
      <c r="C946" t="s">
        <v>2735</v>
      </c>
      <c r="D946" s="4">
        <v>46008</v>
      </c>
      <c r="E946">
        <v>31000</v>
      </c>
      <c r="F946" t="s">
        <v>2743</v>
      </c>
      <c r="G946" t="s">
        <v>2737</v>
      </c>
      <c r="H946" t="s">
        <v>94</v>
      </c>
      <c r="I946" t="s">
        <v>460</v>
      </c>
      <c r="J946" t="s">
        <v>449</v>
      </c>
      <c r="K946" t="s">
        <v>2744</v>
      </c>
      <c r="L946" t="s">
        <v>44</v>
      </c>
      <c r="M946" t="s">
        <v>2745</v>
      </c>
      <c r="N946">
        <v>74055</v>
      </c>
      <c r="O946" t="s">
        <v>45</v>
      </c>
      <c r="P946" t="s">
        <v>81</v>
      </c>
      <c r="Q946" t="s">
        <v>55</v>
      </c>
      <c r="R946">
        <v>0</v>
      </c>
      <c r="S946">
        <v>79.31</v>
      </c>
      <c r="T946" t="s">
        <v>48</v>
      </c>
      <c r="U946">
        <v>50</v>
      </c>
      <c r="V946" t="s">
        <v>2740</v>
      </c>
      <c r="W946">
        <v>30257222</v>
      </c>
      <c r="X946" t="s">
        <v>49</v>
      </c>
      <c r="Y946" t="s">
        <v>2746</v>
      </c>
      <c r="Z946" t="b">
        <v>0</v>
      </c>
      <c r="AA946">
        <v>390.87126465767238</v>
      </c>
      <c r="AN946" t="e">
        <f>100*(1-E946/AL946)</f>
        <v>#DIV/0!</v>
      </c>
    </row>
    <row r="947" spans="1:40" x14ac:dyDescent="0.3">
      <c r="A947" t="s">
        <v>59</v>
      </c>
      <c r="B947" t="s">
        <v>2747</v>
      </c>
      <c r="C947" t="s">
        <v>2747</v>
      </c>
      <c r="D947" s="4">
        <v>46008</v>
      </c>
      <c r="E947">
        <v>129000</v>
      </c>
      <c r="F947" t="s">
        <v>114</v>
      </c>
      <c r="G947" t="s">
        <v>2748</v>
      </c>
      <c r="H947" t="s">
        <v>196</v>
      </c>
      <c r="I947" t="s">
        <v>2749</v>
      </c>
      <c r="J947" t="s">
        <v>396</v>
      </c>
      <c r="K947" t="s">
        <v>2750</v>
      </c>
      <c r="L947" t="s">
        <v>44</v>
      </c>
      <c r="M947" t="s">
        <v>2751</v>
      </c>
      <c r="N947">
        <v>85400</v>
      </c>
      <c r="O947" t="s">
        <v>45</v>
      </c>
      <c r="P947" t="s">
        <v>54</v>
      </c>
      <c r="Q947" t="s">
        <v>52</v>
      </c>
      <c r="R947">
        <v>0</v>
      </c>
      <c r="S947">
        <v>74.98</v>
      </c>
      <c r="T947">
        <v>0</v>
      </c>
      <c r="U947">
        <v>0</v>
      </c>
      <c r="V947" t="s">
        <v>2752</v>
      </c>
      <c r="W947">
        <v>108109549</v>
      </c>
      <c r="X947" t="s">
        <v>86</v>
      </c>
      <c r="Y947" t="s">
        <v>2753</v>
      </c>
      <c r="Z947" t="b">
        <v>0</v>
      </c>
      <c r="AA947">
        <v>1720.4587890104031</v>
      </c>
      <c r="AN947" t="e">
        <f>100*(1-E947/AL947)</f>
        <v>#DIV/0!</v>
      </c>
    </row>
    <row r="948" spans="1:40" x14ac:dyDescent="0.3">
      <c r="A948" t="s">
        <v>59</v>
      </c>
      <c r="B948" t="s">
        <v>2754</v>
      </c>
      <c r="C948" t="s">
        <v>2754</v>
      </c>
      <c r="D948" s="4">
        <v>46008</v>
      </c>
      <c r="E948">
        <v>141700</v>
      </c>
      <c r="F948" t="s">
        <v>2755</v>
      </c>
      <c r="G948" t="s">
        <v>2756</v>
      </c>
      <c r="H948" t="s">
        <v>41</v>
      </c>
      <c r="I948" t="s">
        <v>43</v>
      </c>
      <c r="J948" t="s">
        <v>43</v>
      </c>
      <c r="K948" t="s">
        <v>2757</v>
      </c>
      <c r="L948" t="s">
        <v>44</v>
      </c>
      <c r="M948" t="s">
        <v>2758</v>
      </c>
      <c r="N948">
        <v>48100</v>
      </c>
      <c r="O948" t="s">
        <v>45</v>
      </c>
      <c r="P948" t="s">
        <v>288</v>
      </c>
      <c r="Q948" t="s">
        <v>55</v>
      </c>
      <c r="R948">
        <v>0</v>
      </c>
      <c r="S948">
        <v>110</v>
      </c>
      <c r="T948">
        <v>0</v>
      </c>
      <c r="U948">
        <v>0</v>
      </c>
      <c r="V948" t="s">
        <v>2759</v>
      </c>
      <c r="W948">
        <v>46180478</v>
      </c>
      <c r="X948" t="s">
        <v>86</v>
      </c>
      <c r="Y948" t="s">
        <v>2760</v>
      </c>
      <c r="Z948" t="b">
        <v>0</v>
      </c>
      <c r="AA948">
        <v>1288.181818181818</v>
      </c>
      <c r="AN948" t="e">
        <f>100*(1-E948/AL948)</f>
        <v>#DIV/0!</v>
      </c>
    </row>
    <row r="949" spans="1:40" x14ac:dyDescent="0.3">
      <c r="A949" t="s">
        <v>59</v>
      </c>
      <c r="B949" t="s">
        <v>2754</v>
      </c>
      <c r="C949" t="s">
        <v>2754</v>
      </c>
      <c r="D949" s="4">
        <v>46008</v>
      </c>
      <c r="E949">
        <v>141700</v>
      </c>
      <c r="F949" t="s">
        <v>2755</v>
      </c>
      <c r="G949" t="s">
        <v>2756</v>
      </c>
      <c r="H949" t="s">
        <v>41</v>
      </c>
      <c r="I949" t="s">
        <v>43</v>
      </c>
      <c r="J949" t="s">
        <v>43</v>
      </c>
      <c r="K949" t="s">
        <v>2757</v>
      </c>
      <c r="L949" t="s">
        <v>44</v>
      </c>
      <c r="M949" t="s">
        <v>2758</v>
      </c>
      <c r="N949">
        <v>48100</v>
      </c>
      <c r="O949" t="s">
        <v>45</v>
      </c>
      <c r="P949" t="s">
        <v>288</v>
      </c>
      <c r="Q949" t="s">
        <v>55</v>
      </c>
      <c r="R949">
        <v>0</v>
      </c>
      <c r="S949">
        <v>110</v>
      </c>
      <c r="T949">
        <v>0</v>
      </c>
      <c r="U949">
        <v>0</v>
      </c>
      <c r="V949" t="s">
        <v>2759</v>
      </c>
      <c r="W949">
        <v>46180478</v>
      </c>
      <c r="X949" t="s">
        <v>86</v>
      </c>
      <c r="Y949" t="s">
        <v>2760</v>
      </c>
      <c r="Z949" t="b">
        <v>0</v>
      </c>
      <c r="AA949">
        <v>1288.181818181818</v>
      </c>
      <c r="AN949" t="e">
        <f>100*(1-E949/AL949)</f>
        <v>#DIV/0!</v>
      </c>
    </row>
    <row r="950" spans="1:40" x14ac:dyDescent="0.3">
      <c r="A950" t="s">
        <v>59</v>
      </c>
      <c r="B950" t="s">
        <v>2754</v>
      </c>
      <c r="C950" t="s">
        <v>2754</v>
      </c>
      <c r="D950" s="4">
        <v>46008</v>
      </c>
      <c r="E950">
        <v>141700</v>
      </c>
      <c r="F950" t="s">
        <v>2755</v>
      </c>
      <c r="G950" t="s">
        <v>2756</v>
      </c>
      <c r="H950" t="s">
        <v>41</v>
      </c>
      <c r="I950" t="s">
        <v>43</v>
      </c>
      <c r="J950" t="s">
        <v>43</v>
      </c>
      <c r="K950" t="s">
        <v>2757</v>
      </c>
      <c r="L950" t="s">
        <v>44</v>
      </c>
      <c r="M950" t="s">
        <v>2758</v>
      </c>
      <c r="N950">
        <v>48100</v>
      </c>
      <c r="O950" t="s">
        <v>45</v>
      </c>
      <c r="P950" t="s">
        <v>288</v>
      </c>
      <c r="Q950" t="s">
        <v>55</v>
      </c>
      <c r="R950">
        <v>0</v>
      </c>
      <c r="S950">
        <v>110</v>
      </c>
      <c r="T950">
        <v>0</v>
      </c>
      <c r="U950">
        <v>0</v>
      </c>
      <c r="V950" t="s">
        <v>2759</v>
      </c>
      <c r="W950">
        <v>46180478</v>
      </c>
      <c r="X950" t="s">
        <v>86</v>
      </c>
      <c r="Y950" t="s">
        <v>2760</v>
      </c>
      <c r="Z950" t="b">
        <v>0</v>
      </c>
      <c r="AA950">
        <v>1288.181818181818</v>
      </c>
      <c r="AN950" t="e">
        <f>100*(1-E950/AL950)</f>
        <v>#DIV/0!</v>
      </c>
    </row>
    <row r="951" spans="1:40" x14ac:dyDescent="0.3">
      <c r="A951" t="s">
        <v>59</v>
      </c>
      <c r="B951" t="s">
        <v>2761</v>
      </c>
      <c r="C951" t="s">
        <v>2761</v>
      </c>
      <c r="D951" s="4">
        <v>46008</v>
      </c>
      <c r="E951">
        <v>87000</v>
      </c>
      <c r="F951" t="s">
        <v>2762</v>
      </c>
      <c r="G951" t="s">
        <v>2763</v>
      </c>
      <c r="H951" t="s">
        <v>225</v>
      </c>
      <c r="I951" t="s">
        <v>2295</v>
      </c>
      <c r="J951" t="s">
        <v>2295</v>
      </c>
      <c r="K951" t="s">
        <v>2764</v>
      </c>
      <c r="L951" t="s">
        <v>80</v>
      </c>
      <c r="M951" t="s">
        <v>2765</v>
      </c>
      <c r="N951">
        <v>81200</v>
      </c>
      <c r="O951" t="s">
        <v>45</v>
      </c>
      <c r="P951" t="s">
        <v>81</v>
      </c>
      <c r="Q951" t="s">
        <v>85</v>
      </c>
      <c r="R951">
        <v>0</v>
      </c>
      <c r="S951">
        <v>164.28</v>
      </c>
      <c r="T951">
        <v>0</v>
      </c>
      <c r="U951">
        <v>0</v>
      </c>
      <c r="V951" t="s">
        <v>2766</v>
      </c>
      <c r="W951">
        <v>149664120</v>
      </c>
      <c r="X951" t="s">
        <v>86</v>
      </c>
      <c r="Y951">
        <v>0</v>
      </c>
      <c r="Z951" t="b">
        <v>0</v>
      </c>
      <c r="AA951">
        <v>529.58363769174582</v>
      </c>
      <c r="AN951" t="e">
        <f>100*(1-E951/AL951)</f>
        <v>#DIV/0!</v>
      </c>
    </row>
    <row r="952" spans="1:40" x14ac:dyDescent="0.3">
      <c r="A952" t="s">
        <v>59</v>
      </c>
      <c r="B952" t="s">
        <v>2767</v>
      </c>
      <c r="C952" t="s">
        <v>2768</v>
      </c>
      <c r="D952" s="4">
        <v>46008</v>
      </c>
      <c r="E952">
        <v>5000</v>
      </c>
      <c r="F952" t="s">
        <v>2769</v>
      </c>
      <c r="G952" t="s">
        <v>104</v>
      </c>
      <c r="H952" t="s">
        <v>94</v>
      </c>
      <c r="I952" t="s">
        <v>105</v>
      </c>
      <c r="J952" t="s">
        <v>105</v>
      </c>
      <c r="K952" t="s">
        <v>2770</v>
      </c>
      <c r="L952" t="s">
        <v>44</v>
      </c>
      <c r="M952" t="s">
        <v>2771</v>
      </c>
      <c r="N952">
        <v>73134</v>
      </c>
      <c r="O952" t="s">
        <v>45</v>
      </c>
      <c r="P952" t="s">
        <v>46</v>
      </c>
      <c r="Q952" t="s">
        <v>47</v>
      </c>
      <c r="R952">
        <v>0</v>
      </c>
      <c r="S952">
        <v>21.42</v>
      </c>
      <c r="T952">
        <v>0</v>
      </c>
      <c r="U952">
        <v>0</v>
      </c>
      <c r="V952" t="s">
        <v>2772</v>
      </c>
      <c r="W952">
        <v>113150356</v>
      </c>
      <c r="X952" t="s">
        <v>49</v>
      </c>
      <c r="Y952" t="s">
        <v>2773</v>
      </c>
      <c r="Z952" t="b">
        <v>0</v>
      </c>
      <c r="AA952">
        <v>233.4267040149393</v>
      </c>
      <c r="AN952" t="e">
        <f>100*(1-E952/AL952)</f>
        <v>#DIV/0!</v>
      </c>
    </row>
    <row r="953" spans="1:40" x14ac:dyDescent="0.3">
      <c r="A953" t="s">
        <v>59</v>
      </c>
      <c r="B953" t="s">
        <v>2754</v>
      </c>
      <c r="C953" t="s">
        <v>2754</v>
      </c>
      <c r="D953" s="4">
        <v>46008</v>
      </c>
      <c r="E953">
        <v>141700</v>
      </c>
      <c r="F953" t="s">
        <v>2755</v>
      </c>
      <c r="G953" t="s">
        <v>2756</v>
      </c>
      <c r="H953" t="s">
        <v>41</v>
      </c>
      <c r="I953" t="s">
        <v>43</v>
      </c>
      <c r="J953" t="s">
        <v>43</v>
      </c>
      <c r="K953" t="s">
        <v>2757</v>
      </c>
      <c r="L953" t="s">
        <v>44</v>
      </c>
      <c r="M953" t="s">
        <v>2758</v>
      </c>
      <c r="N953">
        <v>48100</v>
      </c>
      <c r="O953" t="s">
        <v>45</v>
      </c>
      <c r="P953" t="s">
        <v>288</v>
      </c>
      <c r="Q953" t="s">
        <v>55</v>
      </c>
      <c r="R953">
        <v>0</v>
      </c>
      <c r="S953">
        <v>110</v>
      </c>
      <c r="T953">
        <v>0</v>
      </c>
      <c r="U953">
        <v>0</v>
      </c>
      <c r="V953" t="s">
        <v>2759</v>
      </c>
      <c r="W953">
        <v>46180478</v>
      </c>
      <c r="X953" t="s">
        <v>86</v>
      </c>
      <c r="Y953" t="s">
        <v>2760</v>
      </c>
      <c r="Z953" t="b">
        <v>0</v>
      </c>
      <c r="AA953">
        <v>1288.181818181818</v>
      </c>
      <c r="AN953" t="e">
        <f>100*(1-E953/AL953)</f>
        <v>#DIV/0!</v>
      </c>
    </row>
    <row r="954" spans="1:40" x14ac:dyDescent="0.3">
      <c r="A954" t="s">
        <v>59</v>
      </c>
      <c r="B954" t="s">
        <v>2774</v>
      </c>
      <c r="C954" t="s">
        <v>2774</v>
      </c>
      <c r="D954" s="4">
        <v>46008</v>
      </c>
      <c r="E954">
        <v>91519</v>
      </c>
      <c r="F954" t="s">
        <v>2775</v>
      </c>
      <c r="G954" t="s">
        <v>1823</v>
      </c>
      <c r="H954" t="s">
        <v>94</v>
      </c>
      <c r="I954" t="s">
        <v>1824</v>
      </c>
      <c r="J954" t="s">
        <v>96</v>
      </c>
      <c r="K954" t="s">
        <v>2776</v>
      </c>
      <c r="L954" t="s">
        <v>44</v>
      </c>
      <c r="M954" t="s">
        <v>2777</v>
      </c>
      <c r="N954">
        <v>70012</v>
      </c>
      <c r="O954" t="s">
        <v>45</v>
      </c>
      <c r="P954" t="s">
        <v>81</v>
      </c>
      <c r="Q954" t="s">
        <v>52</v>
      </c>
      <c r="R954">
        <v>0</v>
      </c>
      <c r="S954">
        <v>228.21</v>
      </c>
      <c r="T954">
        <v>0</v>
      </c>
      <c r="U954">
        <v>0</v>
      </c>
      <c r="V954" t="s">
        <v>2778</v>
      </c>
      <c r="W954">
        <v>103681909</v>
      </c>
      <c r="X954" t="s">
        <v>49</v>
      </c>
      <c r="Y954">
        <v>170071315018</v>
      </c>
      <c r="Z954" t="b">
        <v>0</v>
      </c>
      <c r="AA954">
        <v>401.0297532974015</v>
      </c>
      <c r="AN954" t="e">
        <f>100*(1-E954/AL954)</f>
        <v>#DIV/0!</v>
      </c>
    </row>
    <row r="955" spans="1:40" x14ac:dyDescent="0.3">
      <c r="A955" t="s">
        <v>59</v>
      </c>
      <c r="B955" t="s">
        <v>2779</v>
      </c>
      <c r="C955" t="s">
        <v>2779</v>
      </c>
      <c r="D955" s="4">
        <v>46008</v>
      </c>
      <c r="E955">
        <v>108000</v>
      </c>
      <c r="F955" t="s">
        <v>2608</v>
      </c>
      <c r="G955" t="s">
        <v>2780</v>
      </c>
      <c r="H955" t="s">
        <v>196</v>
      </c>
      <c r="I955" t="s">
        <v>470</v>
      </c>
      <c r="J955" t="s">
        <v>396</v>
      </c>
      <c r="K955" t="s">
        <v>2781</v>
      </c>
      <c r="L955" t="s">
        <v>44</v>
      </c>
      <c r="M955" t="s">
        <v>2780</v>
      </c>
      <c r="N955">
        <v>85100</v>
      </c>
      <c r="O955" t="s">
        <v>45</v>
      </c>
      <c r="P955" t="s">
        <v>81</v>
      </c>
      <c r="Q955" t="s">
        <v>55</v>
      </c>
      <c r="R955">
        <v>0</v>
      </c>
      <c r="S955">
        <v>120</v>
      </c>
      <c r="T955">
        <v>0</v>
      </c>
      <c r="U955">
        <v>0</v>
      </c>
      <c r="V955" t="s">
        <v>2782</v>
      </c>
      <c r="W955">
        <v>75015660</v>
      </c>
      <c r="X955" t="s">
        <v>86</v>
      </c>
      <c r="Y955">
        <v>0</v>
      </c>
      <c r="Z955" t="b">
        <v>0</v>
      </c>
      <c r="AA955">
        <v>900</v>
      </c>
      <c r="AN955" t="e">
        <f>100*(1-E955/AL955)</f>
        <v>#DIV/0!</v>
      </c>
    </row>
    <row r="956" spans="1:40" x14ac:dyDescent="0.3">
      <c r="A956" t="s">
        <v>59</v>
      </c>
      <c r="B956" t="s">
        <v>2783</v>
      </c>
      <c r="C956" t="s">
        <v>2783</v>
      </c>
      <c r="D956" s="4">
        <v>46008</v>
      </c>
      <c r="E956">
        <v>38000</v>
      </c>
      <c r="F956" t="s">
        <v>2784</v>
      </c>
      <c r="G956" t="s">
        <v>494</v>
      </c>
      <c r="H956" t="s">
        <v>62</v>
      </c>
      <c r="I956" t="s">
        <v>495</v>
      </c>
      <c r="J956" t="s">
        <v>389</v>
      </c>
      <c r="K956" t="s">
        <v>2785</v>
      </c>
      <c r="L956" t="s">
        <v>44</v>
      </c>
      <c r="M956" t="s">
        <v>2786</v>
      </c>
      <c r="N956">
        <v>63073</v>
      </c>
      <c r="O956" t="s">
        <v>97</v>
      </c>
      <c r="P956" t="s">
        <v>98</v>
      </c>
      <c r="Q956">
        <v>0</v>
      </c>
      <c r="R956">
        <v>0</v>
      </c>
      <c r="S956">
        <v>2876.55</v>
      </c>
      <c r="T956">
        <v>0</v>
      </c>
      <c r="U956">
        <v>0</v>
      </c>
      <c r="V956" t="s">
        <v>2787</v>
      </c>
      <c r="W956">
        <v>105713366</v>
      </c>
      <c r="X956" t="s">
        <v>49</v>
      </c>
      <c r="Y956" t="s">
        <v>2788</v>
      </c>
      <c r="Z956" t="b">
        <v>0</v>
      </c>
      <c r="AA956">
        <v>13.210269246145559</v>
      </c>
      <c r="AN956" t="e">
        <f>100*(1-E956/AL956)</f>
        <v>#DIV/0!</v>
      </c>
    </row>
    <row r="957" spans="1:40" x14ac:dyDescent="0.3">
      <c r="A957" t="s">
        <v>59</v>
      </c>
      <c r="B957" t="s">
        <v>2789</v>
      </c>
      <c r="C957" t="s">
        <v>2789</v>
      </c>
      <c r="D957" s="4">
        <v>46008</v>
      </c>
      <c r="E957">
        <v>227000</v>
      </c>
      <c r="F957" t="s">
        <v>2790</v>
      </c>
      <c r="G957" t="s">
        <v>459</v>
      </c>
      <c r="H957" t="s">
        <v>94</v>
      </c>
      <c r="I957" t="s">
        <v>460</v>
      </c>
      <c r="J957" t="s">
        <v>449</v>
      </c>
      <c r="K957" t="s">
        <v>2791</v>
      </c>
      <c r="L957" t="s">
        <v>44</v>
      </c>
      <c r="M957" t="s">
        <v>2792</v>
      </c>
      <c r="N957">
        <v>74150</v>
      </c>
      <c r="O957" t="s">
        <v>45</v>
      </c>
      <c r="P957" t="s">
        <v>288</v>
      </c>
      <c r="Q957" t="s">
        <v>55</v>
      </c>
      <c r="R957">
        <v>0</v>
      </c>
      <c r="S957">
        <v>239.17</v>
      </c>
      <c r="T957">
        <v>0</v>
      </c>
      <c r="U957">
        <v>0</v>
      </c>
      <c r="V957" t="s">
        <v>2793</v>
      </c>
      <c r="W957">
        <v>24073582</v>
      </c>
      <c r="X957" t="s">
        <v>49</v>
      </c>
      <c r="Y957" t="s">
        <v>2794</v>
      </c>
      <c r="Z957" t="b">
        <v>0</v>
      </c>
      <c r="AA957">
        <v>949.11569176736214</v>
      </c>
      <c r="AN957" t="e">
        <f>100*(1-E957/AL957)</f>
        <v>#DIV/0!</v>
      </c>
    </row>
    <row r="958" spans="1:40" x14ac:dyDescent="0.3">
      <c r="A958" t="s">
        <v>59</v>
      </c>
      <c r="B958" t="s">
        <v>2795</v>
      </c>
      <c r="C958" t="s">
        <v>2795</v>
      </c>
      <c r="D958" s="4">
        <v>46008</v>
      </c>
      <c r="E958">
        <v>60000</v>
      </c>
      <c r="F958" t="s">
        <v>2796</v>
      </c>
      <c r="G958" t="s">
        <v>2797</v>
      </c>
      <c r="H958" t="s">
        <v>94</v>
      </c>
      <c r="I958" t="s">
        <v>105</v>
      </c>
      <c r="J958" t="s">
        <v>105</v>
      </c>
      <c r="K958" t="s">
        <v>2798</v>
      </c>
      <c r="L958" t="s">
        <v>44</v>
      </c>
      <c r="M958" t="s">
        <v>2799</v>
      </c>
      <c r="N958">
        <v>73100</v>
      </c>
      <c r="O958" t="s">
        <v>97</v>
      </c>
      <c r="P958" t="s">
        <v>98</v>
      </c>
      <c r="Q958">
        <v>0</v>
      </c>
      <c r="R958">
        <v>0</v>
      </c>
      <c r="S958">
        <v>566.70000000000005</v>
      </c>
      <c r="T958">
        <v>0</v>
      </c>
      <c r="U958">
        <v>0</v>
      </c>
      <c r="V958" t="s">
        <v>2800</v>
      </c>
      <c r="W958">
        <v>130415938</v>
      </c>
      <c r="X958" t="s">
        <v>49</v>
      </c>
      <c r="Y958">
        <v>0</v>
      </c>
      <c r="Z958" t="b">
        <v>0</v>
      </c>
      <c r="AA958">
        <v>105.8761249338274</v>
      </c>
      <c r="AN958" t="e">
        <f>100*(1-E958/AL958)</f>
        <v>#DIV/0!</v>
      </c>
    </row>
    <row r="959" spans="1:40" x14ac:dyDescent="0.3">
      <c r="A959" t="s">
        <v>215</v>
      </c>
      <c r="B959" t="s">
        <v>2801</v>
      </c>
      <c r="C959" t="s">
        <v>2801</v>
      </c>
      <c r="D959" s="4">
        <v>46008</v>
      </c>
      <c r="E959">
        <v>127500</v>
      </c>
      <c r="F959" t="s">
        <v>280</v>
      </c>
      <c r="G959" t="s">
        <v>2474</v>
      </c>
      <c r="H959" t="s">
        <v>111</v>
      </c>
      <c r="I959" t="s">
        <v>2475</v>
      </c>
      <c r="J959" t="s">
        <v>165</v>
      </c>
      <c r="K959" t="s">
        <v>2802</v>
      </c>
      <c r="L959" t="s">
        <v>44</v>
      </c>
      <c r="M959" t="s">
        <v>2803</v>
      </c>
      <c r="N959">
        <v>32012</v>
      </c>
      <c r="O959" t="s">
        <v>45</v>
      </c>
      <c r="P959" t="s">
        <v>54</v>
      </c>
      <c r="Q959" t="s">
        <v>55</v>
      </c>
      <c r="R959">
        <v>0</v>
      </c>
      <c r="S959">
        <v>86.55</v>
      </c>
      <c r="T959">
        <v>0</v>
      </c>
      <c r="U959">
        <v>0</v>
      </c>
      <c r="V959" t="s">
        <v>2804</v>
      </c>
      <c r="W959">
        <v>46073163</v>
      </c>
      <c r="X959" t="s">
        <v>49</v>
      </c>
      <c r="Y959" t="s">
        <v>2805</v>
      </c>
      <c r="Z959" t="b">
        <v>0</v>
      </c>
      <c r="AA959">
        <v>1473.1369150779899</v>
      </c>
      <c r="AN959" t="e">
        <f>100*(1-E959/AL959)</f>
        <v>#DIV/0!</v>
      </c>
    </row>
    <row r="960" spans="1:40" x14ac:dyDescent="0.3">
      <c r="A960" t="s">
        <v>166</v>
      </c>
      <c r="B960" t="s">
        <v>2806</v>
      </c>
      <c r="C960" t="s">
        <v>2806</v>
      </c>
      <c r="D960" s="4">
        <v>46008</v>
      </c>
      <c r="E960">
        <v>27000</v>
      </c>
      <c r="F960" t="s">
        <v>2807</v>
      </c>
      <c r="G960" t="s">
        <v>1478</v>
      </c>
      <c r="H960" t="s">
        <v>111</v>
      </c>
      <c r="I960" t="s">
        <v>1479</v>
      </c>
      <c r="J960" t="s">
        <v>165</v>
      </c>
      <c r="K960" t="s">
        <v>2808</v>
      </c>
      <c r="L960" t="s">
        <v>44</v>
      </c>
      <c r="M960" t="s">
        <v>2809</v>
      </c>
      <c r="N960">
        <v>32300</v>
      </c>
      <c r="O960" t="s">
        <v>50</v>
      </c>
      <c r="P960" t="s">
        <v>46</v>
      </c>
      <c r="Q960">
        <v>0</v>
      </c>
      <c r="R960">
        <v>0</v>
      </c>
      <c r="S960">
        <v>70</v>
      </c>
      <c r="T960">
        <v>0</v>
      </c>
      <c r="U960">
        <v>0</v>
      </c>
      <c r="V960" t="s">
        <v>2810</v>
      </c>
      <c r="W960">
        <v>72214107</v>
      </c>
      <c r="X960" t="s">
        <v>49</v>
      </c>
      <c r="Y960" t="s">
        <v>2811</v>
      </c>
      <c r="Z960" t="b">
        <v>0</v>
      </c>
      <c r="AA960">
        <v>385.71428571428572</v>
      </c>
      <c r="AN960" t="e">
        <f>100*(1-E960/AL960)</f>
        <v>#DIV/0!</v>
      </c>
    </row>
    <row r="961" spans="1:40" x14ac:dyDescent="0.3">
      <c r="A961" t="s">
        <v>166</v>
      </c>
      <c r="B961" t="s">
        <v>2812</v>
      </c>
      <c r="C961" t="s">
        <v>2812</v>
      </c>
      <c r="D961" s="4">
        <v>46008</v>
      </c>
      <c r="E961">
        <v>40000</v>
      </c>
      <c r="F961" t="s">
        <v>2813</v>
      </c>
      <c r="G961" t="s">
        <v>2814</v>
      </c>
      <c r="H961" t="s">
        <v>230</v>
      </c>
      <c r="I961" t="s">
        <v>2815</v>
      </c>
      <c r="J961" t="s">
        <v>631</v>
      </c>
      <c r="K961" t="s">
        <v>2816</v>
      </c>
      <c r="L961" t="s">
        <v>44</v>
      </c>
      <c r="M961" t="s">
        <v>2817</v>
      </c>
      <c r="N961">
        <v>69100</v>
      </c>
      <c r="O961" t="s">
        <v>45</v>
      </c>
      <c r="P961" t="s">
        <v>54</v>
      </c>
      <c r="Q961" t="s">
        <v>100</v>
      </c>
      <c r="R961">
        <v>0</v>
      </c>
      <c r="S961">
        <v>111.87</v>
      </c>
      <c r="T961" t="s">
        <v>48</v>
      </c>
      <c r="U961" t="s">
        <v>2462</v>
      </c>
      <c r="V961" t="s">
        <v>2818</v>
      </c>
      <c r="W961">
        <v>71194481</v>
      </c>
      <c r="X961" t="s">
        <v>49</v>
      </c>
      <c r="Y961" t="s">
        <v>2819</v>
      </c>
      <c r="Z961" t="b">
        <v>0</v>
      </c>
      <c r="AA961">
        <v>357.5578796817735</v>
      </c>
      <c r="AN961" t="e">
        <f>100*(1-E961/AL961)</f>
        <v>#DIV/0!</v>
      </c>
    </row>
    <row r="962" spans="1:40" x14ac:dyDescent="0.3">
      <c r="A962" t="s">
        <v>166</v>
      </c>
      <c r="B962" t="s">
        <v>2820</v>
      </c>
      <c r="C962" t="s">
        <v>2820</v>
      </c>
      <c r="D962" s="4">
        <v>46008</v>
      </c>
      <c r="E962">
        <v>107000</v>
      </c>
      <c r="F962" t="s">
        <v>2821</v>
      </c>
      <c r="G962" t="s">
        <v>2822</v>
      </c>
      <c r="H962" t="s">
        <v>230</v>
      </c>
      <c r="I962" t="s">
        <v>630</v>
      </c>
      <c r="J962" t="s">
        <v>631</v>
      </c>
      <c r="K962" t="s">
        <v>2823</v>
      </c>
      <c r="L962" t="s">
        <v>44</v>
      </c>
      <c r="M962" t="s">
        <v>2824</v>
      </c>
      <c r="N962">
        <v>69400</v>
      </c>
      <c r="O962" t="s">
        <v>97</v>
      </c>
      <c r="P962" t="s">
        <v>118</v>
      </c>
      <c r="Q962">
        <v>0</v>
      </c>
      <c r="R962">
        <v>0</v>
      </c>
      <c r="S962">
        <v>4125</v>
      </c>
      <c r="T962">
        <v>0</v>
      </c>
      <c r="U962">
        <v>0</v>
      </c>
      <c r="V962" t="s">
        <v>2825</v>
      </c>
      <c r="W962">
        <v>41465692</v>
      </c>
      <c r="X962" t="s">
        <v>49</v>
      </c>
      <c r="Y962" t="s">
        <v>2826</v>
      </c>
      <c r="Z962" t="b">
        <v>0</v>
      </c>
      <c r="AA962">
        <v>25.939393939393941</v>
      </c>
      <c r="AN962" t="e">
        <f>100*(1-E962/AL962)</f>
        <v>#DIV/0!</v>
      </c>
    </row>
    <row r="963" spans="1:40" x14ac:dyDescent="0.3">
      <c r="A963" t="s">
        <v>71</v>
      </c>
      <c r="B963" t="s">
        <v>2827</v>
      </c>
      <c r="C963" t="s">
        <v>2828</v>
      </c>
      <c r="D963" s="4">
        <v>46008</v>
      </c>
      <c r="E963">
        <v>18000</v>
      </c>
      <c r="F963" t="s">
        <v>2829</v>
      </c>
      <c r="G963" t="s">
        <v>2830</v>
      </c>
      <c r="H963" t="s">
        <v>41</v>
      </c>
      <c r="I963" t="s">
        <v>2831</v>
      </c>
      <c r="J963" t="s">
        <v>43</v>
      </c>
      <c r="K963" t="s">
        <v>2832</v>
      </c>
      <c r="L963" t="s">
        <v>44</v>
      </c>
      <c r="M963" t="s">
        <v>2833</v>
      </c>
      <c r="N963">
        <v>48200</v>
      </c>
      <c r="O963" t="s">
        <v>97</v>
      </c>
      <c r="P963" t="s">
        <v>118</v>
      </c>
      <c r="Q963">
        <v>0</v>
      </c>
      <c r="R963">
        <v>0</v>
      </c>
      <c r="S963">
        <v>9030</v>
      </c>
      <c r="T963">
        <v>0</v>
      </c>
      <c r="U963">
        <v>0</v>
      </c>
      <c r="V963" t="s">
        <v>2834</v>
      </c>
      <c r="W963">
        <v>27517559</v>
      </c>
      <c r="X963" t="s">
        <v>49</v>
      </c>
      <c r="Y963" t="s">
        <v>2835</v>
      </c>
      <c r="Z963" t="b">
        <v>0</v>
      </c>
      <c r="AA963">
        <v>1.9933554817275749</v>
      </c>
      <c r="AN963" t="e">
        <f>100*(1-E963/AL963)</f>
        <v>#DIV/0!</v>
      </c>
    </row>
    <row r="964" spans="1:40" x14ac:dyDescent="0.3">
      <c r="A964" t="s">
        <v>59</v>
      </c>
      <c r="B964" t="s">
        <v>2836</v>
      </c>
      <c r="C964" t="s">
        <v>2836</v>
      </c>
      <c r="D964" s="4">
        <v>46008</v>
      </c>
      <c r="E964">
        <v>55000</v>
      </c>
      <c r="F964" t="s">
        <v>2837</v>
      </c>
      <c r="G964" t="s">
        <v>2838</v>
      </c>
      <c r="H964" t="s">
        <v>62</v>
      </c>
      <c r="I964" t="s">
        <v>2323</v>
      </c>
      <c r="J964" t="s">
        <v>204</v>
      </c>
      <c r="K964" t="s">
        <v>2839</v>
      </c>
      <c r="L964" t="s">
        <v>44</v>
      </c>
      <c r="M964" t="s">
        <v>2838</v>
      </c>
      <c r="N964">
        <v>62055</v>
      </c>
      <c r="O964" t="s">
        <v>45</v>
      </c>
      <c r="P964" t="s">
        <v>81</v>
      </c>
      <c r="Q964" t="s">
        <v>55</v>
      </c>
      <c r="R964">
        <v>0</v>
      </c>
      <c r="S964">
        <v>160</v>
      </c>
      <c r="T964">
        <v>0</v>
      </c>
      <c r="U964">
        <v>0</v>
      </c>
      <c r="V964" t="s">
        <v>2840</v>
      </c>
      <c r="W964">
        <v>53587115</v>
      </c>
      <c r="X964" t="s">
        <v>49</v>
      </c>
      <c r="Y964" t="s">
        <v>2841</v>
      </c>
      <c r="Z964" t="b">
        <v>0</v>
      </c>
      <c r="AA964">
        <v>343.75</v>
      </c>
      <c r="AN964" t="e">
        <f>100*(1-E964/AL964)</f>
        <v>#DIV/0!</v>
      </c>
    </row>
    <row r="965" spans="1:40" x14ac:dyDescent="0.3">
      <c r="A965" t="s">
        <v>71</v>
      </c>
      <c r="B965" t="s">
        <v>2842</v>
      </c>
      <c r="C965" t="s">
        <v>2842</v>
      </c>
      <c r="D965" s="4">
        <v>46008</v>
      </c>
      <c r="E965">
        <v>14000</v>
      </c>
      <c r="F965" t="s">
        <v>2843</v>
      </c>
      <c r="G965" t="s">
        <v>677</v>
      </c>
      <c r="H965" t="s">
        <v>41</v>
      </c>
      <c r="I965" t="s">
        <v>678</v>
      </c>
      <c r="J965" t="s">
        <v>679</v>
      </c>
      <c r="K965" t="s">
        <v>2844</v>
      </c>
      <c r="L965" t="s">
        <v>44</v>
      </c>
      <c r="M965" t="s">
        <v>2845</v>
      </c>
      <c r="N965">
        <v>46200</v>
      </c>
      <c r="O965" t="s">
        <v>97</v>
      </c>
      <c r="P965" t="s">
        <v>98</v>
      </c>
      <c r="Q965">
        <v>0</v>
      </c>
      <c r="R965">
        <v>0</v>
      </c>
      <c r="S965">
        <v>1282.5899999999999</v>
      </c>
      <c r="T965">
        <v>0</v>
      </c>
      <c r="U965">
        <v>0</v>
      </c>
      <c r="V965" t="s">
        <v>2846</v>
      </c>
      <c r="W965">
        <v>70445701</v>
      </c>
      <c r="X965" t="s">
        <v>49</v>
      </c>
      <c r="Y965">
        <v>0</v>
      </c>
      <c r="Z965" t="b">
        <v>0</v>
      </c>
      <c r="AA965">
        <v>10.915413343313141</v>
      </c>
      <c r="AN965" t="e">
        <f>100*(1-E965/AL965)</f>
        <v>#DIV/0!</v>
      </c>
    </row>
    <row r="966" spans="1:40" x14ac:dyDescent="0.3">
      <c r="A966" t="s">
        <v>59</v>
      </c>
      <c r="B966" t="s">
        <v>2847</v>
      </c>
      <c r="C966" t="s">
        <v>2847</v>
      </c>
      <c r="D966" s="4">
        <v>46008</v>
      </c>
      <c r="E966">
        <v>12750</v>
      </c>
      <c r="F966" t="s">
        <v>326</v>
      </c>
      <c r="G966" t="s">
        <v>2848</v>
      </c>
      <c r="H966" t="s">
        <v>62</v>
      </c>
      <c r="I966" t="s">
        <v>78</v>
      </c>
      <c r="J966" t="s">
        <v>79</v>
      </c>
      <c r="K966" t="s">
        <v>2849</v>
      </c>
      <c r="L966" t="s">
        <v>44</v>
      </c>
      <c r="M966" t="s">
        <v>2850</v>
      </c>
      <c r="N966">
        <v>60063</v>
      </c>
      <c r="O966" t="s">
        <v>97</v>
      </c>
      <c r="P966" t="s">
        <v>118</v>
      </c>
      <c r="Q966">
        <v>0</v>
      </c>
      <c r="R966">
        <v>0</v>
      </c>
      <c r="S966">
        <v>4400</v>
      </c>
      <c r="T966">
        <v>0</v>
      </c>
      <c r="U966">
        <v>0</v>
      </c>
      <c r="V966" t="s">
        <v>2851</v>
      </c>
      <c r="W966">
        <v>998458681</v>
      </c>
      <c r="X966" t="s">
        <v>49</v>
      </c>
      <c r="Y966" t="s">
        <v>2852</v>
      </c>
      <c r="Z966" t="b">
        <v>0</v>
      </c>
      <c r="AA966">
        <v>2.8977272727272729</v>
      </c>
      <c r="AN966" t="e">
        <f>100*(1-E966/AL966)</f>
        <v>#DIV/0!</v>
      </c>
    </row>
    <row r="967" spans="1:40" x14ac:dyDescent="0.3">
      <c r="A967" t="s">
        <v>166</v>
      </c>
      <c r="B967" t="s">
        <v>2853</v>
      </c>
      <c r="C967" t="s">
        <v>2853</v>
      </c>
      <c r="D967" s="4">
        <v>46008</v>
      </c>
      <c r="E967">
        <v>44800</v>
      </c>
      <c r="F967" t="s">
        <v>2854</v>
      </c>
      <c r="G967" t="s">
        <v>2855</v>
      </c>
      <c r="H967" t="s">
        <v>111</v>
      </c>
      <c r="I967" t="s">
        <v>1575</v>
      </c>
      <c r="J967" t="s">
        <v>165</v>
      </c>
      <c r="K967" t="s">
        <v>2856</v>
      </c>
      <c r="L967" t="s">
        <v>44</v>
      </c>
      <c r="M967" t="s">
        <v>2857</v>
      </c>
      <c r="N967">
        <v>32011</v>
      </c>
      <c r="O967" t="s">
        <v>45</v>
      </c>
      <c r="P967" t="s">
        <v>81</v>
      </c>
      <c r="Q967" t="s">
        <v>52</v>
      </c>
      <c r="R967">
        <v>0</v>
      </c>
      <c r="S967">
        <v>127.97</v>
      </c>
      <c r="T967">
        <v>0</v>
      </c>
      <c r="U967">
        <v>0</v>
      </c>
      <c r="V967" t="s">
        <v>2858</v>
      </c>
      <c r="W967">
        <v>39639763</v>
      </c>
      <c r="X967" t="s">
        <v>69</v>
      </c>
      <c r="Y967" t="s">
        <v>2859</v>
      </c>
      <c r="Z967" t="b">
        <v>0</v>
      </c>
      <c r="AA967">
        <v>350.08205048058142</v>
      </c>
      <c r="AN967" t="e">
        <f>100*(1-E967/AL967)</f>
        <v>#DIV/0!</v>
      </c>
    </row>
    <row r="968" spans="1:40" x14ac:dyDescent="0.3">
      <c r="A968" t="s">
        <v>59</v>
      </c>
      <c r="B968" t="s">
        <v>3497</v>
      </c>
      <c r="C968" t="s">
        <v>3497</v>
      </c>
      <c r="D968" s="4">
        <v>46008</v>
      </c>
      <c r="E968">
        <v>30000</v>
      </c>
      <c r="F968" t="s">
        <v>3498</v>
      </c>
      <c r="G968" t="s">
        <v>539</v>
      </c>
      <c r="H968" t="s">
        <v>136</v>
      </c>
      <c r="I968" t="s">
        <v>540</v>
      </c>
      <c r="J968" t="s">
        <v>149</v>
      </c>
      <c r="K968" t="s">
        <v>3499</v>
      </c>
      <c r="L968" t="s">
        <v>44</v>
      </c>
      <c r="M968" t="s">
        <v>3500</v>
      </c>
      <c r="N968">
        <v>40003</v>
      </c>
      <c r="O968" t="s">
        <v>45</v>
      </c>
      <c r="P968" t="s">
        <v>81</v>
      </c>
      <c r="Q968" t="s">
        <v>85</v>
      </c>
      <c r="R968">
        <v>1955</v>
      </c>
      <c r="S968">
        <v>218.08</v>
      </c>
      <c r="T968">
        <v>0</v>
      </c>
      <c r="U968">
        <v>0</v>
      </c>
      <c r="V968" t="s">
        <v>3501</v>
      </c>
      <c r="W968">
        <v>111261190</v>
      </c>
      <c r="X968" t="s">
        <v>49</v>
      </c>
      <c r="Y968" t="s">
        <v>3502</v>
      </c>
      <c r="Z968" t="b">
        <v>0</v>
      </c>
      <c r="AA968">
        <v>137.56419662509171</v>
      </c>
      <c r="AN968" t="e">
        <f>100*(1-E968/AL968)</f>
        <v>#DIV/0!</v>
      </c>
    </row>
    <row r="969" spans="1:40" x14ac:dyDescent="0.3">
      <c r="A969" t="s">
        <v>166</v>
      </c>
      <c r="B969" t="s">
        <v>3503</v>
      </c>
      <c r="C969" t="s">
        <v>3503</v>
      </c>
      <c r="D969" s="4">
        <v>46008</v>
      </c>
      <c r="E969">
        <v>60000</v>
      </c>
      <c r="F969" t="s">
        <v>3504</v>
      </c>
      <c r="G969" t="s">
        <v>101</v>
      </c>
      <c r="H969" t="s">
        <v>102</v>
      </c>
      <c r="I969" t="s">
        <v>103</v>
      </c>
      <c r="J969" t="s">
        <v>103</v>
      </c>
      <c r="K969" t="s">
        <v>3505</v>
      </c>
      <c r="L969" t="s">
        <v>44</v>
      </c>
      <c r="M969" t="s">
        <v>3506</v>
      </c>
      <c r="N969">
        <v>50100</v>
      </c>
      <c r="O969" t="s">
        <v>331</v>
      </c>
      <c r="P969" t="s">
        <v>331</v>
      </c>
      <c r="Q969" t="s">
        <v>55</v>
      </c>
      <c r="R969">
        <v>1955</v>
      </c>
      <c r="S969">
        <v>220</v>
      </c>
      <c r="T969">
        <v>0</v>
      </c>
      <c r="U969">
        <v>0</v>
      </c>
      <c r="V969" t="s">
        <v>3507</v>
      </c>
      <c r="W969">
        <v>300076471</v>
      </c>
      <c r="X969" t="s">
        <v>49</v>
      </c>
      <c r="Y969" t="s">
        <v>3508</v>
      </c>
      <c r="Z969" t="b">
        <v>0</v>
      </c>
      <c r="AA969">
        <v>272.72727272727269</v>
      </c>
      <c r="AN969" t="e">
        <f>100*(1-E969/AL969)</f>
        <v>#DIV/0!</v>
      </c>
    </row>
    <row r="970" spans="1:40" x14ac:dyDescent="0.3">
      <c r="A970" t="s">
        <v>59</v>
      </c>
      <c r="B970" t="s">
        <v>3509</v>
      </c>
      <c r="C970" t="s">
        <v>3509</v>
      </c>
      <c r="D970" s="4">
        <v>46008</v>
      </c>
      <c r="E970">
        <v>40000</v>
      </c>
      <c r="F970" t="s">
        <v>3510</v>
      </c>
      <c r="G970" t="s">
        <v>572</v>
      </c>
      <c r="H970" t="s">
        <v>94</v>
      </c>
      <c r="I970" t="s">
        <v>332</v>
      </c>
      <c r="J970" t="s">
        <v>105</v>
      </c>
      <c r="K970" t="s">
        <v>3511</v>
      </c>
      <c r="L970" t="s">
        <v>44</v>
      </c>
      <c r="M970" t="s">
        <v>3512</v>
      </c>
      <c r="N970">
        <v>73014</v>
      </c>
      <c r="O970" t="s">
        <v>45</v>
      </c>
      <c r="P970" t="s">
        <v>81</v>
      </c>
      <c r="Q970" t="s">
        <v>55</v>
      </c>
      <c r="R970">
        <v>1955</v>
      </c>
      <c r="S970">
        <v>52.25</v>
      </c>
      <c r="T970">
        <v>0</v>
      </c>
      <c r="U970">
        <v>0</v>
      </c>
      <c r="V970" t="s">
        <v>3513</v>
      </c>
      <c r="W970">
        <v>144009265</v>
      </c>
      <c r="X970" t="s">
        <v>49</v>
      </c>
      <c r="Y970">
        <v>0</v>
      </c>
      <c r="Z970" t="b">
        <v>0</v>
      </c>
      <c r="AA970">
        <v>765.5502392344498</v>
      </c>
      <c r="AN970" t="e">
        <f>100*(1-E970/AL970)</f>
        <v>#DIV/0!</v>
      </c>
    </row>
    <row r="971" spans="1:40" x14ac:dyDescent="0.3">
      <c r="A971" t="s">
        <v>59</v>
      </c>
      <c r="B971" t="s">
        <v>3551</v>
      </c>
      <c r="C971" t="s">
        <v>3551</v>
      </c>
      <c r="D971" s="4">
        <v>46008</v>
      </c>
      <c r="E971">
        <v>42600</v>
      </c>
      <c r="F971" t="s">
        <v>367</v>
      </c>
      <c r="G971" t="s">
        <v>261</v>
      </c>
      <c r="H971" t="s">
        <v>67</v>
      </c>
      <c r="I971" t="s">
        <v>262</v>
      </c>
      <c r="J971" t="s">
        <v>67</v>
      </c>
      <c r="K971" t="s">
        <v>3552</v>
      </c>
      <c r="L971" t="s">
        <v>44</v>
      </c>
      <c r="M971" t="s">
        <v>3553</v>
      </c>
      <c r="N971">
        <v>12351</v>
      </c>
      <c r="O971" t="s">
        <v>45</v>
      </c>
      <c r="P971" t="s">
        <v>54</v>
      </c>
      <c r="Q971" t="s">
        <v>52</v>
      </c>
      <c r="R971">
        <v>1960</v>
      </c>
      <c r="S971">
        <v>49</v>
      </c>
      <c r="T971">
        <v>0</v>
      </c>
      <c r="U971">
        <v>0</v>
      </c>
      <c r="V971" t="s">
        <v>3554</v>
      </c>
      <c r="W971">
        <v>118305114</v>
      </c>
      <c r="X971" t="s">
        <v>49</v>
      </c>
      <c r="Y971" t="s">
        <v>3555</v>
      </c>
      <c r="Z971" t="b">
        <v>0</v>
      </c>
      <c r="AA971">
        <v>869.38775510204084</v>
      </c>
      <c r="AN971" t="e">
        <f>100*(1-E971/AL971)</f>
        <v>#DIV/0!</v>
      </c>
    </row>
    <row r="972" spans="1:40" x14ac:dyDescent="0.3">
      <c r="A972" t="s">
        <v>59</v>
      </c>
      <c r="B972" t="s">
        <v>3574</v>
      </c>
      <c r="C972" t="s">
        <v>3574</v>
      </c>
      <c r="D972" s="4">
        <v>46008</v>
      </c>
      <c r="E972">
        <v>208000</v>
      </c>
      <c r="F972" t="s">
        <v>3575</v>
      </c>
      <c r="G972" t="s">
        <v>3050</v>
      </c>
      <c r="H972" t="s">
        <v>67</v>
      </c>
      <c r="I972" t="s">
        <v>296</v>
      </c>
      <c r="J972" t="s">
        <v>67</v>
      </c>
      <c r="K972" t="s">
        <v>3576</v>
      </c>
      <c r="L972" t="s">
        <v>44</v>
      </c>
      <c r="M972" t="s">
        <v>3577</v>
      </c>
      <c r="N972">
        <v>17341</v>
      </c>
      <c r="O972" t="s">
        <v>45</v>
      </c>
      <c r="P972" t="s">
        <v>81</v>
      </c>
      <c r="Q972" t="s">
        <v>52</v>
      </c>
      <c r="R972">
        <v>1963</v>
      </c>
      <c r="S972">
        <v>85.93</v>
      </c>
      <c r="T972">
        <v>0</v>
      </c>
      <c r="U972">
        <v>0</v>
      </c>
      <c r="V972" t="s">
        <v>3578</v>
      </c>
      <c r="W972" t="s">
        <v>3579</v>
      </c>
      <c r="X972" t="s">
        <v>49</v>
      </c>
      <c r="Y972" t="s">
        <v>3580</v>
      </c>
      <c r="Z972" t="b">
        <v>0</v>
      </c>
      <c r="AA972">
        <v>2420.5748865355522</v>
      </c>
      <c r="AN972" t="e">
        <f>100*(1-E972/AL972)</f>
        <v>#DIV/0!</v>
      </c>
    </row>
    <row r="973" spans="1:40" x14ac:dyDescent="0.3">
      <c r="A973" t="s">
        <v>39</v>
      </c>
      <c r="B973" t="s">
        <v>3632</v>
      </c>
      <c r="C973" t="s">
        <v>3632</v>
      </c>
      <c r="D973" s="4">
        <v>46008</v>
      </c>
      <c r="E973">
        <v>78660</v>
      </c>
      <c r="F973" t="s">
        <v>2069</v>
      </c>
      <c r="G973" t="s">
        <v>450</v>
      </c>
      <c r="H973" t="s">
        <v>136</v>
      </c>
      <c r="I973" t="s">
        <v>451</v>
      </c>
      <c r="J973" t="s">
        <v>452</v>
      </c>
      <c r="K973" t="s">
        <v>3633</v>
      </c>
      <c r="L973" t="s">
        <v>44</v>
      </c>
      <c r="M973" t="s">
        <v>3634</v>
      </c>
      <c r="N973">
        <v>38221</v>
      </c>
      <c r="O973" t="s">
        <v>50</v>
      </c>
      <c r="P973" t="s">
        <v>51</v>
      </c>
      <c r="Q973" t="s">
        <v>52</v>
      </c>
      <c r="R973">
        <v>1965</v>
      </c>
      <c r="S973">
        <v>35</v>
      </c>
      <c r="T973">
        <v>0</v>
      </c>
      <c r="U973">
        <v>0</v>
      </c>
      <c r="V973" t="s">
        <v>3635</v>
      </c>
      <c r="W973" t="s">
        <v>3636</v>
      </c>
      <c r="X973" t="s">
        <v>49</v>
      </c>
      <c r="Y973" t="s">
        <v>3637</v>
      </c>
      <c r="Z973" t="b">
        <v>0</v>
      </c>
      <c r="AA973">
        <v>2247.428571428572</v>
      </c>
      <c r="AN973" t="e">
        <f>100*(1-E973/AL973)</f>
        <v>#DIV/0!</v>
      </c>
    </row>
    <row r="974" spans="1:40" x14ac:dyDescent="0.3">
      <c r="A974" t="s">
        <v>166</v>
      </c>
      <c r="B974" t="s">
        <v>3690</v>
      </c>
      <c r="C974" t="s">
        <v>3690</v>
      </c>
      <c r="D974" s="4">
        <v>46008</v>
      </c>
      <c r="E974">
        <v>37500</v>
      </c>
      <c r="F974" t="s">
        <v>3529</v>
      </c>
      <c r="G974" t="s">
        <v>1452</v>
      </c>
      <c r="H974" t="s">
        <v>62</v>
      </c>
      <c r="I974" t="s">
        <v>890</v>
      </c>
      <c r="J974" t="s">
        <v>63</v>
      </c>
      <c r="K974" t="s">
        <v>3691</v>
      </c>
      <c r="L974" t="s">
        <v>44</v>
      </c>
      <c r="M974" t="s">
        <v>3692</v>
      </c>
      <c r="N974">
        <v>56625</v>
      </c>
      <c r="O974" t="s">
        <v>45</v>
      </c>
      <c r="P974" t="s">
        <v>54</v>
      </c>
      <c r="Q974" t="s">
        <v>55</v>
      </c>
      <c r="R974">
        <v>1967</v>
      </c>
      <c r="S974">
        <v>48</v>
      </c>
      <c r="T974">
        <v>0</v>
      </c>
      <c r="U974">
        <v>0</v>
      </c>
      <c r="V974" t="s">
        <v>3693</v>
      </c>
      <c r="W974">
        <v>67921920</v>
      </c>
      <c r="X974" t="s">
        <v>49</v>
      </c>
      <c r="Y974" t="s">
        <v>3694</v>
      </c>
      <c r="Z974" t="b">
        <v>0</v>
      </c>
      <c r="AA974">
        <v>781.25</v>
      </c>
      <c r="AN974" t="e">
        <f>100*(1-E974/AL974)</f>
        <v>#DIV/0!</v>
      </c>
    </row>
    <row r="975" spans="1:40" x14ac:dyDescent="0.3">
      <c r="A975" t="s">
        <v>215</v>
      </c>
      <c r="B975" t="s">
        <v>3854</v>
      </c>
      <c r="C975" t="s">
        <v>3854</v>
      </c>
      <c r="D975" s="4">
        <v>46008</v>
      </c>
      <c r="E975">
        <v>214000</v>
      </c>
      <c r="F975" t="s">
        <v>246</v>
      </c>
      <c r="G975" t="s">
        <v>83</v>
      </c>
      <c r="H975" t="s">
        <v>67</v>
      </c>
      <c r="I975" t="s">
        <v>84</v>
      </c>
      <c r="J975" t="s">
        <v>67</v>
      </c>
      <c r="K975" t="s">
        <v>3855</v>
      </c>
      <c r="L975" t="s">
        <v>44</v>
      </c>
      <c r="M975" t="s">
        <v>3856</v>
      </c>
      <c r="N975">
        <v>12131</v>
      </c>
      <c r="O975" t="s">
        <v>45</v>
      </c>
      <c r="P975" t="s">
        <v>54</v>
      </c>
      <c r="Q975" t="s">
        <v>85</v>
      </c>
      <c r="R975">
        <v>1970</v>
      </c>
      <c r="S975">
        <v>127.92</v>
      </c>
      <c r="T975">
        <v>0</v>
      </c>
      <c r="U975">
        <v>0</v>
      </c>
      <c r="V975" t="s">
        <v>3857</v>
      </c>
      <c r="W975" t="s">
        <v>3858</v>
      </c>
      <c r="X975" t="s">
        <v>49</v>
      </c>
      <c r="Y975" t="s">
        <v>3859</v>
      </c>
      <c r="Z975" t="b">
        <v>0</v>
      </c>
      <c r="AA975">
        <v>1672.9205753596</v>
      </c>
      <c r="AN975" t="e">
        <f>100*(1-E975/AL975)</f>
        <v>#DIV/0!</v>
      </c>
    </row>
    <row r="976" spans="1:40" x14ac:dyDescent="0.3">
      <c r="A976" t="s">
        <v>215</v>
      </c>
      <c r="B976" t="s">
        <v>3860</v>
      </c>
      <c r="C976" t="s">
        <v>3860</v>
      </c>
      <c r="D976" s="4">
        <v>46008</v>
      </c>
      <c r="E976">
        <v>63000</v>
      </c>
      <c r="F976" t="s">
        <v>3861</v>
      </c>
      <c r="G976" t="s">
        <v>254</v>
      </c>
      <c r="H976" t="s">
        <v>124</v>
      </c>
      <c r="I976" t="s">
        <v>255</v>
      </c>
      <c r="J976" t="s">
        <v>256</v>
      </c>
      <c r="K976" t="s">
        <v>3862</v>
      </c>
      <c r="L976" t="s">
        <v>44</v>
      </c>
      <c r="M976" t="s">
        <v>3863</v>
      </c>
      <c r="N976">
        <v>30131</v>
      </c>
      <c r="O976" t="s">
        <v>50</v>
      </c>
      <c r="P976" t="s">
        <v>51</v>
      </c>
      <c r="Q976" t="s">
        <v>52</v>
      </c>
      <c r="R976">
        <v>1970</v>
      </c>
      <c r="S976">
        <v>66.48</v>
      </c>
      <c r="T976">
        <v>0</v>
      </c>
      <c r="U976">
        <v>0</v>
      </c>
      <c r="V976" t="s">
        <v>3864</v>
      </c>
      <c r="W976">
        <v>32706457</v>
      </c>
      <c r="X976" t="s">
        <v>49</v>
      </c>
      <c r="Y976" t="s">
        <v>3865</v>
      </c>
      <c r="Z976" t="b">
        <v>0</v>
      </c>
      <c r="AA976">
        <v>947.65342960288808</v>
      </c>
      <c r="AN976" t="e">
        <f>100*(1-E976/AL976)</f>
        <v>#DIV/0!</v>
      </c>
    </row>
    <row r="977" spans="1:40" x14ac:dyDescent="0.3">
      <c r="A977" t="s">
        <v>59</v>
      </c>
      <c r="B977" t="s">
        <v>3866</v>
      </c>
      <c r="C977" t="s">
        <v>2768</v>
      </c>
      <c r="D977" s="4">
        <v>46008</v>
      </c>
      <c r="E977">
        <v>108000</v>
      </c>
      <c r="F977" t="s">
        <v>418</v>
      </c>
      <c r="G977" t="s">
        <v>104</v>
      </c>
      <c r="H977" t="s">
        <v>94</v>
      </c>
      <c r="I977" t="s">
        <v>105</v>
      </c>
      <c r="J977" t="s">
        <v>105</v>
      </c>
      <c r="K977" t="s">
        <v>2770</v>
      </c>
      <c r="L977" t="s">
        <v>44</v>
      </c>
      <c r="M977" t="s">
        <v>3867</v>
      </c>
      <c r="N977">
        <v>73134</v>
      </c>
      <c r="O977" t="s">
        <v>45</v>
      </c>
      <c r="P977" t="s">
        <v>54</v>
      </c>
      <c r="Q977" t="s">
        <v>52</v>
      </c>
      <c r="R977">
        <v>1970</v>
      </c>
      <c r="S977">
        <v>85.53</v>
      </c>
      <c r="T977">
        <v>0</v>
      </c>
      <c r="U977">
        <v>0</v>
      </c>
      <c r="V977" t="s">
        <v>2772</v>
      </c>
      <c r="W977">
        <v>113150356</v>
      </c>
      <c r="X977" t="s">
        <v>49</v>
      </c>
      <c r="Y977" t="s">
        <v>3868</v>
      </c>
      <c r="Z977" t="b">
        <v>0</v>
      </c>
      <c r="AA977">
        <v>1262.714836899333</v>
      </c>
      <c r="AN977" t="e">
        <f>100*(1-E977/AL977)</f>
        <v>#DIV/0!</v>
      </c>
    </row>
    <row r="978" spans="1:40" x14ac:dyDescent="0.3">
      <c r="A978" t="s">
        <v>59</v>
      </c>
      <c r="B978" t="s">
        <v>3869</v>
      </c>
      <c r="C978" t="s">
        <v>3869</v>
      </c>
      <c r="D978" s="4">
        <v>46008</v>
      </c>
      <c r="E978">
        <v>70000</v>
      </c>
      <c r="F978" t="s">
        <v>3769</v>
      </c>
      <c r="G978" t="s">
        <v>382</v>
      </c>
      <c r="H978" t="s">
        <v>67</v>
      </c>
      <c r="I978" t="s">
        <v>266</v>
      </c>
      <c r="J978" t="s">
        <v>67</v>
      </c>
      <c r="K978" t="s">
        <v>3870</v>
      </c>
      <c r="L978" t="s">
        <v>44</v>
      </c>
      <c r="M978" t="s">
        <v>3871</v>
      </c>
      <c r="N978">
        <v>18900</v>
      </c>
      <c r="O978" t="s">
        <v>45</v>
      </c>
      <c r="P978" t="s">
        <v>81</v>
      </c>
      <c r="Q978">
        <v>0</v>
      </c>
      <c r="R978">
        <v>1970</v>
      </c>
      <c r="S978">
        <v>75</v>
      </c>
      <c r="T978">
        <v>0</v>
      </c>
      <c r="U978">
        <v>0</v>
      </c>
      <c r="V978" t="s">
        <v>3872</v>
      </c>
      <c r="W978" t="s">
        <v>3873</v>
      </c>
      <c r="X978" t="s">
        <v>69</v>
      </c>
      <c r="Y978" t="s">
        <v>3874</v>
      </c>
      <c r="Z978" t="b">
        <v>0</v>
      </c>
      <c r="AA978">
        <v>933.33333333333337</v>
      </c>
      <c r="AN978" t="e">
        <f>100*(1-E978/AL978)</f>
        <v>#DIV/0!</v>
      </c>
    </row>
    <row r="979" spans="1:40" x14ac:dyDescent="0.3">
      <c r="A979" t="s">
        <v>59</v>
      </c>
      <c r="B979" t="s">
        <v>3875</v>
      </c>
      <c r="C979" t="s">
        <v>3875</v>
      </c>
      <c r="D979" s="4">
        <v>46008</v>
      </c>
      <c r="E979">
        <v>94000</v>
      </c>
      <c r="F979" t="s">
        <v>3876</v>
      </c>
      <c r="G979" t="s">
        <v>3877</v>
      </c>
      <c r="H979" t="s">
        <v>124</v>
      </c>
      <c r="I979" t="s">
        <v>255</v>
      </c>
      <c r="J979" t="s">
        <v>256</v>
      </c>
      <c r="K979" t="s">
        <v>3878</v>
      </c>
      <c r="L979" t="s">
        <v>44</v>
      </c>
      <c r="M979" t="s">
        <v>3879</v>
      </c>
      <c r="N979">
        <v>30005</v>
      </c>
      <c r="O979" t="s">
        <v>45</v>
      </c>
      <c r="P979" t="s">
        <v>182</v>
      </c>
      <c r="Q979" t="s">
        <v>55</v>
      </c>
      <c r="R979">
        <v>1970</v>
      </c>
      <c r="S979">
        <v>180</v>
      </c>
      <c r="T979">
        <v>0</v>
      </c>
      <c r="U979">
        <v>0</v>
      </c>
      <c r="V979" t="s">
        <v>3880</v>
      </c>
      <c r="W979">
        <v>67917494</v>
      </c>
      <c r="X979" t="s">
        <v>49</v>
      </c>
      <c r="Y979" t="s">
        <v>3881</v>
      </c>
      <c r="Z979" t="b">
        <v>0</v>
      </c>
      <c r="AA979">
        <v>522.22222222222217</v>
      </c>
      <c r="AN979" t="e">
        <f>100*(1-E979/AL979)</f>
        <v>#DIV/0!</v>
      </c>
    </row>
    <row r="980" spans="1:40" x14ac:dyDescent="0.3">
      <c r="A980" t="s">
        <v>59</v>
      </c>
      <c r="B980" t="s">
        <v>3910</v>
      </c>
      <c r="C980" t="s">
        <v>3910</v>
      </c>
      <c r="D980" s="4">
        <v>46008</v>
      </c>
      <c r="E980">
        <v>65600</v>
      </c>
      <c r="F980" t="s">
        <v>1798</v>
      </c>
      <c r="G980" t="s">
        <v>462</v>
      </c>
      <c r="H980" t="s">
        <v>230</v>
      </c>
      <c r="I980" t="s">
        <v>463</v>
      </c>
      <c r="J980" t="s">
        <v>464</v>
      </c>
      <c r="K980" t="s">
        <v>3911</v>
      </c>
      <c r="L980" t="s">
        <v>44</v>
      </c>
      <c r="M980" t="s">
        <v>3912</v>
      </c>
      <c r="N980">
        <v>68131</v>
      </c>
      <c r="O980" t="s">
        <v>45</v>
      </c>
      <c r="P980" t="s">
        <v>54</v>
      </c>
      <c r="Q980" t="s">
        <v>189</v>
      </c>
      <c r="R980">
        <v>1971</v>
      </c>
      <c r="S980">
        <v>89</v>
      </c>
      <c r="T980">
        <v>0</v>
      </c>
      <c r="U980">
        <v>0</v>
      </c>
      <c r="V980" t="s">
        <v>3913</v>
      </c>
      <c r="W980">
        <v>112458992</v>
      </c>
      <c r="X980" t="s">
        <v>49</v>
      </c>
      <c r="Y980" t="s">
        <v>3914</v>
      </c>
      <c r="Z980" t="b">
        <v>0</v>
      </c>
      <c r="AA980">
        <v>737.07865168539331</v>
      </c>
      <c r="AN980" t="e">
        <f>100*(1-E980/AL980)</f>
        <v>#DIV/0!</v>
      </c>
    </row>
    <row r="981" spans="1:40" x14ac:dyDescent="0.3">
      <c r="A981" t="s">
        <v>39</v>
      </c>
      <c r="B981" t="s">
        <v>3929</v>
      </c>
      <c r="C981" t="s">
        <v>3929</v>
      </c>
      <c r="D981" s="4">
        <v>46008</v>
      </c>
      <c r="E981">
        <v>70000</v>
      </c>
      <c r="F981" t="s">
        <v>290</v>
      </c>
      <c r="G981" t="s">
        <v>115</v>
      </c>
      <c r="H981" t="s">
        <v>67</v>
      </c>
      <c r="I981" t="s">
        <v>116</v>
      </c>
      <c r="J981" t="s">
        <v>67</v>
      </c>
      <c r="K981" t="s">
        <v>3930</v>
      </c>
      <c r="L981" t="s">
        <v>44</v>
      </c>
      <c r="M981" t="s">
        <v>3931</v>
      </c>
      <c r="N981">
        <v>10436</v>
      </c>
      <c r="O981" t="s">
        <v>45</v>
      </c>
      <c r="P981" t="s">
        <v>54</v>
      </c>
      <c r="Q981" t="s">
        <v>55</v>
      </c>
      <c r="R981">
        <v>1972</v>
      </c>
      <c r="S981">
        <v>59.5</v>
      </c>
      <c r="T981">
        <v>0</v>
      </c>
      <c r="U981">
        <v>0</v>
      </c>
      <c r="V981" t="s">
        <v>3932</v>
      </c>
      <c r="W981">
        <v>45052692</v>
      </c>
      <c r="X981" t="s">
        <v>86</v>
      </c>
      <c r="Y981" t="s">
        <v>3933</v>
      </c>
      <c r="Z981" t="b">
        <v>0</v>
      </c>
      <c r="AA981">
        <v>1176.4705882352939</v>
      </c>
      <c r="AN981" t="e">
        <f>100*(1-E981/AL981)</f>
        <v>#DIV/0!</v>
      </c>
    </row>
    <row r="982" spans="1:40" x14ac:dyDescent="0.3">
      <c r="A982" t="s">
        <v>215</v>
      </c>
      <c r="B982" t="s">
        <v>4027</v>
      </c>
      <c r="C982" t="s">
        <v>2421</v>
      </c>
      <c r="D982" s="4">
        <v>46008</v>
      </c>
      <c r="E982">
        <v>116000</v>
      </c>
      <c r="F982" t="s">
        <v>718</v>
      </c>
      <c r="G982" t="s">
        <v>194</v>
      </c>
      <c r="H982" t="s">
        <v>67</v>
      </c>
      <c r="I982" t="s">
        <v>195</v>
      </c>
      <c r="J982" t="s">
        <v>67</v>
      </c>
      <c r="K982" t="s">
        <v>2423</v>
      </c>
      <c r="L982" t="s">
        <v>44</v>
      </c>
      <c r="M982" t="s">
        <v>2424</v>
      </c>
      <c r="N982">
        <v>18537</v>
      </c>
      <c r="O982" t="s">
        <v>45</v>
      </c>
      <c r="P982" t="s">
        <v>54</v>
      </c>
      <c r="Q982" t="s">
        <v>64</v>
      </c>
      <c r="R982">
        <v>1974</v>
      </c>
      <c r="S982">
        <v>72</v>
      </c>
      <c r="T982">
        <v>0</v>
      </c>
      <c r="U982">
        <v>0</v>
      </c>
      <c r="V982" t="s">
        <v>2425</v>
      </c>
      <c r="W982">
        <v>40024004</v>
      </c>
      <c r="X982" t="s">
        <v>49</v>
      </c>
      <c r="Y982" t="s">
        <v>4028</v>
      </c>
      <c r="Z982" t="b">
        <v>0</v>
      </c>
      <c r="AA982">
        <v>1611.1111111111111</v>
      </c>
      <c r="AN982" t="e">
        <f>100*(1-E982/AL982)</f>
        <v>#DIV/0!</v>
      </c>
    </row>
    <row r="983" spans="1:40" x14ac:dyDescent="0.3">
      <c r="A983" t="s">
        <v>71</v>
      </c>
      <c r="B983" t="s">
        <v>4132</v>
      </c>
      <c r="C983" t="s">
        <v>4132</v>
      </c>
      <c r="D983" s="4">
        <v>46008</v>
      </c>
      <c r="E983">
        <v>54000</v>
      </c>
      <c r="F983" t="s">
        <v>1391</v>
      </c>
      <c r="G983" t="s">
        <v>453</v>
      </c>
      <c r="H983" t="s">
        <v>152</v>
      </c>
      <c r="I983" t="s">
        <v>423</v>
      </c>
      <c r="J983" t="s">
        <v>221</v>
      </c>
      <c r="K983" t="s">
        <v>4133</v>
      </c>
      <c r="L983" t="s">
        <v>44</v>
      </c>
      <c r="M983" t="s">
        <v>4134</v>
      </c>
      <c r="N983">
        <v>20009</v>
      </c>
      <c r="O983" t="s">
        <v>45</v>
      </c>
      <c r="P983" t="s">
        <v>54</v>
      </c>
      <c r="Q983" t="s">
        <v>52</v>
      </c>
      <c r="R983">
        <v>1975</v>
      </c>
      <c r="S983">
        <v>55.5</v>
      </c>
      <c r="T983">
        <v>0</v>
      </c>
      <c r="U983">
        <v>0</v>
      </c>
      <c r="V983" t="s">
        <v>4135</v>
      </c>
      <c r="W983">
        <v>51876384</v>
      </c>
      <c r="X983" t="s">
        <v>86</v>
      </c>
      <c r="Y983" t="s">
        <v>4136</v>
      </c>
      <c r="Z983" t="b">
        <v>0</v>
      </c>
      <c r="AA983">
        <v>972.97297297297303</v>
      </c>
      <c r="AN983" t="e">
        <f>100*(1-E983/AL983)</f>
        <v>#DIV/0!</v>
      </c>
    </row>
    <row r="984" spans="1:40" x14ac:dyDescent="0.3">
      <c r="A984" t="s">
        <v>71</v>
      </c>
      <c r="B984" t="s">
        <v>4132</v>
      </c>
      <c r="C984" t="s">
        <v>4132</v>
      </c>
      <c r="D984" s="4">
        <v>46008</v>
      </c>
      <c r="E984">
        <v>54000</v>
      </c>
      <c r="F984" t="s">
        <v>1391</v>
      </c>
      <c r="G984" t="s">
        <v>453</v>
      </c>
      <c r="H984" t="s">
        <v>152</v>
      </c>
      <c r="I984" t="s">
        <v>423</v>
      </c>
      <c r="J984" t="s">
        <v>221</v>
      </c>
      <c r="K984" t="s">
        <v>4133</v>
      </c>
      <c r="L984" t="s">
        <v>44</v>
      </c>
      <c r="M984" t="s">
        <v>4134</v>
      </c>
      <c r="N984">
        <v>20009</v>
      </c>
      <c r="O984" t="s">
        <v>45</v>
      </c>
      <c r="P984" t="s">
        <v>54</v>
      </c>
      <c r="Q984" t="s">
        <v>52</v>
      </c>
      <c r="R984">
        <v>1975</v>
      </c>
      <c r="S984">
        <v>55.5</v>
      </c>
      <c r="T984">
        <v>0</v>
      </c>
      <c r="U984">
        <v>0</v>
      </c>
      <c r="V984" t="s">
        <v>4135</v>
      </c>
      <c r="W984">
        <v>51876384</v>
      </c>
      <c r="X984" t="s">
        <v>86</v>
      </c>
      <c r="Y984" t="s">
        <v>4136</v>
      </c>
      <c r="Z984" t="b">
        <v>0</v>
      </c>
      <c r="AA984">
        <v>972.97297297297303</v>
      </c>
      <c r="AN984" t="e">
        <f>100*(1-E984/AL984)</f>
        <v>#DIV/0!</v>
      </c>
    </row>
    <row r="985" spans="1:40" x14ac:dyDescent="0.3">
      <c r="A985" t="s">
        <v>166</v>
      </c>
      <c r="B985" t="s">
        <v>4167</v>
      </c>
      <c r="C985" t="s">
        <v>4167</v>
      </c>
      <c r="D985" s="4">
        <v>46008</v>
      </c>
      <c r="E985">
        <v>73000</v>
      </c>
      <c r="F985" t="s">
        <v>99</v>
      </c>
      <c r="G985" t="s">
        <v>4168</v>
      </c>
      <c r="H985" t="s">
        <v>62</v>
      </c>
      <c r="I985" t="s">
        <v>75</v>
      </c>
      <c r="J985" t="s">
        <v>63</v>
      </c>
      <c r="K985" t="s">
        <v>4169</v>
      </c>
      <c r="L985" t="s">
        <v>44</v>
      </c>
      <c r="M985" t="s">
        <v>4170</v>
      </c>
      <c r="N985">
        <v>56334</v>
      </c>
      <c r="O985" t="s">
        <v>45</v>
      </c>
      <c r="P985" t="s">
        <v>54</v>
      </c>
      <c r="Q985" t="s">
        <v>85</v>
      </c>
      <c r="R985">
        <v>1976</v>
      </c>
      <c r="S985">
        <v>67.5</v>
      </c>
      <c r="T985">
        <v>0</v>
      </c>
      <c r="U985">
        <v>0</v>
      </c>
      <c r="V985" t="s">
        <v>4171</v>
      </c>
      <c r="W985">
        <v>119865270</v>
      </c>
      <c r="X985" t="s">
        <v>49</v>
      </c>
      <c r="Y985" t="s">
        <v>4172</v>
      </c>
      <c r="Z985" t="b">
        <v>0</v>
      </c>
      <c r="AA985">
        <v>1081.481481481482</v>
      </c>
      <c r="AN985" t="e">
        <f>100*(1-E985/AL985)</f>
        <v>#DIV/0!</v>
      </c>
    </row>
    <row r="986" spans="1:40" x14ac:dyDescent="0.3">
      <c r="A986" t="s">
        <v>59</v>
      </c>
      <c r="B986" t="s">
        <v>4173</v>
      </c>
      <c r="C986" t="s">
        <v>4173</v>
      </c>
      <c r="D986" s="4">
        <v>46008</v>
      </c>
      <c r="E986">
        <v>98000</v>
      </c>
      <c r="F986" t="s">
        <v>739</v>
      </c>
      <c r="G986" t="s">
        <v>170</v>
      </c>
      <c r="H986" t="s">
        <v>152</v>
      </c>
      <c r="I986" t="s">
        <v>171</v>
      </c>
      <c r="J986" t="s">
        <v>172</v>
      </c>
      <c r="K986" t="s">
        <v>4174</v>
      </c>
      <c r="L986" t="s">
        <v>44</v>
      </c>
      <c r="M986" t="s">
        <v>4175</v>
      </c>
      <c r="N986">
        <v>21100</v>
      </c>
      <c r="O986" t="s">
        <v>45</v>
      </c>
      <c r="P986" t="s">
        <v>54</v>
      </c>
      <c r="Q986" t="s">
        <v>85</v>
      </c>
      <c r="R986">
        <v>1976</v>
      </c>
      <c r="S986">
        <v>52.8</v>
      </c>
      <c r="T986">
        <v>0</v>
      </c>
      <c r="U986">
        <v>0</v>
      </c>
      <c r="V986" t="s">
        <v>4176</v>
      </c>
      <c r="W986">
        <v>14198463</v>
      </c>
      <c r="X986" t="s">
        <v>86</v>
      </c>
      <c r="Y986" t="s">
        <v>4177</v>
      </c>
      <c r="Z986" t="b">
        <v>0</v>
      </c>
      <c r="AA986">
        <v>1856.060606060606</v>
      </c>
      <c r="AN986" t="e">
        <f>100*(1-E986/AL986)</f>
        <v>#DIV/0!</v>
      </c>
    </row>
    <row r="987" spans="1:40" x14ac:dyDescent="0.3">
      <c r="A987" t="s">
        <v>215</v>
      </c>
      <c r="B987" t="s">
        <v>4260</v>
      </c>
      <c r="C987" t="s">
        <v>4260</v>
      </c>
      <c r="D987" s="4">
        <v>46008</v>
      </c>
      <c r="E987">
        <v>102000</v>
      </c>
      <c r="F987" t="s">
        <v>4261</v>
      </c>
      <c r="G987" t="s">
        <v>1994</v>
      </c>
      <c r="H987" t="s">
        <v>152</v>
      </c>
      <c r="I987" t="s">
        <v>1995</v>
      </c>
      <c r="J987" t="s">
        <v>1996</v>
      </c>
      <c r="K987" t="s">
        <v>4262</v>
      </c>
      <c r="L987" t="s">
        <v>44</v>
      </c>
      <c r="M987" t="s">
        <v>4263</v>
      </c>
      <c r="N987">
        <v>23100</v>
      </c>
      <c r="O987" t="s">
        <v>45</v>
      </c>
      <c r="P987" t="s">
        <v>288</v>
      </c>
      <c r="Q987" t="s">
        <v>100</v>
      </c>
      <c r="R987">
        <v>1978</v>
      </c>
      <c r="S987">
        <v>151.24</v>
      </c>
      <c r="T987">
        <v>0</v>
      </c>
      <c r="U987">
        <v>0</v>
      </c>
      <c r="V987" t="s">
        <v>4264</v>
      </c>
      <c r="W987" t="s">
        <v>4265</v>
      </c>
      <c r="X987" t="s">
        <v>86</v>
      </c>
      <c r="Y987" t="s">
        <v>4266</v>
      </c>
      <c r="Z987" t="b">
        <v>0</v>
      </c>
      <c r="AA987">
        <v>674.42475535572601</v>
      </c>
      <c r="AN987" t="e">
        <f>100*(1-E987/AL987)</f>
        <v>#DIV/0!</v>
      </c>
    </row>
    <row r="988" spans="1:40" x14ac:dyDescent="0.3">
      <c r="A988" t="s">
        <v>71</v>
      </c>
      <c r="B988" t="s">
        <v>4443</v>
      </c>
      <c r="C988" t="s">
        <v>4443</v>
      </c>
      <c r="D988" s="4">
        <v>46008</v>
      </c>
      <c r="E988">
        <v>41000</v>
      </c>
      <c r="F988" t="s">
        <v>483</v>
      </c>
      <c r="G988" t="s">
        <v>4444</v>
      </c>
      <c r="H988" t="s">
        <v>124</v>
      </c>
      <c r="I988" t="s">
        <v>255</v>
      </c>
      <c r="J988" t="s">
        <v>256</v>
      </c>
      <c r="K988" t="s">
        <v>4445</v>
      </c>
      <c r="L988" t="s">
        <v>44</v>
      </c>
      <c r="M988" t="s">
        <v>4444</v>
      </c>
      <c r="N988">
        <v>30131</v>
      </c>
      <c r="O988" t="s">
        <v>45</v>
      </c>
      <c r="P988" t="s">
        <v>54</v>
      </c>
      <c r="Q988" t="s">
        <v>52</v>
      </c>
      <c r="R988">
        <v>1980</v>
      </c>
      <c r="S988">
        <v>79</v>
      </c>
      <c r="T988">
        <v>0</v>
      </c>
      <c r="U988">
        <v>0</v>
      </c>
      <c r="V988" t="s">
        <v>4446</v>
      </c>
      <c r="W988">
        <v>79840951</v>
      </c>
      <c r="X988" t="s">
        <v>49</v>
      </c>
      <c r="Y988" t="s">
        <v>4447</v>
      </c>
      <c r="Z988" t="b">
        <v>0</v>
      </c>
      <c r="AA988">
        <v>518.98734177215192</v>
      </c>
      <c r="AN988" t="e">
        <f>100*(1-E988/AL988)</f>
        <v>#DIV/0!</v>
      </c>
    </row>
    <row r="989" spans="1:40" x14ac:dyDescent="0.3">
      <c r="A989" t="s">
        <v>166</v>
      </c>
      <c r="B989" t="s">
        <v>4448</v>
      </c>
      <c r="C989" t="s">
        <v>4448</v>
      </c>
      <c r="D989" s="4">
        <v>46008</v>
      </c>
      <c r="E989">
        <v>15390</v>
      </c>
      <c r="F989" t="s">
        <v>4449</v>
      </c>
      <c r="G989" t="s">
        <v>497</v>
      </c>
      <c r="H989" t="s">
        <v>62</v>
      </c>
      <c r="I989" t="s">
        <v>498</v>
      </c>
      <c r="J989" t="s">
        <v>63</v>
      </c>
      <c r="K989" t="s">
        <v>4450</v>
      </c>
      <c r="L989" t="s">
        <v>44</v>
      </c>
      <c r="M989" t="s">
        <v>4451</v>
      </c>
      <c r="N989">
        <v>56123</v>
      </c>
      <c r="O989" t="s">
        <v>50</v>
      </c>
      <c r="P989" t="s">
        <v>4452</v>
      </c>
      <c r="Q989" t="s">
        <v>47</v>
      </c>
      <c r="R989">
        <v>1980</v>
      </c>
      <c r="S989">
        <v>131.6</v>
      </c>
      <c r="T989" t="s">
        <v>161</v>
      </c>
      <c r="U989">
        <v>50</v>
      </c>
      <c r="V989" t="s">
        <v>4453</v>
      </c>
      <c r="W989">
        <v>32125190</v>
      </c>
      <c r="X989" t="s">
        <v>86</v>
      </c>
      <c r="Y989" t="s">
        <v>4454</v>
      </c>
      <c r="Z989" t="b">
        <v>0</v>
      </c>
      <c r="AA989">
        <v>116.9452887537994</v>
      </c>
      <c r="AN989" t="e">
        <f>100*(1-E989/AL989)</f>
        <v>#DIV/0!</v>
      </c>
    </row>
    <row r="990" spans="1:40" x14ac:dyDescent="0.3">
      <c r="A990" t="s">
        <v>166</v>
      </c>
      <c r="B990" t="s">
        <v>4455</v>
      </c>
      <c r="C990" t="s">
        <v>4455</v>
      </c>
      <c r="D990" s="4">
        <v>46008</v>
      </c>
      <c r="E990">
        <v>54000</v>
      </c>
      <c r="F990" t="s">
        <v>427</v>
      </c>
      <c r="G990" t="s">
        <v>106</v>
      </c>
      <c r="H990" t="s">
        <v>62</v>
      </c>
      <c r="I990" t="s">
        <v>107</v>
      </c>
      <c r="J990" t="s">
        <v>108</v>
      </c>
      <c r="K990" t="s">
        <v>4456</v>
      </c>
      <c r="L990" t="s">
        <v>44</v>
      </c>
      <c r="M990" t="s">
        <v>4457</v>
      </c>
      <c r="N990">
        <v>59132</v>
      </c>
      <c r="O990" t="s">
        <v>45</v>
      </c>
      <c r="P990" t="s">
        <v>54</v>
      </c>
      <c r="Q990" t="s">
        <v>55</v>
      </c>
      <c r="R990">
        <v>1980</v>
      </c>
      <c r="S990">
        <v>62.85</v>
      </c>
      <c r="T990">
        <v>0</v>
      </c>
      <c r="U990">
        <v>0</v>
      </c>
      <c r="V990" t="s">
        <v>4458</v>
      </c>
      <c r="W990">
        <v>54675684</v>
      </c>
      <c r="X990" t="s">
        <v>86</v>
      </c>
      <c r="Y990" t="s">
        <v>4459</v>
      </c>
      <c r="Z990" t="b">
        <v>0</v>
      </c>
      <c r="AA990">
        <v>859.18854415274461</v>
      </c>
      <c r="AN990" t="e">
        <f>100*(1-E990/AL990)</f>
        <v>#DIV/0!</v>
      </c>
    </row>
    <row r="991" spans="1:40" x14ac:dyDescent="0.3">
      <c r="A991" t="s">
        <v>59</v>
      </c>
      <c r="B991" t="s">
        <v>4460</v>
      </c>
      <c r="C991" t="s">
        <v>4461</v>
      </c>
      <c r="D991" s="4">
        <v>46008</v>
      </c>
      <c r="E991">
        <v>45000</v>
      </c>
      <c r="F991" t="s">
        <v>4462</v>
      </c>
      <c r="G991" t="s">
        <v>4463</v>
      </c>
      <c r="H991" t="s">
        <v>67</v>
      </c>
      <c r="I991" t="s">
        <v>349</v>
      </c>
      <c r="J991" t="s">
        <v>67</v>
      </c>
      <c r="K991" t="s">
        <v>4464</v>
      </c>
      <c r="L991" t="s">
        <v>44</v>
      </c>
      <c r="M991" t="s">
        <v>4465</v>
      </c>
      <c r="N991">
        <v>18010</v>
      </c>
      <c r="O991" t="s">
        <v>45</v>
      </c>
      <c r="P991" t="s">
        <v>81</v>
      </c>
      <c r="Q991" t="s">
        <v>52</v>
      </c>
      <c r="R991">
        <v>1980</v>
      </c>
      <c r="S991">
        <v>86.93</v>
      </c>
      <c r="T991" t="s">
        <v>48</v>
      </c>
      <c r="U991">
        <v>50</v>
      </c>
      <c r="V991" t="s">
        <v>4466</v>
      </c>
      <c r="W991">
        <v>47487093</v>
      </c>
      <c r="X991" t="s">
        <v>49</v>
      </c>
      <c r="Y991" t="s">
        <v>4467</v>
      </c>
      <c r="Z991" t="b">
        <v>0</v>
      </c>
      <c r="AA991">
        <v>517.6578856551248</v>
      </c>
      <c r="AN991" t="e">
        <f>100*(1-E991/AL991)</f>
        <v>#DIV/0!</v>
      </c>
    </row>
    <row r="992" spans="1:40" x14ac:dyDescent="0.3">
      <c r="A992" t="s">
        <v>59</v>
      </c>
      <c r="B992" t="s">
        <v>4468</v>
      </c>
      <c r="C992" t="s">
        <v>4461</v>
      </c>
      <c r="D992" s="4">
        <v>46008</v>
      </c>
      <c r="E992">
        <v>45000</v>
      </c>
      <c r="F992" t="s">
        <v>4462</v>
      </c>
      <c r="G992" t="s">
        <v>4463</v>
      </c>
      <c r="H992" t="s">
        <v>67</v>
      </c>
      <c r="I992" t="s">
        <v>349</v>
      </c>
      <c r="J992" t="s">
        <v>67</v>
      </c>
      <c r="K992" t="s">
        <v>4464</v>
      </c>
      <c r="L992" t="s">
        <v>44</v>
      </c>
      <c r="M992" t="s">
        <v>4465</v>
      </c>
      <c r="N992">
        <v>18010</v>
      </c>
      <c r="O992" t="s">
        <v>45</v>
      </c>
      <c r="P992" t="s">
        <v>81</v>
      </c>
      <c r="Q992" t="s">
        <v>52</v>
      </c>
      <c r="R992">
        <v>1980</v>
      </c>
      <c r="S992">
        <v>86.93</v>
      </c>
      <c r="T992" t="s">
        <v>48</v>
      </c>
      <c r="U992">
        <v>50</v>
      </c>
      <c r="V992" t="s">
        <v>4469</v>
      </c>
      <c r="W992">
        <v>69406930</v>
      </c>
      <c r="X992" t="s">
        <v>49</v>
      </c>
      <c r="Y992" t="s">
        <v>4467</v>
      </c>
      <c r="Z992" t="b">
        <v>0</v>
      </c>
      <c r="AA992">
        <v>517.6578856551248</v>
      </c>
      <c r="AN992" t="e">
        <f>100*(1-E992/AL992)</f>
        <v>#DIV/0!</v>
      </c>
    </row>
    <row r="993" spans="1:40" x14ac:dyDescent="0.3">
      <c r="A993" t="s">
        <v>59</v>
      </c>
      <c r="B993" t="s">
        <v>4470</v>
      </c>
      <c r="C993" t="s">
        <v>4470</v>
      </c>
      <c r="D993" s="4">
        <v>46008</v>
      </c>
      <c r="E993">
        <v>202000</v>
      </c>
      <c r="F993" t="s">
        <v>4471</v>
      </c>
      <c r="G993" t="s">
        <v>1842</v>
      </c>
      <c r="H993" t="s">
        <v>67</v>
      </c>
      <c r="I993" t="s">
        <v>379</v>
      </c>
      <c r="J993" t="s">
        <v>67</v>
      </c>
      <c r="K993" t="s">
        <v>4472</v>
      </c>
      <c r="L993" t="s">
        <v>44</v>
      </c>
      <c r="M993" t="s">
        <v>4473</v>
      </c>
      <c r="N993">
        <v>19001</v>
      </c>
      <c r="O993" t="s">
        <v>45</v>
      </c>
      <c r="P993" t="s">
        <v>81</v>
      </c>
      <c r="Q993" t="s">
        <v>52</v>
      </c>
      <c r="R993">
        <v>1980</v>
      </c>
      <c r="S993">
        <v>121.83</v>
      </c>
      <c r="T993">
        <v>0</v>
      </c>
      <c r="U993">
        <v>0</v>
      </c>
      <c r="V993" t="s">
        <v>4474</v>
      </c>
      <c r="W993">
        <v>29209442</v>
      </c>
      <c r="X993" t="s">
        <v>49</v>
      </c>
      <c r="Y993" t="s">
        <v>4475</v>
      </c>
      <c r="Z993" t="b">
        <v>0</v>
      </c>
      <c r="AA993">
        <v>1658.0480998112121</v>
      </c>
      <c r="AN993" t="e">
        <f>100*(1-E993/AL993)</f>
        <v>#DIV/0!</v>
      </c>
    </row>
    <row r="994" spans="1:40" x14ac:dyDescent="0.3">
      <c r="A994" t="s">
        <v>39</v>
      </c>
      <c r="B994" t="s">
        <v>4476</v>
      </c>
      <c r="C994" t="s">
        <v>4476</v>
      </c>
      <c r="D994" s="4">
        <v>46008</v>
      </c>
      <c r="E994">
        <v>58756</v>
      </c>
      <c r="F994" t="s">
        <v>380</v>
      </c>
      <c r="G994" t="s">
        <v>227</v>
      </c>
      <c r="H994" t="s">
        <v>62</v>
      </c>
      <c r="I994" t="s">
        <v>228</v>
      </c>
      <c r="J994" t="s">
        <v>79</v>
      </c>
      <c r="K994" t="s">
        <v>4477</v>
      </c>
      <c r="L994" t="s">
        <v>44</v>
      </c>
      <c r="M994" t="s">
        <v>4478</v>
      </c>
      <c r="N994">
        <v>60100</v>
      </c>
      <c r="O994" t="s">
        <v>45</v>
      </c>
      <c r="P994" t="s">
        <v>54</v>
      </c>
      <c r="Q994" t="s">
        <v>55</v>
      </c>
      <c r="R994">
        <v>1980</v>
      </c>
      <c r="S994">
        <v>96.55</v>
      </c>
      <c r="T994">
        <v>0</v>
      </c>
      <c r="U994">
        <v>0</v>
      </c>
      <c r="V994" t="s">
        <v>4479</v>
      </c>
      <c r="W994">
        <v>63481156</v>
      </c>
      <c r="X994" t="s">
        <v>49</v>
      </c>
      <c r="Y994" t="s">
        <v>4480</v>
      </c>
      <c r="Z994" t="b">
        <v>0</v>
      </c>
      <c r="AA994">
        <v>608.55515277058521</v>
      </c>
      <c r="AN994" t="e">
        <f>100*(1-E994/AL994)</f>
        <v>#DIV/0!</v>
      </c>
    </row>
    <row r="995" spans="1:40" x14ac:dyDescent="0.3">
      <c r="A995" t="s">
        <v>166</v>
      </c>
      <c r="B995" t="s">
        <v>4582</v>
      </c>
      <c r="C995" t="s">
        <v>4582</v>
      </c>
      <c r="D995" s="4">
        <v>46008</v>
      </c>
      <c r="E995">
        <v>37000</v>
      </c>
      <c r="F995" t="s">
        <v>436</v>
      </c>
      <c r="G995" t="s">
        <v>404</v>
      </c>
      <c r="H995" t="s">
        <v>124</v>
      </c>
      <c r="I995" t="s">
        <v>405</v>
      </c>
      <c r="J995" t="s">
        <v>126</v>
      </c>
      <c r="K995" t="s">
        <v>4583</v>
      </c>
      <c r="L995" t="s">
        <v>44</v>
      </c>
      <c r="M995" t="s">
        <v>4584</v>
      </c>
      <c r="N995">
        <v>26332</v>
      </c>
      <c r="O995" t="s">
        <v>45</v>
      </c>
      <c r="P995" t="s">
        <v>54</v>
      </c>
      <c r="Q995" t="s">
        <v>55</v>
      </c>
      <c r="R995">
        <v>1981</v>
      </c>
      <c r="S995">
        <v>70.430000000000007</v>
      </c>
      <c r="T995">
        <v>0</v>
      </c>
      <c r="U995">
        <v>0</v>
      </c>
      <c r="V995" t="s">
        <v>4585</v>
      </c>
      <c r="W995">
        <v>45496819</v>
      </c>
      <c r="X995" t="s">
        <v>49</v>
      </c>
      <c r="Y995" t="s">
        <v>4586</v>
      </c>
      <c r="Z995" t="b">
        <v>0</v>
      </c>
      <c r="AA995">
        <v>525.34431350276861</v>
      </c>
      <c r="AN995" t="e">
        <f>100*(1-E995/AL995)</f>
        <v>#DIV/0!</v>
      </c>
    </row>
    <row r="996" spans="1:40" x14ac:dyDescent="0.3">
      <c r="A996" t="s">
        <v>166</v>
      </c>
      <c r="B996" t="s">
        <v>4626</v>
      </c>
      <c r="C996" t="s">
        <v>4626</v>
      </c>
      <c r="D996" s="4">
        <v>46008</v>
      </c>
      <c r="E996">
        <v>90000</v>
      </c>
      <c r="F996" t="s">
        <v>778</v>
      </c>
      <c r="G996" t="s">
        <v>1677</v>
      </c>
      <c r="H996" t="s">
        <v>67</v>
      </c>
      <c r="I996" t="s">
        <v>1678</v>
      </c>
      <c r="J996" t="s">
        <v>67</v>
      </c>
      <c r="K996" t="s">
        <v>4627</v>
      </c>
      <c r="L996" t="s">
        <v>44</v>
      </c>
      <c r="M996" t="s">
        <v>4628</v>
      </c>
      <c r="N996">
        <v>17564</v>
      </c>
      <c r="O996" t="s">
        <v>45</v>
      </c>
      <c r="P996" t="s">
        <v>54</v>
      </c>
      <c r="Q996" t="s">
        <v>64</v>
      </c>
      <c r="R996">
        <v>1982</v>
      </c>
      <c r="S996">
        <v>88</v>
      </c>
      <c r="T996" t="s">
        <v>48</v>
      </c>
      <c r="U996">
        <v>50</v>
      </c>
      <c r="V996" t="s">
        <v>4629</v>
      </c>
      <c r="W996">
        <v>24093974</v>
      </c>
      <c r="X996" t="s">
        <v>49</v>
      </c>
      <c r="Y996">
        <v>0</v>
      </c>
      <c r="Z996" t="b">
        <v>0</v>
      </c>
      <c r="AA996">
        <v>1022.727272727273</v>
      </c>
      <c r="AN996" t="e">
        <f>100*(1-E996/AL996)</f>
        <v>#DIV/0!</v>
      </c>
    </row>
    <row r="997" spans="1:40" x14ac:dyDescent="0.3">
      <c r="A997" t="s">
        <v>71</v>
      </c>
      <c r="B997" t="s">
        <v>4698</v>
      </c>
      <c r="C997" t="s">
        <v>4698</v>
      </c>
      <c r="D997" s="4">
        <v>46008</v>
      </c>
      <c r="E997">
        <v>64000</v>
      </c>
      <c r="F997" t="s">
        <v>246</v>
      </c>
      <c r="G997" t="s">
        <v>4699</v>
      </c>
      <c r="H997" t="s">
        <v>102</v>
      </c>
      <c r="I997" t="s">
        <v>4700</v>
      </c>
      <c r="J997" t="s">
        <v>103</v>
      </c>
      <c r="K997" t="s">
        <v>4701</v>
      </c>
      <c r="L997" t="s">
        <v>44</v>
      </c>
      <c r="M997" t="s">
        <v>4699</v>
      </c>
      <c r="N997">
        <v>50400</v>
      </c>
      <c r="O997" t="s">
        <v>45</v>
      </c>
      <c r="P997" t="s">
        <v>54</v>
      </c>
      <c r="Q997" t="s">
        <v>52</v>
      </c>
      <c r="R997">
        <v>1983</v>
      </c>
      <c r="S997">
        <v>128</v>
      </c>
      <c r="T997">
        <v>0</v>
      </c>
      <c r="U997">
        <v>0</v>
      </c>
      <c r="V997" t="s">
        <v>4702</v>
      </c>
      <c r="W997">
        <v>42364565</v>
      </c>
      <c r="X997" t="s">
        <v>49</v>
      </c>
      <c r="Y997" t="s">
        <v>4703</v>
      </c>
      <c r="Z997" t="b">
        <v>0</v>
      </c>
      <c r="AA997">
        <v>500</v>
      </c>
      <c r="AN997" t="e">
        <f>100*(1-E997/AL997)</f>
        <v>#DIV/0!</v>
      </c>
    </row>
    <row r="998" spans="1:40" x14ac:dyDescent="0.3">
      <c r="A998" t="s">
        <v>59</v>
      </c>
      <c r="B998" t="s">
        <v>4704</v>
      </c>
      <c r="C998" t="s">
        <v>4704</v>
      </c>
      <c r="D998" s="4">
        <v>46008</v>
      </c>
      <c r="E998">
        <v>67011</v>
      </c>
      <c r="F998" t="s">
        <v>4705</v>
      </c>
      <c r="G998" t="s">
        <v>474</v>
      </c>
      <c r="H998" t="s">
        <v>230</v>
      </c>
      <c r="I998" t="s">
        <v>475</v>
      </c>
      <c r="J998" t="s">
        <v>464</v>
      </c>
      <c r="K998" t="s">
        <v>4706</v>
      </c>
      <c r="L998" t="s">
        <v>44</v>
      </c>
      <c r="M998" t="s">
        <v>4707</v>
      </c>
      <c r="N998">
        <v>68200</v>
      </c>
      <c r="O998" t="s">
        <v>45</v>
      </c>
      <c r="P998" t="s">
        <v>81</v>
      </c>
      <c r="Q998" t="s">
        <v>52</v>
      </c>
      <c r="R998">
        <v>1983</v>
      </c>
      <c r="S998">
        <v>132.09</v>
      </c>
      <c r="T998">
        <v>0</v>
      </c>
      <c r="U998">
        <v>0</v>
      </c>
      <c r="V998" t="s">
        <v>4708</v>
      </c>
      <c r="W998">
        <v>30870213</v>
      </c>
      <c r="X998" t="s">
        <v>49</v>
      </c>
      <c r="Y998" t="s">
        <v>4709</v>
      </c>
      <c r="Z998" t="b">
        <v>0</v>
      </c>
      <c r="AA998">
        <v>507.31319554848972</v>
      </c>
      <c r="AN998" t="e">
        <f>100*(1-E998/AL998)</f>
        <v>#DIV/0!</v>
      </c>
    </row>
    <row r="999" spans="1:40" x14ac:dyDescent="0.3">
      <c r="A999" t="s">
        <v>59</v>
      </c>
      <c r="B999" t="s">
        <v>4722</v>
      </c>
      <c r="C999" t="s">
        <v>4722</v>
      </c>
      <c r="D999" s="4">
        <v>46008</v>
      </c>
      <c r="E999">
        <v>356000</v>
      </c>
      <c r="F999" t="s">
        <v>4723</v>
      </c>
      <c r="G999" t="s">
        <v>572</v>
      </c>
      <c r="H999" t="s">
        <v>94</v>
      </c>
      <c r="I999" t="s">
        <v>332</v>
      </c>
      <c r="J999" t="s">
        <v>105</v>
      </c>
      <c r="K999" t="s">
        <v>4724</v>
      </c>
      <c r="L999" t="s">
        <v>44</v>
      </c>
      <c r="M999" t="s">
        <v>4725</v>
      </c>
      <c r="N999">
        <v>73014</v>
      </c>
      <c r="O999" t="s">
        <v>50</v>
      </c>
      <c r="P999" t="s">
        <v>51</v>
      </c>
      <c r="Q999" t="s">
        <v>52</v>
      </c>
      <c r="R999">
        <v>1984</v>
      </c>
      <c r="S999">
        <v>205.38</v>
      </c>
      <c r="T999">
        <v>0</v>
      </c>
      <c r="U999">
        <v>0</v>
      </c>
      <c r="V999" t="s">
        <v>4726</v>
      </c>
      <c r="W999">
        <v>34853871</v>
      </c>
      <c r="X999" t="s">
        <v>49</v>
      </c>
      <c r="Y999">
        <v>0</v>
      </c>
      <c r="Z999" t="b">
        <v>0</v>
      </c>
      <c r="AA999">
        <v>1733.3722855195249</v>
      </c>
      <c r="AN999" t="e">
        <f>100*(1-E999/AL999)</f>
        <v>#DIV/0!</v>
      </c>
    </row>
    <row r="1000" spans="1:40" x14ac:dyDescent="0.3">
      <c r="A1000" t="s">
        <v>39</v>
      </c>
      <c r="B1000" t="s">
        <v>4804</v>
      </c>
      <c r="C1000" t="s">
        <v>4804</v>
      </c>
      <c r="D1000" s="4">
        <v>46008</v>
      </c>
      <c r="E1000">
        <v>71048</v>
      </c>
      <c r="F1000" t="s">
        <v>4805</v>
      </c>
      <c r="G1000" t="s">
        <v>450</v>
      </c>
      <c r="H1000" t="s">
        <v>136</v>
      </c>
      <c r="I1000" t="s">
        <v>451</v>
      </c>
      <c r="J1000" t="s">
        <v>452</v>
      </c>
      <c r="K1000" t="s">
        <v>4806</v>
      </c>
      <c r="L1000" t="s">
        <v>44</v>
      </c>
      <c r="M1000" t="s">
        <v>4807</v>
      </c>
      <c r="N1000">
        <v>38222</v>
      </c>
      <c r="O1000" t="s">
        <v>45</v>
      </c>
      <c r="P1000" t="s">
        <v>81</v>
      </c>
      <c r="Q1000" t="s">
        <v>52</v>
      </c>
      <c r="R1000">
        <v>1985</v>
      </c>
      <c r="S1000">
        <v>69.400000000000006</v>
      </c>
      <c r="T1000">
        <v>0</v>
      </c>
      <c r="U1000">
        <v>0</v>
      </c>
      <c r="V1000" t="s">
        <v>4808</v>
      </c>
      <c r="W1000">
        <v>18033832</v>
      </c>
      <c r="X1000" t="s">
        <v>49</v>
      </c>
      <c r="Y1000" t="s">
        <v>4809</v>
      </c>
      <c r="Z1000" t="b">
        <v>0</v>
      </c>
      <c r="AA1000">
        <v>1023.746397694524</v>
      </c>
      <c r="AN1000" t="e">
        <f>100*(1-E1000/AL1000)</f>
        <v>#DIV/0!</v>
      </c>
    </row>
    <row r="1001" spans="1:40" x14ac:dyDescent="0.3">
      <c r="A1001" t="s">
        <v>71</v>
      </c>
      <c r="B1001" t="s">
        <v>4810</v>
      </c>
      <c r="C1001" t="s">
        <v>4810</v>
      </c>
      <c r="D1001" s="4">
        <v>46008</v>
      </c>
      <c r="E1001">
        <v>32000</v>
      </c>
      <c r="F1001" t="s">
        <v>4811</v>
      </c>
      <c r="G1001" t="s">
        <v>745</v>
      </c>
      <c r="H1001" t="s">
        <v>230</v>
      </c>
      <c r="I1001" t="s">
        <v>746</v>
      </c>
      <c r="J1001" t="s">
        <v>426</v>
      </c>
      <c r="K1001" t="s">
        <v>4812</v>
      </c>
      <c r="L1001" t="s">
        <v>44</v>
      </c>
      <c r="M1001" t="s">
        <v>4813</v>
      </c>
      <c r="N1001">
        <v>67064</v>
      </c>
      <c r="O1001" t="s">
        <v>45</v>
      </c>
      <c r="P1001" t="s">
        <v>81</v>
      </c>
      <c r="Q1001" t="s">
        <v>52</v>
      </c>
      <c r="R1001">
        <v>1985</v>
      </c>
      <c r="S1001">
        <v>106.88</v>
      </c>
      <c r="T1001">
        <v>0</v>
      </c>
      <c r="U1001">
        <v>0</v>
      </c>
      <c r="V1001" t="s">
        <v>4814</v>
      </c>
      <c r="W1001">
        <v>107153599</v>
      </c>
      <c r="X1001" t="s">
        <v>49</v>
      </c>
      <c r="Y1001" t="s">
        <v>4815</v>
      </c>
      <c r="Z1001" t="b">
        <v>0</v>
      </c>
      <c r="AA1001">
        <v>299.40119760479041</v>
      </c>
      <c r="AN1001" t="e">
        <f>100*(1-E1001/AL1001)</f>
        <v>#DIV/0!</v>
      </c>
    </row>
    <row r="1002" spans="1:40" x14ac:dyDescent="0.3">
      <c r="A1002" t="s">
        <v>166</v>
      </c>
      <c r="B1002" t="s">
        <v>4816</v>
      </c>
      <c r="C1002" t="s">
        <v>4816</v>
      </c>
      <c r="D1002" s="4">
        <v>46008</v>
      </c>
      <c r="E1002">
        <v>83200</v>
      </c>
      <c r="F1002" t="s">
        <v>4817</v>
      </c>
      <c r="G1002" t="s">
        <v>459</v>
      </c>
      <c r="H1002" t="s">
        <v>94</v>
      </c>
      <c r="I1002" t="s">
        <v>460</v>
      </c>
      <c r="J1002" t="s">
        <v>449</v>
      </c>
      <c r="K1002" t="s">
        <v>4818</v>
      </c>
      <c r="L1002" t="s">
        <v>44</v>
      </c>
      <c r="M1002" t="s">
        <v>4819</v>
      </c>
      <c r="N1002">
        <v>74133</v>
      </c>
      <c r="O1002" t="s">
        <v>45</v>
      </c>
      <c r="P1002" t="s">
        <v>182</v>
      </c>
      <c r="Q1002" t="s">
        <v>55</v>
      </c>
      <c r="R1002">
        <v>1985</v>
      </c>
      <c r="S1002">
        <v>520</v>
      </c>
      <c r="T1002" t="s">
        <v>48</v>
      </c>
      <c r="U1002">
        <v>25</v>
      </c>
      <c r="V1002" t="s">
        <v>4820</v>
      </c>
      <c r="W1002">
        <v>50517389</v>
      </c>
      <c r="X1002" t="s">
        <v>49</v>
      </c>
      <c r="Y1002" t="s">
        <v>4821</v>
      </c>
      <c r="Z1002" t="b">
        <v>0</v>
      </c>
      <c r="AA1002">
        <v>160</v>
      </c>
      <c r="AN1002" t="e">
        <f>100*(1-E1002/AL1002)</f>
        <v>#DIV/0!</v>
      </c>
    </row>
    <row r="1003" spans="1:40" x14ac:dyDescent="0.3">
      <c r="A1003" t="s">
        <v>215</v>
      </c>
      <c r="B1003" t="s">
        <v>4822</v>
      </c>
      <c r="C1003" t="s">
        <v>4822</v>
      </c>
      <c r="D1003" s="4">
        <v>46008</v>
      </c>
      <c r="E1003">
        <v>82863</v>
      </c>
      <c r="F1003" t="s">
        <v>114</v>
      </c>
      <c r="G1003" t="s">
        <v>450</v>
      </c>
      <c r="H1003" t="s">
        <v>136</v>
      </c>
      <c r="I1003" t="s">
        <v>451</v>
      </c>
      <c r="J1003" t="s">
        <v>452</v>
      </c>
      <c r="K1003" t="s">
        <v>4823</v>
      </c>
      <c r="L1003" t="s">
        <v>44</v>
      </c>
      <c r="M1003" t="s">
        <v>4824</v>
      </c>
      <c r="N1003">
        <v>38222</v>
      </c>
      <c r="O1003" t="s">
        <v>45</v>
      </c>
      <c r="P1003" t="s">
        <v>54</v>
      </c>
      <c r="Q1003" t="s">
        <v>55</v>
      </c>
      <c r="R1003">
        <v>1985</v>
      </c>
      <c r="S1003">
        <v>75.400000000000006</v>
      </c>
      <c r="T1003">
        <v>0</v>
      </c>
      <c r="U1003">
        <v>0</v>
      </c>
      <c r="V1003" t="s">
        <v>4825</v>
      </c>
      <c r="W1003">
        <v>128585570</v>
      </c>
      <c r="X1003" t="s">
        <v>49</v>
      </c>
      <c r="Y1003" t="s">
        <v>4826</v>
      </c>
      <c r="Z1003" t="b">
        <v>0</v>
      </c>
      <c r="AA1003">
        <v>1098.978779840849</v>
      </c>
      <c r="AN1003" t="e">
        <f>100*(1-E1003/AL1003)</f>
        <v>#DIV/0!</v>
      </c>
    </row>
    <row r="1004" spans="1:40" x14ac:dyDescent="0.3">
      <c r="A1004" t="s">
        <v>59</v>
      </c>
      <c r="B1004" t="s">
        <v>4879</v>
      </c>
      <c r="C1004" t="s">
        <v>4879</v>
      </c>
      <c r="D1004" s="4">
        <v>46008</v>
      </c>
      <c r="E1004">
        <v>89700</v>
      </c>
      <c r="F1004" t="s">
        <v>4880</v>
      </c>
      <c r="G1004" t="s">
        <v>4881</v>
      </c>
      <c r="H1004" t="s">
        <v>152</v>
      </c>
      <c r="I1004" t="s">
        <v>3783</v>
      </c>
      <c r="J1004" t="s">
        <v>154</v>
      </c>
      <c r="K1004" t="s">
        <v>4882</v>
      </c>
      <c r="L1004" t="s">
        <v>44</v>
      </c>
      <c r="M1004" t="s">
        <v>4883</v>
      </c>
      <c r="N1004">
        <v>24500</v>
      </c>
      <c r="O1004" t="s">
        <v>50</v>
      </c>
      <c r="P1004" t="s">
        <v>46</v>
      </c>
      <c r="Q1004">
        <v>0</v>
      </c>
      <c r="R1004">
        <v>1987</v>
      </c>
      <c r="S1004">
        <v>375.2</v>
      </c>
      <c r="T1004" t="s">
        <v>48</v>
      </c>
      <c r="U1004">
        <v>50</v>
      </c>
      <c r="V1004" t="s">
        <v>4884</v>
      </c>
      <c r="W1004">
        <v>35628710</v>
      </c>
      <c r="X1004" t="s">
        <v>49</v>
      </c>
      <c r="Y1004" t="s">
        <v>4885</v>
      </c>
      <c r="Z1004" t="b">
        <v>0</v>
      </c>
      <c r="AA1004">
        <v>239.07249466950961</v>
      </c>
      <c r="AN1004" t="e">
        <f>100*(1-E1004/AL1004)</f>
        <v>#DIV/0!</v>
      </c>
    </row>
    <row r="1005" spans="1:40" x14ac:dyDescent="0.3">
      <c r="A1005" t="s">
        <v>59</v>
      </c>
      <c r="B1005" t="s">
        <v>4933</v>
      </c>
      <c r="C1005" t="s">
        <v>4933</v>
      </c>
      <c r="D1005" s="4">
        <v>46008</v>
      </c>
      <c r="E1005">
        <v>197000</v>
      </c>
      <c r="F1005" t="s">
        <v>4934</v>
      </c>
      <c r="G1005" t="s">
        <v>3491</v>
      </c>
      <c r="H1005" t="s">
        <v>41</v>
      </c>
      <c r="I1005" t="s">
        <v>3492</v>
      </c>
      <c r="J1005" t="s">
        <v>145</v>
      </c>
      <c r="K1005" t="s">
        <v>4935</v>
      </c>
      <c r="L1005" t="s">
        <v>44</v>
      </c>
      <c r="M1005" t="s">
        <v>4936</v>
      </c>
      <c r="N1005">
        <v>44007</v>
      </c>
      <c r="O1005" t="s">
        <v>50</v>
      </c>
      <c r="P1005" t="s">
        <v>289</v>
      </c>
      <c r="Q1005" t="s">
        <v>52</v>
      </c>
      <c r="R1005">
        <v>1988</v>
      </c>
      <c r="S1005">
        <v>435.06</v>
      </c>
      <c r="T1005">
        <v>0</v>
      </c>
      <c r="U1005">
        <v>0</v>
      </c>
      <c r="V1005" t="s">
        <v>4937</v>
      </c>
      <c r="W1005">
        <v>13104895</v>
      </c>
      <c r="X1005" t="s">
        <v>49</v>
      </c>
      <c r="Y1005">
        <v>200400502016</v>
      </c>
      <c r="Z1005" t="b">
        <v>0</v>
      </c>
      <c r="AA1005">
        <v>452.81110651404401</v>
      </c>
      <c r="AN1005" t="e">
        <f>100*(1-E1005/AL1005)</f>
        <v>#DIV/0!</v>
      </c>
    </row>
    <row r="1006" spans="1:40" x14ac:dyDescent="0.3">
      <c r="A1006" t="s">
        <v>59</v>
      </c>
      <c r="B1006" t="s">
        <v>5080</v>
      </c>
      <c r="C1006" t="s">
        <v>5080</v>
      </c>
      <c r="D1006" s="4">
        <v>46008</v>
      </c>
      <c r="E1006">
        <v>31000</v>
      </c>
      <c r="F1006" t="s">
        <v>1251</v>
      </c>
      <c r="G1006" t="s">
        <v>4332</v>
      </c>
      <c r="H1006" t="s">
        <v>124</v>
      </c>
      <c r="I1006" t="s">
        <v>362</v>
      </c>
      <c r="J1006" t="s">
        <v>256</v>
      </c>
      <c r="K1006" t="s">
        <v>5081</v>
      </c>
      <c r="L1006" t="s">
        <v>44</v>
      </c>
      <c r="M1006" t="s">
        <v>4332</v>
      </c>
      <c r="N1006">
        <v>30500</v>
      </c>
      <c r="O1006" t="s">
        <v>45</v>
      </c>
      <c r="P1006" t="s">
        <v>54</v>
      </c>
      <c r="Q1006" t="s">
        <v>52</v>
      </c>
      <c r="R1006">
        <v>1990</v>
      </c>
      <c r="S1006">
        <v>43.15</v>
      </c>
      <c r="T1006">
        <v>0</v>
      </c>
      <c r="U1006">
        <v>0</v>
      </c>
      <c r="V1006" t="s">
        <v>5082</v>
      </c>
      <c r="W1006">
        <v>30289324</v>
      </c>
      <c r="X1006" t="s">
        <v>86</v>
      </c>
      <c r="Y1006" t="s">
        <v>5083</v>
      </c>
      <c r="Z1006" t="b">
        <v>0</v>
      </c>
      <c r="AA1006">
        <v>718.42410196987259</v>
      </c>
      <c r="AN1006" t="e">
        <f>100*(1-E1006/AL1006)</f>
        <v>#DIV/0!</v>
      </c>
    </row>
    <row r="1007" spans="1:40" x14ac:dyDescent="0.3">
      <c r="A1007" t="s">
        <v>59</v>
      </c>
      <c r="B1007" t="s">
        <v>5080</v>
      </c>
      <c r="C1007" t="s">
        <v>5080</v>
      </c>
      <c r="D1007" s="4">
        <v>46008</v>
      </c>
      <c r="E1007">
        <v>31000</v>
      </c>
      <c r="F1007" t="s">
        <v>1251</v>
      </c>
      <c r="G1007" t="s">
        <v>4332</v>
      </c>
      <c r="H1007" t="s">
        <v>124</v>
      </c>
      <c r="I1007" t="s">
        <v>362</v>
      </c>
      <c r="J1007" t="s">
        <v>256</v>
      </c>
      <c r="K1007" t="s">
        <v>5081</v>
      </c>
      <c r="L1007" t="s">
        <v>44</v>
      </c>
      <c r="M1007" t="s">
        <v>4332</v>
      </c>
      <c r="N1007">
        <v>30500</v>
      </c>
      <c r="O1007" t="s">
        <v>45</v>
      </c>
      <c r="P1007" t="s">
        <v>54</v>
      </c>
      <c r="Q1007" t="s">
        <v>52</v>
      </c>
      <c r="R1007">
        <v>1990</v>
      </c>
      <c r="S1007">
        <v>43.15</v>
      </c>
      <c r="T1007">
        <v>0</v>
      </c>
      <c r="U1007">
        <v>0</v>
      </c>
      <c r="V1007" t="s">
        <v>5082</v>
      </c>
      <c r="W1007">
        <v>30289324</v>
      </c>
      <c r="X1007" t="s">
        <v>86</v>
      </c>
      <c r="Y1007" t="s">
        <v>5083</v>
      </c>
      <c r="Z1007" t="b">
        <v>0</v>
      </c>
      <c r="AA1007">
        <v>718.42410196987259</v>
      </c>
      <c r="AN1007" t="e">
        <f>100*(1-E1007/AL1007)</f>
        <v>#DIV/0!</v>
      </c>
    </row>
    <row r="1008" spans="1:40" x14ac:dyDescent="0.3">
      <c r="A1008" t="s">
        <v>166</v>
      </c>
      <c r="B1008" t="s">
        <v>5084</v>
      </c>
      <c r="C1008" t="s">
        <v>5084</v>
      </c>
      <c r="D1008" s="4">
        <v>46008</v>
      </c>
      <c r="E1008">
        <v>184000</v>
      </c>
      <c r="F1008" t="s">
        <v>4794</v>
      </c>
      <c r="G1008" t="s">
        <v>151</v>
      </c>
      <c r="H1008" t="s">
        <v>152</v>
      </c>
      <c r="I1008" t="s">
        <v>153</v>
      </c>
      <c r="J1008" t="s">
        <v>154</v>
      </c>
      <c r="K1008" t="s">
        <v>5085</v>
      </c>
      <c r="L1008" t="s">
        <v>44</v>
      </c>
      <c r="M1008" t="s">
        <v>5086</v>
      </c>
      <c r="N1008">
        <v>24100</v>
      </c>
      <c r="O1008" t="s">
        <v>45</v>
      </c>
      <c r="P1008" t="s">
        <v>81</v>
      </c>
      <c r="Q1008" t="s">
        <v>55</v>
      </c>
      <c r="R1008">
        <v>1990</v>
      </c>
      <c r="S1008">
        <v>159.9</v>
      </c>
      <c r="T1008">
        <v>0</v>
      </c>
      <c r="U1008">
        <v>0</v>
      </c>
      <c r="V1008" t="s">
        <v>5087</v>
      </c>
      <c r="W1008">
        <v>45788299</v>
      </c>
      <c r="X1008" t="s">
        <v>49</v>
      </c>
      <c r="Y1008" t="s">
        <v>5088</v>
      </c>
      <c r="Z1008" t="b">
        <v>0</v>
      </c>
      <c r="AA1008">
        <v>1150.719199499687</v>
      </c>
      <c r="AN1008" t="e">
        <f>100*(1-E1008/AL1008)</f>
        <v>#DIV/0!</v>
      </c>
    </row>
    <row r="1009" spans="1:40" x14ac:dyDescent="0.3">
      <c r="A1009" t="s">
        <v>215</v>
      </c>
      <c r="B1009" t="s">
        <v>5089</v>
      </c>
      <c r="C1009" t="s">
        <v>5089</v>
      </c>
      <c r="D1009" s="4">
        <v>46008</v>
      </c>
      <c r="E1009">
        <v>436000</v>
      </c>
      <c r="F1009" t="s">
        <v>5090</v>
      </c>
      <c r="G1009" t="s">
        <v>320</v>
      </c>
      <c r="H1009" t="s">
        <v>156</v>
      </c>
      <c r="I1009" t="s">
        <v>321</v>
      </c>
      <c r="J1009" t="s">
        <v>322</v>
      </c>
      <c r="K1009" t="s">
        <v>5091</v>
      </c>
      <c r="L1009" t="s">
        <v>44</v>
      </c>
      <c r="M1009" t="s">
        <v>5092</v>
      </c>
      <c r="N1009">
        <v>28100</v>
      </c>
      <c r="O1009" t="s">
        <v>50</v>
      </c>
      <c r="P1009" t="s">
        <v>2521</v>
      </c>
      <c r="Q1009">
        <v>0</v>
      </c>
      <c r="R1009">
        <v>1990</v>
      </c>
      <c r="S1009">
        <v>428.33</v>
      </c>
      <c r="T1009">
        <v>0</v>
      </c>
      <c r="U1009">
        <v>0</v>
      </c>
      <c r="V1009" t="s">
        <v>5093</v>
      </c>
      <c r="W1009">
        <v>24628426</v>
      </c>
      <c r="X1009" t="s">
        <v>49</v>
      </c>
      <c r="Y1009">
        <v>0</v>
      </c>
      <c r="Z1009" t="b">
        <v>0</v>
      </c>
      <c r="AA1009">
        <v>1017.906754138165</v>
      </c>
      <c r="AN1009" t="e">
        <f>100*(1-E1009/AL1009)</f>
        <v>#DIV/0!</v>
      </c>
    </row>
    <row r="1010" spans="1:40" x14ac:dyDescent="0.3">
      <c r="A1010" t="s">
        <v>59</v>
      </c>
      <c r="B1010" t="s">
        <v>5225</v>
      </c>
      <c r="C1010" t="s">
        <v>5225</v>
      </c>
      <c r="D1010" s="4">
        <v>46008</v>
      </c>
      <c r="E1010">
        <v>197000</v>
      </c>
      <c r="F1010" t="s">
        <v>5226</v>
      </c>
      <c r="G1010" t="s">
        <v>419</v>
      </c>
      <c r="H1010" t="s">
        <v>152</v>
      </c>
      <c r="I1010" t="s">
        <v>153</v>
      </c>
      <c r="J1010" t="s">
        <v>154</v>
      </c>
      <c r="K1010" t="s">
        <v>5227</v>
      </c>
      <c r="L1010" t="s">
        <v>44</v>
      </c>
      <c r="M1010" t="s">
        <v>5228</v>
      </c>
      <c r="N1010">
        <v>24132</v>
      </c>
      <c r="O1010" t="s">
        <v>45</v>
      </c>
      <c r="P1010" t="s">
        <v>54</v>
      </c>
      <c r="Q1010" t="s">
        <v>85</v>
      </c>
      <c r="R1010">
        <v>1992</v>
      </c>
      <c r="S1010">
        <v>121</v>
      </c>
      <c r="T1010">
        <v>0</v>
      </c>
      <c r="U1010">
        <v>0</v>
      </c>
      <c r="V1010" t="s">
        <v>5229</v>
      </c>
      <c r="W1010">
        <v>40634760</v>
      </c>
      <c r="X1010" t="s">
        <v>49</v>
      </c>
      <c r="Y1010" t="s">
        <v>5230</v>
      </c>
      <c r="Z1010" t="b">
        <v>0</v>
      </c>
      <c r="AA1010">
        <v>1628.0991735537191</v>
      </c>
      <c r="AN1010" t="e">
        <f>100*(1-E1010/AL1010)</f>
        <v>#DIV/0!</v>
      </c>
    </row>
    <row r="1011" spans="1:40" x14ac:dyDescent="0.3">
      <c r="A1011" t="s">
        <v>71</v>
      </c>
      <c r="B1011" t="s">
        <v>5297</v>
      </c>
      <c r="C1011" t="s">
        <v>5297</v>
      </c>
      <c r="D1011" s="4">
        <v>46008</v>
      </c>
      <c r="E1011">
        <v>78000</v>
      </c>
      <c r="F1011" t="s">
        <v>208</v>
      </c>
      <c r="G1011" t="s">
        <v>4035</v>
      </c>
      <c r="H1011" t="s">
        <v>152</v>
      </c>
      <c r="I1011" t="s">
        <v>670</v>
      </c>
      <c r="J1011" t="s">
        <v>221</v>
      </c>
      <c r="K1011" t="s">
        <v>5298</v>
      </c>
      <c r="L1011" t="s">
        <v>44</v>
      </c>
      <c r="M1011" t="s">
        <v>5299</v>
      </c>
      <c r="N1011">
        <v>20003</v>
      </c>
      <c r="O1011" t="s">
        <v>45</v>
      </c>
      <c r="P1011" t="s">
        <v>54</v>
      </c>
      <c r="Q1011" t="s">
        <v>85</v>
      </c>
      <c r="R1011">
        <v>1994</v>
      </c>
      <c r="S1011">
        <v>55.29</v>
      </c>
      <c r="T1011">
        <v>0</v>
      </c>
      <c r="U1011">
        <v>0</v>
      </c>
      <c r="V1011" t="s">
        <v>5300</v>
      </c>
      <c r="W1011" t="s">
        <v>5301</v>
      </c>
      <c r="X1011" t="s">
        <v>49</v>
      </c>
      <c r="Y1011" t="s">
        <v>5302</v>
      </c>
      <c r="Z1011" t="b">
        <v>0</v>
      </c>
      <c r="AA1011">
        <v>1410.7433532284319</v>
      </c>
      <c r="AN1011" t="e">
        <f>100*(1-E1011/AL1011)</f>
        <v>#DIV/0!</v>
      </c>
    </row>
    <row r="1012" spans="1:40" x14ac:dyDescent="0.3">
      <c r="A1012" t="s">
        <v>71</v>
      </c>
      <c r="B1012" t="s">
        <v>5378</v>
      </c>
      <c r="C1012" t="s">
        <v>5378</v>
      </c>
      <c r="D1012" s="4">
        <v>46008</v>
      </c>
      <c r="E1012">
        <v>176000</v>
      </c>
      <c r="F1012" t="s">
        <v>5379</v>
      </c>
      <c r="G1012" t="s">
        <v>4742</v>
      </c>
      <c r="H1012" t="s">
        <v>152</v>
      </c>
      <c r="I1012" t="s">
        <v>220</v>
      </c>
      <c r="J1012" t="s">
        <v>221</v>
      </c>
      <c r="K1012" t="s">
        <v>5380</v>
      </c>
      <c r="L1012" t="s">
        <v>44</v>
      </c>
      <c r="M1012" t="s">
        <v>5381</v>
      </c>
      <c r="N1012">
        <v>20001</v>
      </c>
      <c r="O1012" t="s">
        <v>45</v>
      </c>
      <c r="P1012" t="s">
        <v>81</v>
      </c>
      <c r="Q1012" t="s">
        <v>55</v>
      </c>
      <c r="R1012">
        <v>1995</v>
      </c>
      <c r="S1012">
        <v>384</v>
      </c>
      <c r="T1012">
        <v>0</v>
      </c>
      <c r="U1012">
        <v>0</v>
      </c>
      <c r="V1012" t="s">
        <v>5382</v>
      </c>
      <c r="W1012">
        <v>28001528</v>
      </c>
      <c r="X1012" t="s">
        <v>49</v>
      </c>
      <c r="Y1012" t="s">
        <v>5383</v>
      </c>
      <c r="Z1012" t="b">
        <v>0</v>
      </c>
      <c r="AA1012">
        <v>458.33333333333331</v>
      </c>
      <c r="AN1012" t="e">
        <f>100*(1-E1012/AL1012)</f>
        <v>#DIV/0!</v>
      </c>
    </row>
    <row r="1013" spans="1:40" x14ac:dyDescent="0.3">
      <c r="A1013" t="s">
        <v>59</v>
      </c>
      <c r="B1013" t="s">
        <v>5384</v>
      </c>
      <c r="C1013" t="s">
        <v>5384</v>
      </c>
      <c r="D1013" s="4">
        <v>46008</v>
      </c>
      <c r="E1013">
        <v>142900</v>
      </c>
      <c r="F1013" t="s">
        <v>5385</v>
      </c>
      <c r="G1013" t="s">
        <v>816</v>
      </c>
      <c r="H1013" t="s">
        <v>41</v>
      </c>
      <c r="I1013" t="s">
        <v>201</v>
      </c>
      <c r="J1013" t="s">
        <v>199</v>
      </c>
      <c r="K1013" t="s">
        <v>5386</v>
      </c>
      <c r="L1013" t="s">
        <v>44</v>
      </c>
      <c r="M1013" t="s">
        <v>5387</v>
      </c>
      <c r="N1013">
        <v>47100</v>
      </c>
      <c r="O1013" t="s">
        <v>331</v>
      </c>
      <c r="P1013" t="s">
        <v>331</v>
      </c>
      <c r="Q1013" t="s">
        <v>55</v>
      </c>
      <c r="R1013">
        <v>1995</v>
      </c>
      <c r="S1013">
        <v>172.91</v>
      </c>
      <c r="T1013">
        <v>0</v>
      </c>
      <c r="U1013">
        <v>0</v>
      </c>
      <c r="V1013" t="s">
        <v>5388</v>
      </c>
      <c r="W1013" t="s">
        <v>5389</v>
      </c>
      <c r="X1013" t="s">
        <v>49</v>
      </c>
      <c r="Y1013" t="s">
        <v>5390</v>
      </c>
      <c r="Z1013" t="b">
        <v>0</v>
      </c>
      <c r="AA1013">
        <v>826.44150135908853</v>
      </c>
      <c r="AN1013" t="e">
        <f>100*(1-E1013/AL1013)</f>
        <v>#DIV/0!</v>
      </c>
    </row>
    <row r="1014" spans="1:40" x14ac:dyDescent="0.3">
      <c r="A1014" t="s">
        <v>59</v>
      </c>
      <c r="B1014" t="s">
        <v>5470</v>
      </c>
      <c r="C1014" t="s">
        <v>5470</v>
      </c>
      <c r="D1014" s="4">
        <v>46008</v>
      </c>
      <c r="E1014">
        <v>86000</v>
      </c>
      <c r="F1014" t="s">
        <v>162</v>
      </c>
      <c r="G1014" t="s">
        <v>106</v>
      </c>
      <c r="H1014" t="s">
        <v>62</v>
      </c>
      <c r="I1014" t="s">
        <v>107</v>
      </c>
      <c r="J1014" t="s">
        <v>108</v>
      </c>
      <c r="K1014" t="s">
        <v>5471</v>
      </c>
      <c r="L1014" t="s">
        <v>44</v>
      </c>
      <c r="M1014" t="s">
        <v>5472</v>
      </c>
      <c r="N1014">
        <v>59132</v>
      </c>
      <c r="O1014" t="s">
        <v>45</v>
      </c>
      <c r="P1014" t="s">
        <v>54</v>
      </c>
      <c r="Q1014" t="s">
        <v>55</v>
      </c>
      <c r="R1014">
        <v>1998</v>
      </c>
      <c r="S1014">
        <v>71.290000000000006</v>
      </c>
      <c r="T1014">
        <v>0</v>
      </c>
      <c r="U1014">
        <v>0</v>
      </c>
      <c r="V1014" t="s">
        <v>5473</v>
      </c>
      <c r="W1014">
        <v>35705050</v>
      </c>
      <c r="X1014" t="s">
        <v>86</v>
      </c>
      <c r="Y1014" t="s">
        <v>5474</v>
      </c>
      <c r="Z1014" t="b">
        <v>0</v>
      </c>
      <c r="AA1014">
        <v>1206.340300182354</v>
      </c>
      <c r="AN1014" t="e">
        <f>100*(1-E1014/AL1014)</f>
        <v>#DIV/0!</v>
      </c>
    </row>
    <row r="1015" spans="1:40" x14ac:dyDescent="0.3">
      <c r="A1015" t="s">
        <v>59</v>
      </c>
      <c r="B1015" t="s">
        <v>5470</v>
      </c>
      <c r="C1015" t="s">
        <v>5470</v>
      </c>
      <c r="D1015" s="4">
        <v>46008</v>
      </c>
      <c r="E1015">
        <v>86000</v>
      </c>
      <c r="F1015" t="s">
        <v>162</v>
      </c>
      <c r="G1015" t="s">
        <v>106</v>
      </c>
      <c r="H1015" t="s">
        <v>62</v>
      </c>
      <c r="I1015" t="s">
        <v>107</v>
      </c>
      <c r="J1015" t="s">
        <v>108</v>
      </c>
      <c r="K1015" t="s">
        <v>5471</v>
      </c>
      <c r="L1015" t="s">
        <v>44</v>
      </c>
      <c r="M1015" t="s">
        <v>5472</v>
      </c>
      <c r="N1015">
        <v>59132</v>
      </c>
      <c r="O1015" t="s">
        <v>45</v>
      </c>
      <c r="P1015" t="s">
        <v>54</v>
      </c>
      <c r="Q1015" t="s">
        <v>55</v>
      </c>
      <c r="R1015">
        <v>1998</v>
      </c>
      <c r="S1015">
        <v>71.290000000000006</v>
      </c>
      <c r="T1015">
        <v>0</v>
      </c>
      <c r="U1015">
        <v>0</v>
      </c>
      <c r="V1015" t="s">
        <v>5473</v>
      </c>
      <c r="W1015">
        <v>35705050</v>
      </c>
      <c r="X1015" t="s">
        <v>86</v>
      </c>
      <c r="Y1015" t="s">
        <v>5474</v>
      </c>
      <c r="Z1015" t="b">
        <v>0</v>
      </c>
      <c r="AA1015">
        <v>1206.340300182354</v>
      </c>
      <c r="AN1015" t="e">
        <f>100*(1-E1015/AL1015)</f>
        <v>#DIV/0!</v>
      </c>
    </row>
    <row r="1016" spans="1:40" x14ac:dyDescent="0.3">
      <c r="A1016" t="s">
        <v>59</v>
      </c>
      <c r="B1016" t="s">
        <v>5470</v>
      </c>
      <c r="C1016" t="s">
        <v>5470</v>
      </c>
      <c r="D1016" s="4">
        <v>46008</v>
      </c>
      <c r="E1016">
        <v>86000</v>
      </c>
      <c r="F1016" t="s">
        <v>162</v>
      </c>
      <c r="G1016" t="s">
        <v>106</v>
      </c>
      <c r="H1016" t="s">
        <v>62</v>
      </c>
      <c r="I1016" t="s">
        <v>107</v>
      </c>
      <c r="J1016" t="s">
        <v>108</v>
      </c>
      <c r="K1016" t="s">
        <v>5471</v>
      </c>
      <c r="L1016" t="s">
        <v>44</v>
      </c>
      <c r="M1016" t="s">
        <v>5472</v>
      </c>
      <c r="N1016">
        <v>59132</v>
      </c>
      <c r="O1016" t="s">
        <v>45</v>
      </c>
      <c r="P1016" t="s">
        <v>54</v>
      </c>
      <c r="Q1016" t="s">
        <v>55</v>
      </c>
      <c r="R1016">
        <v>1998</v>
      </c>
      <c r="S1016">
        <v>71.290000000000006</v>
      </c>
      <c r="T1016">
        <v>0</v>
      </c>
      <c r="U1016">
        <v>0</v>
      </c>
      <c r="V1016" t="s">
        <v>5473</v>
      </c>
      <c r="W1016">
        <v>35705050</v>
      </c>
      <c r="X1016" t="s">
        <v>86</v>
      </c>
      <c r="Y1016" t="s">
        <v>5474</v>
      </c>
      <c r="Z1016" t="b">
        <v>0</v>
      </c>
      <c r="AA1016">
        <v>1206.340300182354</v>
      </c>
      <c r="AN1016" t="e">
        <f>100*(1-E1016/AL1016)</f>
        <v>#DIV/0!</v>
      </c>
    </row>
    <row r="1017" spans="1:40" x14ac:dyDescent="0.3">
      <c r="A1017" t="s">
        <v>39</v>
      </c>
      <c r="B1017" t="s">
        <v>5505</v>
      </c>
      <c r="C1017" t="s">
        <v>5505</v>
      </c>
      <c r="D1017" s="4">
        <v>46008</v>
      </c>
      <c r="E1017">
        <v>130000</v>
      </c>
      <c r="F1017" t="s">
        <v>312</v>
      </c>
      <c r="G1017" t="s">
        <v>83</v>
      </c>
      <c r="H1017" t="s">
        <v>67</v>
      </c>
      <c r="I1017" t="s">
        <v>84</v>
      </c>
      <c r="J1017" t="s">
        <v>67</v>
      </c>
      <c r="K1017" t="s">
        <v>5506</v>
      </c>
      <c r="L1017" t="s">
        <v>44</v>
      </c>
      <c r="M1017" t="s">
        <v>5507</v>
      </c>
      <c r="N1017">
        <v>12136</v>
      </c>
      <c r="O1017" t="s">
        <v>45</v>
      </c>
      <c r="P1017" t="s">
        <v>54</v>
      </c>
      <c r="Q1017" t="s">
        <v>55</v>
      </c>
      <c r="R1017">
        <v>1999</v>
      </c>
      <c r="S1017">
        <v>85</v>
      </c>
      <c r="T1017">
        <v>0</v>
      </c>
      <c r="U1017">
        <v>0</v>
      </c>
      <c r="V1017" t="s">
        <v>5508</v>
      </c>
      <c r="W1017">
        <v>15387966</v>
      </c>
      <c r="X1017" t="s">
        <v>49</v>
      </c>
      <c r="Y1017" t="s">
        <v>5509</v>
      </c>
      <c r="Z1017" t="b">
        <v>0</v>
      </c>
      <c r="AA1017">
        <v>1529.411764705882</v>
      </c>
      <c r="AN1017" t="e">
        <f>100*(1-E1017/AL1017)</f>
        <v>#DIV/0!</v>
      </c>
    </row>
    <row r="1018" spans="1:40" x14ac:dyDescent="0.3">
      <c r="A1018" t="s">
        <v>39</v>
      </c>
      <c r="B1018" t="s">
        <v>5510</v>
      </c>
      <c r="C1018" t="s">
        <v>5511</v>
      </c>
      <c r="D1018" s="4">
        <v>46008</v>
      </c>
      <c r="E1018">
        <v>36000</v>
      </c>
      <c r="F1018" t="s">
        <v>5512</v>
      </c>
      <c r="G1018" t="s">
        <v>4699</v>
      </c>
      <c r="H1018" t="s">
        <v>102</v>
      </c>
      <c r="I1018" t="s">
        <v>4700</v>
      </c>
      <c r="J1018" t="s">
        <v>103</v>
      </c>
      <c r="K1018" t="s">
        <v>5513</v>
      </c>
      <c r="L1018" t="s">
        <v>44</v>
      </c>
      <c r="M1018" t="s">
        <v>5514</v>
      </c>
      <c r="N1018">
        <v>50400</v>
      </c>
      <c r="O1018" t="s">
        <v>45</v>
      </c>
      <c r="P1018" t="s">
        <v>54</v>
      </c>
      <c r="Q1018" t="s">
        <v>52</v>
      </c>
      <c r="R1018">
        <v>1999</v>
      </c>
      <c r="S1018">
        <v>85.8</v>
      </c>
      <c r="T1018">
        <v>0</v>
      </c>
      <c r="U1018">
        <v>0</v>
      </c>
      <c r="V1018" t="s">
        <v>5515</v>
      </c>
      <c r="W1018">
        <v>59910849</v>
      </c>
      <c r="X1018" t="s">
        <v>49</v>
      </c>
      <c r="Y1018" t="s">
        <v>5516</v>
      </c>
      <c r="Z1018" t="b">
        <v>0</v>
      </c>
      <c r="AA1018">
        <v>419.58041958041957</v>
      </c>
      <c r="AN1018" t="e">
        <f>100*(1-E1018/AL1018)</f>
        <v>#DIV/0!</v>
      </c>
    </row>
    <row r="1019" spans="1:40" x14ac:dyDescent="0.3">
      <c r="A1019" t="s">
        <v>39</v>
      </c>
      <c r="B1019" t="s">
        <v>5517</v>
      </c>
      <c r="C1019" t="s">
        <v>5511</v>
      </c>
      <c r="D1019" s="4">
        <v>46008</v>
      </c>
      <c r="E1019">
        <v>72000</v>
      </c>
      <c r="F1019" t="s">
        <v>418</v>
      </c>
      <c r="G1019" t="s">
        <v>4699</v>
      </c>
      <c r="H1019" t="s">
        <v>102</v>
      </c>
      <c r="I1019" t="s">
        <v>4700</v>
      </c>
      <c r="J1019" t="s">
        <v>103</v>
      </c>
      <c r="K1019" t="s">
        <v>5513</v>
      </c>
      <c r="L1019" t="s">
        <v>44</v>
      </c>
      <c r="M1019" t="s">
        <v>5514</v>
      </c>
      <c r="N1019">
        <v>50400</v>
      </c>
      <c r="O1019" t="s">
        <v>45</v>
      </c>
      <c r="P1019" t="s">
        <v>54</v>
      </c>
      <c r="Q1019" t="s">
        <v>55</v>
      </c>
      <c r="R1019">
        <v>1999</v>
      </c>
      <c r="S1019">
        <v>85.8</v>
      </c>
      <c r="T1019">
        <v>0</v>
      </c>
      <c r="U1019">
        <v>0</v>
      </c>
      <c r="V1019" t="s">
        <v>5515</v>
      </c>
      <c r="W1019">
        <v>59910849</v>
      </c>
      <c r="X1019" t="s">
        <v>49</v>
      </c>
      <c r="Y1019" t="s">
        <v>5518</v>
      </c>
      <c r="Z1019" t="b">
        <v>0</v>
      </c>
      <c r="AA1019">
        <v>839.16083916083915</v>
      </c>
      <c r="AN1019" t="e">
        <f>100*(1-E1019/AL1019)</f>
        <v>#DIV/0!</v>
      </c>
    </row>
    <row r="1020" spans="1:40" x14ac:dyDescent="0.3">
      <c r="A1020" t="s">
        <v>59</v>
      </c>
      <c r="B1020" t="s">
        <v>5519</v>
      </c>
      <c r="C1020" t="s">
        <v>5519</v>
      </c>
      <c r="D1020" s="4">
        <v>46008</v>
      </c>
      <c r="E1020">
        <v>455000</v>
      </c>
      <c r="F1020" t="s">
        <v>5520</v>
      </c>
      <c r="G1020" t="s">
        <v>407</v>
      </c>
      <c r="H1020" t="s">
        <v>230</v>
      </c>
      <c r="I1020" t="s">
        <v>408</v>
      </c>
      <c r="J1020" t="s">
        <v>231</v>
      </c>
      <c r="K1020" t="s">
        <v>5521</v>
      </c>
      <c r="L1020" t="s">
        <v>44</v>
      </c>
      <c r="M1020" t="s">
        <v>5522</v>
      </c>
      <c r="N1020">
        <v>64005</v>
      </c>
      <c r="O1020" t="s">
        <v>45</v>
      </c>
      <c r="P1020" t="s">
        <v>81</v>
      </c>
      <c r="Q1020" t="s">
        <v>52</v>
      </c>
      <c r="R1020">
        <v>1999</v>
      </c>
      <c r="S1020">
        <v>197.5</v>
      </c>
      <c r="T1020">
        <v>0</v>
      </c>
      <c r="U1020">
        <v>0</v>
      </c>
      <c r="V1020" t="s">
        <v>5523</v>
      </c>
      <c r="W1020">
        <v>15587800</v>
      </c>
      <c r="X1020" t="s">
        <v>49</v>
      </c>
      <c r="Y1020" t="s">
        <v>5524</v>
      </c>
      <c r="Z1020" t="b">
        <v>0</v>
      </c>
      <c r="AA1020">
        <v>2303.7974683544298</v>
      </c>
      <c r="AN1020" t="e">
        <f>100*(1-E1020/AL1020)</f>
        <v>#DIV/0!</v>
      </c>
    </row>
    <row r="1021" spans="1:40" x14ac:dyDescent="0.3">
      <c r="A1021" t="s">
        <v>183</v>
      </c>
      <c r="B1021" t="s">
        <v>5638</v>
      </c>
      <c r="C1021" t="s">
        <v>5638</v>
      </c>
      <c r="D1021" s="4">
        <v>46008</v>
      </c>
      <c r="E1021">
        <v>245000</v>
      </c>
      <c r="F1021" t="s">
        <v>5639</v>
      </c>
      <c r="G1021" t="s">
        <v>3410</v>
      </c>
      <c r="H1021" t="s">
        <v>67</v>
      </c>
      <c r="I1021" t="s">
        <v>3411</v>
      </c>
      <c r="J1021" t="s">
        <v>67</v>
      </c>
      <c r="K1021" t="s">
        <v>5640</v>
      </c>
      <c r="L1021" t="s">
        <v>44</v>
      </c>
      <c r="M1021" t="s">
        <v>5641</v>
      </c>
      <c r="N1021">
        <v>19005</v>
      </c>
      <c r="O1021" t="s">
        <v>45</v>
      </c>
      <c r="P1021" t="s">
        <v>288</v>
      </c>
      <c r="Q1021">
        <v>0</v>
      </c>
      <c r="R1021">
        <v>2000</v>
      </c>
      <c r="S1021">
        <v>191.94</v>
      </c>
      <c r="T1021">
        <v>0</v>
      </c>
      <c r="U1021">
        <v>0</v>
      </c>
      <c r="V1021" t="s">
        <v>5642</v>
      </c>
      <c r="W1021">
        <v>21983627</v>
      </c>
      <c r="X1021" t="s">
        <v>49</v>
      </c>
      <c r="Y1021" t="s">
        <v>5643</v>
      </c>
      <c r="Z1021" t="b">
        <v>0</v>
      </c>
      <c r="AA1021">
        <v>1276.440554339898</v>
      </c>
      <c r="AN1021" t="e">
        <f>100*(1-E1021/AL1021)</f>
        <v>#DIV/0!</v>
      </c>
    </row>
    <row r="1022" spans="1:40" x14ac:dyDescent="0.3">
      <c r="A1022" t="s">
        <v>166</v>
      </c>
      <c r="B1022" t="s">
        <v>5644</v>
      </c>
      <c r="C1022" t="s">
        <v>5644</v>
      </c>
      <c r="D1022" s="4">
        <v>46008</v>
      </c>
      <c r="E1022">
        <v>150000</v>
      </c>
      <c r="F1022" t="s">
        <v>5645</v>
      </c>
      <c r="G1022" t="s">
        <v>4857</v>
      </c>
      <c r="H1022" t="s">
        <v>67</v>
      </c>
      <c r="I1022" t="s">
        <v>317</v>
      </c>
      <c r="J1022" t="s">
        <v>67</v>
      </c>
      <c r="K1022" t="s">
        <v>5646</v>
      </c>
      <c r="L1022" t="s">
        <v>44</v>
      </c>
      <c r="M1022" t="s">
        <v>5647</v>
      </c>
      <c r="N1022">
        <v>14565</v>
      </c>
      <c r="O1022" t="s">
        <v>45</v>
      </c>
      <c r="P1022" t="s">
        <v>288</v>
      </c>
      <c r="Q1022" t="s">
        <v>55</v>
      </c>
      <c r="R1022">
        <v>2000</v>
      </c>
      <c r="S1022">
        <v>174.72</v>
      </c>
      <c r="T1022">
        <v>0</v>
      </c>
      <c r="U1022">
        <v>0</v>
      </c>
      <c r="V1022" t="s">
        <v>5648</v>
      </c>
      <c r="W1022">
        <v>70471964</v>
      </c>
      <c r="X1022" t="s">
        <v>49</v>
      </c>
      <c r="Y1022" t="s">
        <v>5649</v>
      </c>
      <c r="Z1022" t="b">
        <v>0</v>
      </c>
      <c r="AA1022">
        <v>858.5164835164835</v>
      </c>
      <c r="AN1022" t="e">
        <f>100*(1-E1022/AL1022)</f>
        <v>#DIV/0!</v>
      </c>
    </row>
    <row r="1023" spans="1:40" x14ac:dyDescent="0.3">
      <c r="A1023" t="s">
        <v>59</v>
      </c>
      <c r="B1023" t="s">
        <v>5650</v>
      </c>
      <c r="C1023" t="s">
        <v>5650</v>
      </c>
      <c r="D1023" s="4">
        <v>46008</v>
      </c>
      <c r="E1023">
        <v>183000</v>
      </c>
      <c r="F1023" t="s">
        <v>5651</v>
      </c>
      <c r="G1023" t="s">
        <v>257</v>
      </c>
      <c r="H1023" t="s">
        <v>94</v>
      </c>
      <c r="I1023" t="s">
        <v>258</v>
      </c>
      <c r="J1023" t="s">
        <v>96</v>
      </c>
      <c r="K1023" t="s">
        <v>5652</v>
      </c>
      <c r="L1023" t="s">
        <v>44</v>
      </c>
      <c r="M1023" t="s">
        <v>5653</v>
      </c>
      <c r="N1023">
        <v>70300</v>
      </c>
      <c r="O1023" t="s">
        <v>45</v>
      </c>
      <c r="P1023" t="s">
        <v>81</v>
      </c>
      <c r="Q1023" t="s">
        <v>85</v>
      </c>
      <c r="R1023">
        <v>2000</v>
      </c>
      <c r="S1023">
        <v>235</v>
      </c>
      <c r="T1023">
        <v>0</v>
      </c>
      <c r="U1023">
        <v>0</v>
      </c>
      <c r="V1023" t="s">
        <v>5654</v>
      </c>
      <c r="W1023">
        <v>68051090</v>
      </c>
      <c r="X1023" t="s">
        <v>49</v>
      </c>
      <c r="Y1023">
        <v>170222017019</v>
      </c>
      <c r="Z1023" t="b">
        <v>0</v>
      </c>
      <c r="AA1023">
        <v>778.72340425531911</v>
      </c>
      <c r="AN1023" t="e">
        <f>100*(1-E1023/AL1023)</f>
        <v>#DIV/0!</v>
      </c>
    </row>
    <row r="1024" spans="1:40" x14ac:dyDescent="0.3">
      <c r="A1024" t="s">
        <v>71</v>
      </c>
      <c r="B1024" t="s">
        <v>5655</v>
      </c>
      <c r="C1024" t="s">
        <v>2828</v>
      </c>
      <c r="D1024" s="4">
        <v>46008</v>
      </c>
      <c r="E1024">
        <v>99000</v>
      </c>
      <c r="F1024" t="s">
        <v>571</v>
      </c>
      <c r="G1024" t="s">
        <v>2830</v>
      </c>
      <c r="H1024" t="s">
        <v>41</v>
      </c>
      <c r="I1024" t="s">
        <v>2831</v>
      </c>
      <c r="J1024" t="s">
        <v>43</v>
      </c>
      <c r="K1024" t="s">
        <v>5656</v>
      </c>
      <c r="L1024" t="s">
        <v>44</v>
      </c>
      <c r="M1024" t="s">
        <v>5657</v>
      </c>
      <c r="N1024">
        <v>48200</v>
      </c>
      <c r="O1024" t="s">
        <v>45</v>
      </c>
      <c r="P1024" t="s">
        <v>81</v>
      </c>
      <c r="Q1024" t="s">
        <v>55</v>
      </c>
      <c r="R1024">
        <v>2000</v>
      </c>
      <c r="S1024">
        <v>132.30000000000001</v>
      </c>
      <c r="T1024">
        <v>0</v>
      </c>
      <c r="U1024">
        <v>0</v>
      </c>
      <c r="V1024" t="s">
        <v>2834</v>
      </c>
      <c r="W1024">
        <v>27517559</v>
      </c>
      <c r="X1024" t="s">
        <v>49</v>
      </c>
      <c r="Y1024" t="s">
        <v>5658</v>
      </c>
      <c r="Z1024" t="b">
        <v>0</v>
      </c>
      <c r="AA1024">
        <v>748.29931972789109</v>
      </c>
      <c r="AN1024" t="e">
        <f>100*(1-E1024/AL1024)</f>
        <v>#DIV/0!</v>
      </c>
    </row>
    <row r="1025" spans="1:40" x14ac:dyDescent="0.3">
      <c r="A1025" t="s">
        <v>166</v>
      </c>
      <c r="B1025" t="s">
        <v>5697</v>
      </c>
      <c r="C1025" t="s">
        <v>5697</v>
      </c>
      <c r="D1025" s="4">
        <v>46008</v>
      </c>
      <c r="E1025">
        <v>82674</v>
      </c>
      <c r="F1025" t="s">
        <v>2061</v>
      </c>
      <c r="G1025" t="s">
        <v>5698</v>
      </c>
      <c r="H1025" t="s">
        <v>62</v>
      </c>
      <c r="I1025" t="s">
        <v>586</v>
      </c>
      <c r="J1025" t="s">
        <v>63</v>
      </c>
      <c r="K1025" t="s">
        <v>5699</v>
      </c>
      <c r="L1025" t="s">
        <v>44</v>
      </c>
      <c r="M1025" t="s">
        <v>5700</v>
      </c>
      <c r="N1025">
        <v>57008</v>
      </c>
      <c r="O1025" t="s">
        <v>45</v>
      </c>
      <c r="P1025" t="s">
        <v>54</v>
      </c>
      <c r="Q1025" t="s">
        <v>100</v>
      </c>
      <c r="R1025">
        <v>2001</v>
      </c>
      <c r="S1025">
        <v>44.8</v>
      </c>
      <c r="T1025">
        <v>0</v>
      </c>
      <c r="U1025">
        <v>0</v>
      </c>
      <c r="V1025" t="s">
        <v>5701</v>
      </c>
      <c r="W1025">
        <v>35679456</v>
      </c>
      <c r="X1025" t="s">
        <v>86</v>
      </c>
      <c r="Y1025" t="s">
        <v>5702</v>
      </c>
      <c r="Z1025" t="b">
        <v>0</v>
      </c>
      <c r="AA1025">
        <v>1845.401785714286</v>
      </c>
      <c r="AN1025" t="e">
        <f>100*(1-E1025/AL1025)</f>
        <v>#DIV/0!</v>
      </c>
    </row>
    <row r="1026" spans="1:40" x14ac:dyDescent="0.3">
      <c r="A1026" t="s">
        <v>59</v>
      </c>
      <c r="B1026" t="s">
        <v>5739</v>
      </c>
      <c r="C1026" t="s">
        <v>5739</v>
      </c>
      <c r="D1026" s="4">
        <v>46008</v>
      </c>
      <c r="E1026">
        <v>90000</v>
      </c>
      <c r="F1026" t="s">
        <v>5740</v>
      </c>
      <c r="G1026" t="s">
        <v>421</v>
      </c>
      <c r="H1026" t="s">
        <v>62</v>
      </c>
      <c r="I1026" t="s">
        <v>422</v>
      </c>
      <c r="J1026" t="s">
        <v>108</v>
      </c>
      <c r="K1026" t="s">
        <v>5741</v>
      </c>
      <c r="L1026" t="s">
        <v>80</v>
      </c>
      <c r="M1026" t="s">
        <v>2745</v>
      </c>
      <c r="N1026">
        <v>59200</v>
      </c>
      <c r="O1026" t="s">
        <v>45</v>
      </c>
      <c r="P1026" t="s">
        <v>288</v>
      </c>
      <c r="Q1026" t="s">
        <v>55</v>
      </c>
      <c r="R1026">
        <v>2002</v>
      </c>
      <c r="S1026">
        <v>115.21</v>
      </c>
      <c r="T1026">
        <v>0</v>
      </c>
      <c r="U1026">
        <v>0</v>
      </c>
      <c r="V1026" t="s">
        <v>5742</v>
      </c>
      <c r="W1026">
        <v>130787494</v>
      </c>
      <c r="X1026" t="s">
        <v>86</v>
      </c>
      <c r="Y1026">
        <v>0</v>
      </c>
      <c r="Z1026" t="b">
        <v>0</v>
      </c>
      <c r="AA1026">
        <v>781.18218904608977</v>
      </c>
      <c r="AN1026" t="e">
        <f>100*(1-E1026/AL1026)</f>
        <v>#DIV/0!</v>
      </c>
    </row>
    <row r="1027" spans="1:40" x14ac:dyDescent="0.3">
      <c r="A1027" t="s">
        <v>59</v>
      </c>
      <c r="B1027" t="s">
        <v>5743</v>
      </c>
      <c r="C1027" t="s">
        <v>5743</v>
      </c>
      <c r="D1027" s="4">
        <v>46008</v>
      </c>
      <c r="E1027">
        <v>60000</v>
      </c>
      <c r="F1027" t="s">
        <v>3939</v>
      </c>
      <c r="G1027" t="s">
        <v>318</v>
      </c>
      <c r="H1027" t="s">
        <v>111</v>
      </c>
      <c r="I1027" t="s">
        <v>319</v>
      </c>
      <c r="J1027" t="s">
        <v>175</v>
      </c>
      <c r="K1027" t="s">
        <v>5744</v>
      </c>
      <c r="L1027" t="s">
        <v>44</v>
      </c>
      <c r="M1027" t="s">
        <v>5745</v>
      </c>
      <c r="N1027">
        <v>34003</v>
      </c>
      <c r="O1027" t="s">
        <v>45</v>
      </c>
      <c r="P1027" t="s">
        <v>81</v>
      </c>
      <c r="Q1027" t="s">
        <v>55</v>
      </c>
      <c r="R1027">
        <v>2002</v>
      </c>
      <c r="S1027">
        <v>112.15</v>
      </c>
      <c r="T1027">
        <v>0</v>
      </c>
      <c r="U1027">
        <v>0</v>
      </c>
      <c r="V1027" t="s">
        <v>5746</v>
      </c>
      <c r="W1027">
        <v>124268929</v>
      </c>
      <c r="X1027" t="s">
        <v>49</v>
      </c>
      <c r="Y1027">
        <v>120931310168</v>
      </c>
      <c r="Z1027" t="b">
        <v>0</v>
      </c>
      <c r="AA1027">
        <v>534.99777084262143</v>
      </c>
      <c r="AN1027" t="e">
        <f>100*(1-E1027/AL1027)</f>
        <v>#DIV/0!</v>
      </c>
    </row>
    <row r="1028" spans="1:40" x14ac:dyDescent="0.3">
      <c r="A1028" t="s">
        <v>59</v>
      </c>
      <c r="B1028" t="s">
        <v>5887</v>
      </c>
      <c r="C1028" t="s">
        <v>5887</v>
      </c>
      <c r="D1028" s="4">
        <v>46008</v>
      </c>
      <c r="E1028">
        <v>78200</v>
      </c>
      <c r="F1028" t="s">
        <v>5888</v>
      </c>
      <c r="G1028" t="s">
        <v>425</v>
      </c>
      <c r="H1028" t="s">
        <v>230</v>
      </c>
      <c r="I1028" t="s">
        <v>426</v>
      </c>
      <c r="J1028" t="s">
        <v>426</v>
      </c>
      <c r="K1028" t="s">
        <v>5889</v>
      </c>
      <c r="L1028" t="s">
        <v>44</v>
      </c>
      <c r="M1028" t="s">
        <v>5890</v>
      </c>
      <c r="N1028">
        <v>67100</v>
      </c>
      <c r="O1028" t="s">
        <v>45</v>
      </c>
      <c r="P1028" t="s">
        <v>54</v>
      </c>
      <c r="Q1028" t="s">
        <v>100</v>
      </c>
      <c r="R1028">
        <v>2003</v>
      </c>
      <c r="S1028">
        <v>75.42</v>
      </c>
      <c r="T1028">
        <v>0</v>
      </c>
      <c r="U1028">
        <v>0</v>
      </c>
      <c r="V1028" t="s">
        <v>5891</v>
      </c>
      <c r="W1028" t="s">
        <v>5892</v>
      </c>
      <c r="X1028" t="s">
        <v>49</v>
      </c>
      <c r="Y1028" t="s">
        <v>5893</v>
      </c>
      <c r="Z1028" t="b">
        <v>0</v>
      </c>
      <c r="AA1028">
        <v>1036.860249270751</v>
      </c>
      <c r="AN1028" t="e">
        <f>100*(1-E1028/AL1028)</f>
        <v>#DIV/0!</v>
      </c>
    </row>
    <row r="1029" spans="1:40" x14ac:dyDescent="0.3">
      <c r="A1029" t="s">
        <v>166</v>
      </c>
      <c r="B1029" t="s">
        <v>6119</v>
      </c>
      <c r="C1029" t="s">
        <v>6119</v>
      </c>
      <c r="D1029" s="4">
        <v>46008</v>
      </c>
      <c r="E1029">
        <v>101000</v>
      </c>
      <c r="F1029" t="s">
        <v>5660</v>
      </c>
      <c r="G1029" t="s">
        <v>368</v>
      </c>
      <c r="H1029" t="s">
        <v>62</v>
      </c>
      <c r="I1029" t="s">
        <v>369</v>
      </c>
      <c r="J1029" t="s">
        <v>88</v>
      </c>
      <c r="K1029" t="s">
        <v>6120</v>
      </c>
      <c r="L1029" t="s">
        <v>44</v>
      </c>
      <c r="M1029" t="s">
        <v>6121</v>
      </c>
      <c r="N1029">
        <v>58002</v>
      </c>
      <c r="O1029" t="s">
        <v>45</v>
      </c>
      <c r="P1029" t="s">
        <v>288</v>
      </c>
      <c r="Q1029" t="s">
        <v>52</v>
      </c>
      <c r="R1029">
        <v>2005</v>
      </c>
      <c r="S1029">
        <v>114</v>
      </c>
      <c r="T1029">
        <v>0</v>
      </c>
      <c r="U1029">
        <v>0</v>
      </c>
      <c r="V1029" t="s">
        <v>6122</v>
      </c>
      <c r="W1029" t="s">
        <v>6123</v>
      </c>
      <c r="X1029" t="s">
        <v>49</v>
      </c>
      <c r="Y1029" t="s">
        <v>6124</v>
      </c>
      <c r="Z1029" t="b">
        <v>0</v>
      </c>
      <c r="AA1029">
        <v>885.96491228070181</v>
      </c>
      <c r="AN1029" t="e">
        <f>100*(1-E1029/AL1029)</f>
        <v>#DIV/0!</v>
      </c>
    </row>
    <row r="1030" spans="1:40" x14ac:dyDescent="0.3">
      <c r="A1030" t="s">
        <v>39</v>
      </c>
      <c r="B1030" t="s">
        <v>6125</v>
      </c>
      <c r="C1030" t="s">
        <v>6125</v>
      </c>
      <c r="D1030" s="4">
        <v>46008</v>
      </c>
      <c r="E1030">
        <v>386000</v>
      </c>
      <c r="F1030" t="s">
        <v>6126</v>
      </c>
      <c r="G1030" t="s">
        <v>4665</v>
      </c>
      <c r="H1030" t="s">
        <v>111</v>
      </c>
      <c r="I1030" t="s">
        <v>174</v>
      </c>
      <c r="J1030" t="s">
        <v>175</v>
      </c>
      <c r="K1030" t="s">
        <v>6127</v>
      </c>
      <c r="L1030" t="s">
        <v>44</v>
      </c>
      <c r="M1030" t="s">
        <v>6128</v>
      </c>
      <c r="N1030">
        <v>34100</v>
      </c>
      <c r="O1030" t="s">
        <v>45</v>
      </c>
      <c r="P1030" t="s">
        <v>81</v>
      </c>
      <c r="Q1030" t="s">
        <v>55</v>
      </c>
      <c r="R1030">
        <v>2005</v>
      </c>
      <c r="S1030">
        <v>223.59</v>
      </c>
      <c r="T1030">
        <v>0</v>
      </c>
      <c r="U1030">
        <v>0</v>
      </c>
      <c r="V1030" t="s">
        <v>6129</v>
      </c>
      <c r="W1030">
        <v>44302442</v>
      </c>
      <c r="X1030" t="s">
        <v>86</v>
      </c>
      <c r="Y1030" t="s">
        <v>6130</v>
      </c>
      <c r="Z1030" t="b">
        <v>0</v>
      </c>
      <c r="AA1030">
        <v>1726.374167002102</v>
      </c>
      <c r="AN1030" t="e">
        <f>100*(1-E1030/AL1030)</f>
        <v>#DIV/0!</v>
      </c>
    </row>
    <row r="1031" spans="1:40" x14ac:dyDescent="0.3">
      <c r="A1031" t="s">
        <v>59</v>
      </c>
      <c r="B1031" t="s">
        <v>6131</v>
      </c>
      <c r="C1031" t="s">
        <v>6132</v>
      </c>
      <c r="D1031" s="4">
        <v>46008</v>
      </c>
      <c r="E1031">
        <v>17000</v>
      </c>
      <c r="F1031" t="s">
        <v>329</v>
      </c>
      <c r="G1031" t="s">
        <v>330</v>
      </c>
      <c r="H1031" t="s">
        <v>102</v>
      </c>
      <c r="I1031" t="s">
        <v>224</v>
      </c>
      <c r="J1031" t="s">
        <v>224</v>
      </c>
      <c r="K1031" t="s">
        <v>6133</v>
      </c>
      <c r="L1031" t="s">
        <v>44</v>
      </c>
      <c r="M1031" t="s">
        <v>6134</v>
      </c>
      <c r="N1031">
        <v>53100</v>
      </c>
      <c r="O1031" t="s">
        <v>45</v>
      </c>
      <c r="P1031" t="s">
        <v>54</v>
      </c>
      <c r="Q1031" t="s">
        <v>55</v>
      </c>
      <c r="R1031">
        <v>2005</v>
      </c>
      <c r="S1031">
        <v>24.56</v>
      </c>
      <c r="T1031">
        <v>0</v>
      </c>
      <c r="U1031">
        <v>0</v>
      </c>
      <c r="V1031" t="s">
        <v>6135</v>
      </c>
      <c r="W1031">
        <v>28763443</v>
      </c>
      <c r="X1031" t="s">
        <v>49</v>
      </c>
      <c r="Y1031" t="s">
        <v>6136</v>
      </c>
      <c r="Z1031" t="b">
        <v>0</v>
      </c>
      <c r="AA1031">
        <v>692.18241042345278</v>
      </c>
      <c r="AN1031" t="e">
        <f>100*(1-E1031/AL1031)</f>
        <v>#DIV/0!</v>
      </c>
    </row>
    <row r="1032" spans="1:40" x14ac:dyDescent="0.3">
      <c r="A1032" t="s">
        <v>59</v>
      </c>
      <c r="B1032" t="s">
        <v>6137</v>
      </c>
      <c r="C1032" t="s">
        <v>6132</v>
      </c>
      <c r="D1032" s="4">
        <v>46008</v>
      </c>
      <c r="E1032">
        <v>30000</v>
      </c>
      <c r="F1032" t="s">
        <v>3163</v>
      </c>
      <c r="G1032" t="s">
        <v>330</v>
      </c>
      <c r="H1032" t="s">
        <v>102</v>
      </c>
      <c r="I1032" t="s">
        <v>224</v>
      </c>
      <c r="J1032" t="s">
        <v>224</v>
      </c>
      <c r="K1032" t="s">
        <v>6133</v>
      </c>
      <c r="L1032" t="s">
        <v>44</v>
      </c>
      <c r="M1032" t="s">
        <v>6134</v>
      </c>
      <c r="N1032">
        <v>53100</v>
      </c>
      <c r="O1032" t="s">
        <v>45</v>
      </c>
      <c r="P1032" t="s">
        <v>54</v>
      </c>
      <c r="Q1032" t="s">
        <v>55</v>
      </c>
      <c r="R1032">
        <v>2005</v>
      </c>
      <c r="S1032">
        <v>35.450000000000003</v>
      </c>
      <c r="T1032">
        <v>0</v>
      </c>
      <c r="U1032">
        <v>0</v>
      </c>
      <c r="V1032" t="s">
        <v>6135</v>
      </c>
      <c r="W1032">
        <v>28763443</v>
      </c>
      <c r="X1032" t="s">
        <v>49</v>
      </c>
      <c r="Y1032" t="s">
        <v>6138</v>
      </c>
      <c r="Z1032" t="b">
        <v>0</v>
      </c>
      <c r="AA1032">
        <v>846.26234132581089</v>
      </c>
      <c r="AN1032" t="e">
        <f>100*(1-E1032/AL1032)</f>
        <v>#DIV/0!</v>
      </c>
    </row>
    <row r="1033" spans="1:40" x14ac:dyDescent="0.3">
      <c r="A1033" t="s">
        <v>59</v>
      </c>
      <c r="B1033" t="s">
        <v>6139</v>
      </c>
      <c r="C1033" t="s">
        <v>6132</v>
      </c>
      <c r="D1033" s="4">
        <v>46008</v>
      </c>
      <c r="E1033">
        <v>30000</v>
      </c>
      <c r="F1033" t="s">
        <v>4184</v>
      </c>
      <c r="G1033" t="s">
        <v>330</v>
      </c>
      <c r="H1033" t="s">
        <v>102</v>
      </c>
      <c r="I1033" t="s">
        <v>224</v>
      </c>
      <c r="J1033" t="s">
        <v>224</v>
      </c>
      <c r="K1033" t="s">
        <v>6133</v>
      </c>
      <c r="L1033" t="s">
        <v>44</v>
      </c>
      <c r="M1033" t="s">
        <v>6134</v>
      </c>
      <c r="N1033">
        <v>53100</v>
      </c>
      <c r="O1033" t="s">
        <v>45</v>
      </c>
      <c r="P1033" t="s">
        <v>54</v>
      </c>
      <c r="Q1033" t="s">
        <v>55</v>
      </c>
      <c r="R1033">
        <v>2005</v>
      </c>
      <c r="S1033">
        <v>35.86</v>
      </c>
      <c r="T1033">
        <v>0</v>
      </c>
      <c r="U1033">
        <v>0</v>
      </c>
      <c r="V1033" t="s">
        <v>6135</v>
      </c>
      <c r="W1033">
        <v>28763443</v>
      </c>
      <c r="X1033" t="s">
        <v>49</v>
      </c>
      <c r="Y1033" t="s">
        <v>6140</v>
      </c>
      <c r="Z1033" t="b">
        <v>0</v>
      </c>
      <c r="AA1033">
        <v>836.58672615727835</v>
      </c>
      <c r="AN1033" t="e">
        <f>100*(1-E1033/AL1033)</f>
        <v>#DIV/0!</v>
      </c>
    </row>
    <row r="1034" spans="1:40" x14ac:dyDescent="0.3">
      <c r="A1034" t="s">
        <v>59</v>
      </c>
      <c r="B1034" t="s">
        <v>6141</v>
      </c>
      <c r="C1034" t="s">
        <v>6132</v>
      </c>
      <c r="D1034" s="4">
        <v>46008</v>
      </c>
      <c r="E1034">
        <v>20000</v>
      </c>
      <c r="F1034" t="s">
        <v>5773</v>
      </c>
      <c r="G1034" t="s">
        <v>330</v>
      </c>
      <c r="H1034" t="s">
        <v>102</v>
      </c>
      <c r="I1034" t="s">
        <v>224</v>
      </c>
      <c r="J1034" t="s">
        <v>224</v>
      </c>
      <c r="K1034" t="s">
        <v>6133</v>
      </c>
      <c r="L1034" t="s">
        <v>44</v>
      </c>
      <c r="M1034" t="s">
        <v>6134</v>
      </c>
      <c r="N1034">
        <v>53100</v>
      </c>
      <c r="O1034" t="s">
        <v>45</v>
      </c>
      <c r="P1034" t="s">
        <v>54</v>
      </c>
      <c r="Q1034" t="s">
        <v>55</v>
      </c>
      <c r="R1034">
        <v>2005</v>
      </c>
      <c r="S1034">
        <v>24.37</v>
      </c>
      <c r="T1034">
        <v>0</v>
      </c>
      <c r="U1034">
        <v>0</v>
      </c>
      <c r="V1034" t="s">
        <v>6135</v>
      </c>
      <c r="W1034">
        <v>28763443</v>
      </c>
      <c r="X1034" t="s">
        <v>49</v>
      </c>
      <c r="Y1034" t="s">
        <v>6142</v>
      </c>
      <c r="Z1034" t="b">
        <v>0</v>
      </c>
      <c r="AA1034">
        <v>820.68116536725483</v>
      </c>
      <c r="AN1034" t="e">
        <f>100*(1-E1034/AL1034)</f>
        <v>#DIV/0!</v>
      </c>
    </row>
    <row r="1035" spans="1:40" x14ac:dyDescent="0.3">
      <c r="A1035" t="s">
        <v>59</v>
      </c>
      <c r="B1035" t="s">
        <v>6143</v>
      </c>
      <c r="C1035" t="s">
        <v>6143</v>
      </c>
      <c r="D1035" s="4">
        <v>46008</v>
      </c>
      <c r="E1035">
        <v>62000</v>
      </c>
      <c r="F1035" t="s">
        <v>337</v>
      </c>
      <c r="G1035" t="s">
        <v>6144</v>
      </c>
      <c r="H1035" t="s">
        <v>156</v>
      </c>
      <c r="I1035" t="s">
        <v>6145</v>
      </c>
      <c r="J1035" t="s">
        <v>322</v>
      </c>
      <c r="K1035" t="s">
        <v>6146</v>
      </c>
      <c r="L1035" t="s">
        <v>44</v>
      </c>
      <c r="M1035" t="s">
        <v>6147</v>
      </c>
      <c r="N1035">
        <v>28300</v>
      </c>
      <c r="O1035" t="s">
        <v>45</v>
      </c>
      <c r="P1035" t="s">
        <v>54</v>
      </c>
      <c r="Q1035" t="s">
        <v>52</v>
      </c>
      <c r="R1035">
        <v>2005</v>
      </c>
      <c r="S1035">
        <v>42.33</v>
      </c>
      <c r="T1035">
        <v>0</v>
      </c>
      <c r="U1035">
        <v>0</v>
      </c>
      <c r="V1035" t="s">
        <v>6148</v>
      </c>
      <c r="W1035">
        <v>37751208</v>
      </c>
      <c r="X1035" t="s">
        <v>49</v>
      </c>
      <c r="Y1035">
        <v>0</v>
      </c>
      <c r="Z1035" t="b">
        <v>0</v>
      </c>
      <c r="AA1035">
        <v>1464.6822584455469</v>
      </c>
      <c r="AN1035" t="e">
        <f>100*(1-E1035/AL1035)</f>
        <v>#DIV/0!</v>
      </c>
    </row>
    <row r="1036" spans="1:40" x14ac:dyDescent="0.3">
      <c r="A1036" t="s">
        <v>71</v>
      </c>
      <c r="B1036" t="s">
        <v>6250</v>
      </c>
      <c r="C1036" t="s">
        <v>6250</v>
      </c>
      <c r="D1036" s="4">
        <v>46008</v>
      </c>
      <c r="E1036">
        <v>213300</v>
      </c>
      <c r="F1036" t="s">
        <v>6251</v>
      </c>
      <c r="G1036" t="s">
        <v>433</v>
      </c>
      <c r="H1036" t="s">
        <v>94</v>
      </c>
      <c r="I1036" t="s">
        <v>434</v>
      </c>
      <c r="J1036" t="s">
        <v>96</v>
      </c>
      <c r="K1036" t="s">
        <v>6252</v>
      </c>
      <c r="L1036" t="s">
        <v>44</v>
      </c>
      <c r="M1036" t="s">
        <v>4193</v>
      </c>
      <c r="N1036">
        <v>70100</v>
      </c>
      <c r="O1036" t="s">
        <v>45</v>
      </c>
      <c r="P1036" t="s">
        <v>81</v>
      </c>
      <c r="Q1036" t="s">
        <v>55</v>
      </c>
      <c r="R1036">
        <v>2006</v>
      </c>
      <c r="S1036">
        <v>265.5</v>
      </c>
      <c r="T1036">
        <v>0</v>
      </c>
      <c r="U1036">
        <v>0</v>
      </c>
      <c r="V1036" t="s">
        <v>6253</v>
      </c>
      <c r="W1036">
        <v>37446933</v>
      </c>
      <c r="X1036" t="s">
        <v>86</v>
      </c>
      <c r="Y1036">
        <v>171165319036</v>
      </c>
      <c r="Z1036" t="b">
        <v>0</v>
      </c>
      <c r="AA1036">
        <v>803.38983050847457</v>
      </c>
      <c r="AN1036" t="e">
        <f>100*(1-E1036/AL1036)</f>
        <v>#DIV/0!</v>
      </c>
    </row>
    <row r="1037" spans="1:40" x14ac:dyDescent="0.3">
      <c r="A1037" t="s">
        <v>166</v>
      </c>
      <c r="B1037" t="s">
        <v>6254</v>
      </c>
      <c r="C1037" t="s">
        <v>6254</v>
      </c>
      <c r="D1037" s="4">
        <v>46008</v>
      </c>
      <c r="E1037">
        <v>415000</v>
      </c>
      <c r="F1037" t="s">
        <v>6255</v>
      </c>
      <c r="G1037" t="s">
        <v>404</v>
      </c>
      <c r="H1037" t="s">
        <v>124</v>
      </c>
      <c r="I1037" t="s">
        <v>405</v>
      </c>
      <c r="J1037" t="s">
        <v>126</v>
      </c>
      <c r="K1037" t="s">
        <v>6256</v>
      </c>
      <c r="L1037" t="s">
        <v>44</v>
      </c>
      <c r="M1037" t="s">
        <v>6257</v>
      </c>
      <c r="N1037">
        <v>26443</v>
      </c>
      <c r="O1037" t="s">
        <v>45</v>
      </c>
      <c r="P1037" t="s">
        <v>81</v>
      </c>
      <c r="Q1037" t="s">
        <v>55</v>
      </c>
      <c r="R1037">
        <v>2006</v>
      </c>
      <c r="S1037">
        <v>505.36</v>
      </c>
      <c r="T1037">
        <v>0</v>
      </c>
      <c r="U1037">
        <v>0</v>
      </c>
      <c r="V1037" t="s">
        <v>6258</v>
      </c>
      <c r="W1037">
        <v>999101966</v>
      </c>
      <c r="X1037" t="s">
        <v>49</v>
      </c>
      <c r="Y1037" t="s">
        <v>6259</v>
      </c>
      <c r="Z1037" t="b">
        <v>0</v>
      </c>
      <c r="AA1037">
        <v>821.19677061896471</v>
      </c>
      <c r="AN1037" t="e">
        <f>100*(1-E1037/AL1037)</f>
        <v>#DIV/0!</v>
      </c>
    </row>
    <row r="1038" spans="1:40" x14ac:dyDescent="0.3">
      <c r="A1038" t="s">
        <v>183</v>
      </c>
      <c r="B1038" t="s">
        <v>6260</v>
      </c>
      <c r="C1038" t="s">
        <v>6260</v>
      </c>
      <c r="D1038" s="4">
        <v>46008</v>
      </c>
      <c r="E1038">
        <v>254000</v>
      </c>
      <c r="F1038" t="s">
        <v>6261</v>
      </c>
      <c r="G1038" t="s">
        <v>6262</v>
      </c>
      <c r="H1038" t="s">
        <v>152</v>
      </c>
      <c r="I1038" t="s">
        <v>277</v>
      </c>
      <c r="J1038" t="s">
        <v>221</v>
      </c>
      <c r="K1038" t="s">
        <v>6263</v>
      </c>
      <c r="L1038" t="s">
        <v>44</v>
      </c>
      <c r="M1038" t="s">
        <v>6264</v>
      </c>
      <c r="N1038">
        <v>20007</v>
      </c>
      <c r="O1038" t="s">
        <v>45</v>
      </c>
      <c r="P1038" t="s">
        <v>288</v>
      </c>
      <c r="Q1038" t="s">
        <v>55</v>
      </c>
      <c r="R1038">
        <v>2006</v>
      </c>
      <c r="S1038">
        <v>227.07</v>
      </c>
      <c r="T1038">
        <v>0</v>
      </c>
      <c r="U1038">
        <v>0</v>
      </c>
      <c r="V1038" t="s">
        <v>6265</v>
      </c>
      <c r="W1038">
        <v>42506480</v>
      </c>
      <c r="X1038" t="s">
        <v>49</v>
      </c>
      <c r="Y1038" t="s">
        <v>6266</v>
      </c>
      <c r="Z1038" t="b">
        <v>0</v>
      </c>
      <c r="AA1038">
        <v>1118.5977892279909</v>
      </c>
      <c r="AN1038" t="e">
        <f>100*(1-E1038/AL1038)</f>
        <v>#DIV/0!</v>
      </c>
    </row>
    <row r="1039" spans="1:40" x14ac:dyDescent="0.3">
      <c r="A1039" t="s">
        <v>71</v>
      </c>
      <c r="B1039" t="s">
        <v>6267</v>
      </c>
      <c r="C1039" t="s">
        <v>6267</v>
      </c>
      <c r="D1039" s="4">
        <v>46008</v>
      </c>
      <c r="E1039">
        <v>64277</v>
      </c>
      <c r="F1039" t="s">
        <v>162</v>
      </c>
      <c r="G1039" t="s">
        <v>4034</v>
      </c>
      <c r="H1039" t="s">
        <v>62</v>
      </c>
      <c r="I1039" t="s">
        <v>127</v>
      </c>
      <c r="J1039" t="s">
        <v>63</v>
      </c>
      <c r="K1039" t="s">
        <v>6268</v>
      </c>
      <c r="L1039" t="s">
        <v>44</v>
      </c>
      <c r="M1039" t="s">
        <v>6269</v>
      </c>
      <c r="N1039">
        <v>57003</v>
      </c>
      <c r="O1039" t="s">
        <v>45</v>
      </c>
      <c r="P1039" t="s">
        <v>54</v>
      </c>
      <c r="Q1039" t="s">
        <v>55</v>
      </c>
      <c r="R1039">
        <v>2006</v>
      </c>
      <c r="S1039">
        <v>70.92</v>
      </c>
      <c r="T1039">
        <v>0</v>
      </c>
      <c r="U1039">
        <v>0</v>
      </c>
      <c r="V1039" t="s">
        <v>6270</v>
      </c>
      <c r="W1039">
        <v>28624142</v>
      </c>
      <c r="X1039" t="s">
        <v>86</v>
      </c>
      <c r="Y1039" t="s">
        <v>6271</v>
      </c>
      <c r="Z1039" t="b">
        <v>0</v>
      </c>
      <c r="AA1039">
        <v>906.33107727016352</v>
      </c>
      <c r="AN1039" t="e">
        <f>100*(1-E1039/AL1039)</f>
        <v>#DIV/0!</v>
      </c>
    </row>
    <row r="1040" spans="1:40" x14ac:dyDescent="0.3">
      <c r="A1040" t="s">
        <v>71</v>
      </c>
      <c r="B1040" t="s">
        <v>6267</v>
      </c>
      <c r="C1040" t="s">
        <v>6267</v>
      </c>
      <c r="D1040" s="4">
        <v>46008</v>
      </c>
      <c r="E1040">
        <v>64277</v>
      </c>
      <c r="F1040" t="s">
        <v>162</v>
      </c>
      <c r="G1040" t="s">
        <v>4034</v>
      </c>
      <c r="H1040" t="s">
        <v>62</v>
      </c>
      <c r="I1040" t="s">
        <v>127</v>
      </c>
      <c r="J1040" t="s">
        <v>63</v>
      </c>
      <c r="K1040" t="s">
        <v>6268</v>
      </c>
      <c r="L1040" t="s">
        <v>44</v>
      </c>
      <c r="M1040" t="s">
        <v>6269</v>
      </c>
      <c r="N1040">
        <v>57003</v>
      </c>
      <c r="O1040" t="s">
        <v>45</v>
      </c>
      <c r="P1040" t="s">
        <v>54</v>
      </c>
      <c r="Q1040" t="s">
        <v>55</v>
      </c>
      <c r="R1040">
        <v>2006</v>
      </c>
      <c r="S1040">
        <v>70.92</v>
      </c>
      <c r="T1040">
        <v>0</v>
      </c>
      <c r="U1040">
        <v>0</v>
      </c>
      <c r="V1040" t="s">
        <v>6270</v>
      </c>
      <c r="W1040">
        <v>28624142</v>
      </c>
      <c r="X1040" t="s">
        <v>86</v>
      </c>
      <c r="Y1040" t="s">
        <v>6271</v>
      </c>
      <c r="Z1040" t="b">
        <v>0</v>
      </c>
      <c r="AA1040">
        <v>906.33107727016352</v>
      </c>
      <c r="AN1040" t="e">
        <f>100*(1-E1040/AL1040)</f>
        <v>#DIV/0!</v>
      </c>
    </row>
    <row r="1041" spans="1:40" x14ac:dyDescent="0.3">
      <c r="A1041" t="s">
        <v>59</v>
      </c>
      <c r="B1041" t="s">
        <v>6272</v>
      </c>
      <c r="C1041" t="s">
        <v>2688</v>
      </c>
      <c r="D1041" s="4">
        <v>46008</v>
      </c>
      <c r="E1041">
        <v>42000</v>
      </c>
      <c r="F1041" t="s">
        <v>114</v>
      </c>
      <c r="G1041" t="s">
        <v>2690</v>
      </c>
      <c r="H1041" t="s">
        <v>111</v>
      </c>
      <c r="I1041" t="s">
        <v>1575</v>
      </c>
      <c r="J1041" t="s">
        <v>165</v>
      </c>
      <c r="K1041" t="s">
        <v>2691</v>
      </c>
      <c r="L1041" t="s">
        <v>44</v>
      </c>
      <c r="M1041" t="s">
        <v>2690</v>
      </c>
      <c r="N1041">
        <v>32009</v>
      </c>
      <c r="O1041" t="s">
        <v>45</v>
      </c>
      <c r="P1041" t="s">
        <v>54</v>
      </c>
      <c r="Q1041" t="s">
        <v>55</v>
      </c>
      <c r="R1041">
        <v>2006</v>
      </c>
      <c r="S1041">
        <v>75.239999999999995</v>
      </c>
      <c r="T1041">
        <v>0</v>
      </c>
      <c r="U1041">
        <v>0</v>
      </c>
      <c r="V1041" t="s">
        <v>2692</v>
      </c>
      <c r="W1041">
        <v>72618220</v>
      </c>
      <c r="X1041" t="s">
        <v>49</v>
      </c>
      <c r="Y1041" t="s">
        <v>6273</v>
      </c>
      <c r="Z1041" t="b">
        <v>0</v>
      </c>
      <c r="AA1041">
        <v>558.21371610845301</v>
      </c>
      <c r="AN1041" t="e">
        <f>100*(1-E1041/AL1041)</f>
        <v>#DIV/0!</v>
      </c>
    </row>
    <row r="1042" spans="1:40" x14ac:dyDescent="0.3">
      <c r="A1042" t="s">
        <v>59</v>
      </c>
      <c r="B1042" t="s">
        <v>6489</v>
      </c>
      <c r="C1042" t="s">
        <v>6489</v>
      </c>
      <c r="D1042" s="4">
        <v>46008</v>
      </c>
      <c r="E1042">
        <v>108575</v>
      </c>
      <c r="F1042" t="s">
        <v>6490</v>
      </c>
      <c r="G1042" t="s">
        <v>1174</v>
      </c>
      <c r="H1042" t="s">
        <v>94</v>
      </c>
      <c r="I1042" t="s">
        <v>448</v>
      </c>
      <c r="J1042" t="s">
        <v>449</v>
      </c>
      <c r="K1042" t="s">
        <v>6491</v>
      </c>
      <c r="L1042" t="s">
        <v>80</v>
      </c>
      <c r="M1042" t="s">
        <v>1176</v>
      </c>
      <c r="N1042">
        <v>74051</v>
      </c>
      <c r="O1042" t="s">
        <v>45</v>
      </c>
      <c r="P1042" t="s">
        <v>81</v>
      </c>
      <c r="Q1042" t="s">
        <v>52</v>
      </c>
      <c r="R1042">
        <v>2008</v>
      </c>
      <c r="S1042">
        <v>212</v>
      </c>
      <c r="T1042">
        <v>0</v>
      </c>
      <c r="U1042">
        <v>0</v>
      </c>
      <c r="V1042" t="s">
        <v>6492</v>
      </c>
      <c r="W1042">
        <v>120015425</v>
      </c>
      <c r="X1042" t="s">
        <v>86</v>
      </c>
      <c r="Y1042">
        <v>0</v>
      </c>
      <c r="Z1042" t="b">
        <v>0</v>
      </c>
      <c r="AA1042">
        <v>512.14622641509436</v>
      </c>
      <c r="AN1042" t="e">
        <f>100*(1-E1042/AL1042)</f>
        <v>#DIV/0!</v>
      </c>
    </row>
    <row r="1043" spans="1:40" x14ac:dyDescent="0.3">
      <c r="A1043" t="s">
        <v>215</v>
      </c>
      <c r="B1043" t="s">
        <v>6541</v>
      </c>
      <c r="C1043" t="s">
        <v>6541</v>
      </c>
      <c r="D1043" s="4">
        <v>46008</v>
      </c>
      <c r="E1043">
        <v>298000</v>
      </c>
      <c r="F1043" t="s">
        <v>6542</v>
      </c>
      <c r="G1043" t="s">
        <v>104</v>
      </c>
      <c r="H1043" t="s">
        <v>94</v>
      </c>
      <c r="I1043" t="s">
        <v>105</v>
      </c>
      <c r="J1043" t="s">
        <v>105</v>
      </c>
      <c r="K1043" t="s">
        <v>6543</v>
      </c>
      <c r="L1043" t="s">
        <v>44</v>
      </c>
      <c r="M1043" t="s">
        <v>6544</v>
      </c>
      <c r="N1043">
        <v>73136</v>
      </c>
      <c r="O1043" t="s">
        <v>45</v>
      </c>
      <c r="P1043" t="s">
        <v>182</v>
      </c>
      <c r="Q1043" t="s">
        <v>85</v>
      </c>
      <c r="R1043">
        <v>2009</v>
      </c>
      <c r="S1043">
        <v>597.6</v>
      </c>
      <c r="T1043">
        <v>0</v>
      </c>
      <c r="U1043">
        <v>0</v>
      </c>
      <c r="V1043" t="s">
        <v>6545</v>
      </c>
      <c r="W1043">
        <v>28437072</v>
      </c>
      <c r="X1043" t="s">
        <v>49</v>
      </c>
      <c r="Y1043" t="s">
        <v>6546</v>
      </c>
      <c r="Z1043" t="b">
        <v>0</v>
      </c>
      <c r="AA1043">
        <v>498.66131191432402</v>
      </c>
      <c r="AN1043" t="e">
        <f>100*(1-E1043/AL1043)</f>
        <v>#DIV/0!</v>
      </c>
    </row>
    <row r="1044" spans="1:40" x14ac:dyDescent="0.3">
      <c r="A1044" t="s">
        <v>215</v>
      </c>
      <c r="B1044" t="s">
        <v>6547</v>
      </c>
      <c r="C1044" t="s">
        <v>6547</v>
      </c>
      <c r="D1044" s="4">
        <v>46008</v>
      </c>
      <c r="E1044">
        <v>106000</v>
      </c>
      <c r="F1044" t="s">
        <v>3627</v>
      </c>
      <c r="G1044" t="s">
        <v>2661</v>
      </c>
      <c r="H1044" t="s">
        <v>94</v>
      </c>
      <c r="I1044" t="s">
        <v>105</v>
      </c>
      <c r="J1044" t="s">
        <v>105</v>
      </c>
      <c r="K1044" t="s">
        <v>6548</v>
      </c>
      <c r="L1044" t="s">
        <v>44</v>
      </c>
      <c r="M1044" t="s">
        <v>6549</v>
      </c>
      <c r="N1044">
        <v>73100</v>
      </c>
      <c r="O1044" t="s">
        <v>45</v>
      </c>
      <c r="P1044" t="s">
        <v>81</v>
      </c>
      <c r="Q1044" t="s">
        <v>52</v>
      </c>
      <c r="R1044">
        <v>2009</v>
      </c>
      <c r="S1044">
        <v>64.22</v>
      </c>
      <c r="T1044">
        <v>0</v>
      </c>
      <c r="U1044">
        <v>0</v>
      </c>
      <c r="V1044" t="s">
        <v>6550</v>
      </c>
      <c r="W1044">
        <v>38410971</v>
      </c>
      <c r="X1044" t="s">
        <v>49</v>
      </c>
      <c r="Y1044" t="s">
        <v>6551</v>
      </c>
      <c r="Z1044" t="b">
        <v>0</v>
      </c>
      <c r="AA1044">
        <v>1650.5761445032699</v>
      </c>
      <c r="AN1044" t="e">
        <f>100*(1-E1044/AL1044)</f>
        <v>#DIV/0!</v>
      </c>
    </row>
    <row r="1045" spans="1:40" x14ac:dyDescent="0.3">
      <c r="A1045" t="s">
        <v>71</v>
      </c>
      <c r="B1045" t="s">
        <v>6656</v>
      </c>
      <c r="C1045" t="s">
        <v>6656</v>
      </c>
      <c r="D1045" s="4">
        <v>46008</v>
      </c>
      <c r="E1045">
        <v>601000</v>
      </c>
      <c r="F1045" t="s">
        <v>6657</v>
      </c>
      <c r="G1045" t="s">
        <v>459</v>
      </c>
      <c r="H1045" t="s">
        <v>94</v>
      </c>
      <c r="I1045" t="s">
        <v>460</v>
      </c>
      <c r="J1045" t="s">
        <v>449</v>
      </c>
      <c r="K1045" t="s">
        <v>6658</v>
      </c>
      <c r="L1045" t="s">
        <v>44</v>
      </c>
      <c r="M1045" t="s">
        <v>6659</v>
      </c>
      <c r="N1045">
        <v>74100</v>
      </c>
      <c r="O1045" t="s">
        <v>50</v>
      </c>
      <c r="P1045" t="s">
        <v>186</v>
      </c>
      <c r="Q1045">
        <v>0</v>
      </c>
      <c r="R1045">
        <v>2020</v>
      </c>
      <c r="S1045">
        <v>0</v>
      </c>
      <c r="T1045">
        <v>0</v>
      </c>
      <c r="U1045">
        <v>0</v>
      </c>
      <c r="V1045" t="s">
        <v>6660</v>
      </c>
      <c r="W1045">
        <v>45956080</v>
      </c>
      <c r="X1045" t="s">
        <v>86</v>
      </c>
      <c r="Y1045" t="s">
        <v>6661</v>
      </c>
      <c r="Z1045" t="b">
        <v>0</v>
      </c>
      <c r="AA1045" t="s">
        <v>58</v>
      </c>
      <c r="AN1045" t="e">
        <f>100*(1-E1045/AL1045)</f>
        <v>#DIV/0!</v>
      </c>
    </row>
    <row r="1046" spans="1:40" x14ac:dyDescent="0.3">
      <c r="A1046" t="s">
        <v>71</v>
      </c>
      <c r="B1046" t="s">
        <v>6656</v>
      </c>
      <c r="C1046" t="s">
        <v>6656</v>
      </c>
      <c r="D1046" s="4">
        <v>46008</v>
      </c>
      <c r="E1046">
        <v>601000</v>
      </c>
      <c r="F1046" t="s">
        <v>6657</v>
      </c>
      <c r="G1046" t="s">
        <v>459</v>
      </c>
      <c r="H1046" t="s">
        <v>94</v>
      </c>
      <c r="I1046" t="s">
        <v>460</v>
      </c>
      <c r="J1046" t="s">
        <v>449</v>
      </c>
      <c r="K1046" t="s">
        <v>6658</v>
      </c>
      <c r="L1046" t="s">
        <v>44</v>
      </c>
      <c r="M1046" t="s">
        <v>6659</v>
      </c>
      <c r="N1046">
        <v>74100</v>
      </c>
      <c r="O1046" t="s">
        <v>50</v>
      </c>
      <c r="P1046" t="s">
        <v>186</v>
      </c>
      <c r="Q1046">
        <v>0</v>
      </c>
      <c r="R1046">
        <v>2020</v>
      </c>
      <c r="S1046">
        <v>0</v>
      </c>
      <c r="T1046">
        <v>0</v>
      </c>
      <c r="U1046">
        <v>0</v>
      </c>
      <c r="V1046" t="s">
        <v>6660</v>
      </c>
      <c r="W1046">
        <v>45956080</v>
      </c>
      <c r="X1046" t="s">
        <v>86</v>
      </c>
      <c r="Y1046" t="s">
        <v>6661</v>
      </c>
      <c r="Z1046" t="b">
        <v>0</v>
      </c>
      <c r="AA1046" t="s">
        <v>58</v>
      </c>
      <c r="AN1046" t="e">
        <f>100*(1-E1046/AL1046)</f>
        <v>#DIV/0!</v>
      </c>
    </row>
    <row r="1047" spans="1:40" x14ac:dyDescent="0.3">
      <c r="A1047" t="s">
        <v>71</v>
      </c>
      <c r="B1047" t="s">
        <v>6656</v>
      </c>
      <c r="C1047" t="s">
        <v>6656</v>
      </c>
      <c r="D1047" s="4">
        <v>46008</v>
      </c>
      <c r="E1047">
        <v>601000</v>
      </c>
      <c r="F1047" t="s">
        <v>6657</v>
      </c>
      <c r="G1047" t="s">
        <v>459</v>
      </c>
      <c r="H1047" t="s">
        <v>94</v>
      </c>
      <c r="I1047" t="s">
        <v>460</v>
      </c>
      <c r="J1047" t="s">
        <v>449</v>
      </c>
      <c r="K1047" t="s">
        <v>6658</v>
      </c>
      <c r="L1047" t="s">
        <v>44</v>
      </c>
      <c r="M1047" t="s">
        <v>6659</v>
      </c>
      <c r="N1047">
        <v>74100</v>
      </c>
      <c r="O1047" t="s">
        <v>50</v>
      </c>
      <c r="P1047" t="s">
        <v>186</v>
      </c>
      <c r="Q1047">
        <v>0</v>
      </c>
      <c r="R1047">
        <v>2020</v>
      </c>
      <c r="S1047">
        <v>0</v>
      </c>
      <c r="T1047">
        <v>0</v>
      </c>
      <c r="U1047">
        <v>0</v>
      </c>
      <c r="V1047" t="s">
        <v>6660</v>
      </c>
      <c r="W1047">
        <v>45956080</v>
      </c>
      <c r="X1047" t="s">
        <v>86</v>
      </c>
      <c r="Y1047" t="s">
        <v>6661</v>
      </c>
      <c r="Z1047" t="b">
        <v>0</v>
      </c>
      <c r="AA1047" t="s">
        <v>58</v>
      </c>
      <c r="AN1047" t="e">
        <f>100*(1-E1047/AL1047)</f>
        <v>#DIV/0!</v>
      </c>
    </row>
    <row r="1048" spans="1:40" x14ac:dyDescent="0.3">
      <c r="A1048" t="s">
        <v>166</v>
      </c>
      <c r="B1048" t="s">
        <v>2860</v>
      </c>
      <c r="C1048" t="s">
        <v>2860</v>
      </c>
      <c r="D1048" s="4">
        <v>46009</v>
      </c>
      <c r="E1048">
        <v>17000</v>
      </c>
      <c r="F1048" t="s">
        <v>2861</v>
      </c>
      <c r="G1048" t="s">
        <v>173</v>
      </c>
      <c r="H1048" t="s">
        <v>111</v>
      </c>
      <c r="I1048" t="s">
        <v>174</v>
      </c>
      <c r="J1048" t="s">
        <v>175</v>
      </c>
      <c r="K1048" t="s">
        <v>2862</v>
      </c>
      <c r="L1048" t="s">
        <v>44</v>
      </c>
      <c r="M1048" t="s">
        <v>2863</v>
      </c>
      <c r="N1048">
        <v>34100</v>
      </c>
      <c r="O1048" t="s">
        <v>97</v>
      </c>
      <c r="P1048" t="s">
        <v>98</v>
      </c>
      <c r="Q1048">
        <v>0</v>
      </c>
      <c r="R1048">
        <v>0</v>
      </c>
      <c r="S1048">
        <v>35.06</v>
      </c>
      <c r="T1048">
        <v>0</v>
      </c>
      <c r="U1048">
        <v>0</v>
      </c>
      <c r="V1048" t="s">
        <v>2864</v>
      </c>
      <c r="W1048">
        <v>35871850</v>
      </c>
      <c r="X1048" t="s">
        <v>86</v>
      </c>
      <c r="Y1048" t="s">
        <v>2865</v>
      </c>
      <c r="Z1048" t="b">
        <v>0</v>
      </c>
      <c r="AA1048">
        <v>484.88305761551618</v>
      </c>
      <c r="AN1048" t="e">
        <f>100*(1-E1048/AL1048)</f>
        <v>#DIV/0!</v>
      </c>
    </row>
    <row r="1049" spans="1:40" x14ac:dyDescent="0.3">
      <c r="A1049" t="s">
        <v>166</v>
      </c>
      <c r="B1049" t="s">
        <v>2860</v>
      </c>
      <c r="C1049" t="s">
        <v>2860</v>
      </c>
      <c r="D1049" s="4">
        <v>46009</v>
      </c>
      <c r="E1049">
        <v>17000</v>
      </c>
      <c r="F1049" t="s">
        <v>2861</v>
      </c>
      <c r="G1049" t="s">
        <v>173</v>
      </c>
      <c r="H1049" t="s">
        <v>111</v>
      </c>
      <c r="I1049" t="s">
        <v>174</v>
      </c>
      <c r="J1049" t="s">
        <v>175</v>
      </c>
      <c r="K1049" t="s">
        <v>2862</v>
      </c>
      <c r="L1049" t="s">
        <v>44</v>
      </c>
      <c r="M1049" t="s">
        <v>2863</v>
      </c>
      <c r="N1049">
        <v>34100</v>
      </c>
      <c r="O1049" t="s">
        <v>97</v>
      </c>
      <c r="P1049" t="s">
        <v>98</v>
      </c>
      <c r="Q1049">
        <v>0</v>
      </c>
      <c r="R1049">
        <v>0</v>
      </c>
      <c r="S1049">
        <v>35.06</v>
      </c>
      <c r="T1049">
        <v>0</v>
      </c>
      <c r="U1049">
        <v>0</v>
      </c>
      <c r="V1049" t="s">
        <v>2864</v>
      </c>
      <c r="W1049">
        <v>35871850</v>
      </c>
      <c r="X1049" t="s">
        <v>86</v>
      </c>
      <c r="Y1049" t="s">
        <v>2865</v>
      </c>
      <c r="Z1049" t="b">
        <v>0</v>
      </c>
      <c r="AA1049">
        <v>484.88305761551618</v>
      </c>
      <c r="AN1049" t="e">
        <f>100*(1-E1049/AL1049)</f>
        <v>#DIV/0!</v>
      </c>
    </row>
    <row r="1050" spans="1:40" x14ac:dyDescent="0.3">
      <c r="A1050" t="s">
        <v>59</v>
      </c>
      <c r="B1050" t="s">
        <v>2866</v>
      </c>
      <c r="C1050" t="s">
        <v>2866</v>
      </c>
      <c r="D1050" s="4">
        <v>46009</v>
      </c>
      <c r="E1050">
        <v>140000</v>
      </c>
      <c r="F1050" t="s">
        <v>312</v>
      </c>
      <c r="G1050" t="s">
        <v>419</v>
      </c>
      <c r="H1050" t="s">
        <v>152</v>
      </c>
      <c r="I1050" t="s">
        <v>153</v>
      </c>
      <c r="J1050" t="s">
        <v>154</v>
      </c>
      <c r="K1050" t="s">
        <v>2867</v>
      </c>
      <c r="L1050" t="s">
        <v>44</v>
      </c>
      <c r="M1050" t="s">
        <v>2868</v>
      </c>
      <c r="N1050">
        <v>24100</v>
      </c>
      <c r="O1050" t="s">
        <v>45</v>
      </c>
      <c r="P1050" t="s">
        <v>54</v>
      </c>
      <c r="Q1050" t="s">
        <v>55</v>
      </c>
      <c r="R1050">
        <v>0</v>
      </c>
      <c r="S1050">
        <v>85</v>
      </c>
      <c r="T1050">
        <v>0</v>
      </c>
      <c r="U1050">
        <v>0</v>
      </c>
      <c r="V1050" t="s">
        <v>2869</v>
      </c>
      <c r="W1050">
        <v>24214600</v>
      </c>
      <c r="X1050" t="s">
        <v>86</v>
      </c>
      <c r="Y1050" t="s">
        <v>2870</v>
      </c>
      <c r="Z1050" t="b">
        <v>0</v>
      </c>
      <c r="AA1050">
        <v>1647.0588235294119</v>
      </c>
      <c r="AN1050" t="e">
        <f>100*(1-E1050/AL1050)</f>
        <v>#DIV/0!</v>
      </c>
    </row>
    <row r="1051" spans="1:40" x14ac:dyDescent="0.3">
      <c r="A1051" t="s">
        <v>39</v>
      </c>
      <c r="B1051" t="s">
        <v>3987</v>
      </c>
      <c r="C1051" t="s">
        <v>3988</v>
      </c>
      <c r="D1051" s="4">
        <v>46009</v>
      </c>
      <c r="E1051">
        <v>51000</v>
      </c>
      <c r="F1051" t="s">
        <v>3989</v>
      </c>
      <c r="G1051" t="s">
        <v>121</v>
      </c>
      <c r="H1051" t="s">
        <v>67</v>
      </c>
      <c r="I1051" t="s">
        <v>122</v>
      </c>
      <c r="J1051" t="s">
        <v>67</v>
      </c>
      <c r="K1051" t="s">
        <v>3990</v>
      </c>
      <c r="L1051" t="s">
        <v>44</v>
      </c>
      <c r="M1051" t="s">
        <v>3991</v>
      </c>
      <c r="N1051">
        <v>19100</v>
      </c>
      <c r="O1051" t="s">
        <v>45</v>
      </c>
      <c r="P1051" t="s">
        <v>232</v>
      </c>
      <c r="Q1051">
        <v>0</v>
      </c>
      <c r="R1051">
        <v>1973</v>
      </c>
      <c r="S1051">
        <v>63</v>
      </c>
      <c r="T1051">
        <v>0</v>
      </c>
      <c r="U1051">
        <v>0</v>
      </c>
      <c r="V1051" t="s">
        <v>3992</v>
      </c>
      <c r="W1051" t="s">
        <v>3993</v>
      </c>
      <c r="X1051" t="s">
        <v>49</v>
      </c>
      <c r="Y1051" t="s">
        <v>3994</v>
      </c>
      <c r="Z1051" t="b">
        <v>0</v>
      </c>
      <c r="AA1051">
        <v>809.52380952380952</v>
      </c>
      <c r="AN1051" t="e">
        <f>100*(1-E1051/AL1051)</f>
        <v>#DIV/0!</v>
      </c>
    </row>
    <row r="1052" spans="1:40" x14ac:dyDescent="0.3">
      <c r="A1052" t="s">
        <v>39</v>
      </c>
      <c r="B1052" t="s">
        <v>3995</v>
      </c>
      <c r="C1052" t="s">
        <v>3988</v>
      </c>
      <c r="D1052" s="4">
        <v>46009</v>
      </c>
      <c r="E1052">
        <v>43200</v>
      </c>
      <c r="F1052" t="s">
        <v>3996</v>
      </c>
      <c r="G1052" t="s">
        <v>121</v>
      </c>
      <c r="H1052" t="s">
        <v>67</v>
      </c>
      <c r="I1052" t="s">
        <v>122</v>
      </c>
      <c r="J1052" t="s">
        <v>67</v>
      </c>
      <c r="K1052" t="s">
        <v>3990</v>
      </c>
      <c r="L1052" t="s">
        <v>44</v>
      </c>
      <c r="M1052" t="s">
        <v>3991</v>
      </c>
      <c r="N1052">
        <v>19100</v>
      </c>
      <c r="O1052" t="s">
        <v>50</v>
      </c>
      <c r="P1052" t="s">
        <v>51</v>
      </c>
      <c r="Q1052" t="s">
        <v>52</v>
      </c>
      <c r="R1052">
        <v>1973</v>
      </c>
      <c r="S1052">
        <v>48.65</v>
      </c>
      <c r="T1052">
        <v>0</v>
      </c>
      <c r="U1052">
        <v>0</v>
      </c>
      <c r="V1052" t="s">
        <v>3992</v>
      </c>
      <c r="W1052" t="s">
        <v>3993</v>
      </c>
      <c r="X1052" t="s">
        <v>49</v>
      </c>
      <c r="Y1052" t="s">
        <v>3994</v>
      </c>
      <c r="Z1052" t="b">
        <v>0</v>
      </c>
      <c r="AA1052">
        <v>887.97533401849955</v>
      </c>
      <c r="AN1052" t="e">
        <f>100*(1-E1052/AL1052)</f>
        <v>#DIV/0!</v>
      </c>
    </row>
    <row r="1053" spans="1:40" x14ac:dyDescent="0.3">
      <c r="A1053" t="s">
        <v>166</v>
      </c>
      <c r="B1053" t="s">
        <v>4938</v>
      </c>
      <c r="C1053" t="s">
        <v>4938</v>
      </c>
      <c r="D1053" s="4">
        <v>46009</v>
      </c>
      <c r="E1053">
        <v>85000</v>
      </c>
      <c r="F1053" t="s">
        <v>4939</v>
      </c>
      <c r="G1053" t="s">
        <v>4057</v>
      </c>
      <c r="H1053" t="s">
        <v>111</v>
      </c>
      <c r="I1053" t="s">
        <v>4058</v>
      </c>
      <c r="J1053" t="s">
        <v>175</v>
      </c>
      <c r="K1053" t="s">
        <v>4940</v>
      </c>
      <c r="L1053" t="s">
        <v>44</v>
      </c>
      <c r="M1053" t="s">
        <v>4941</v>
      </c>
      <c r="N1053">
        <v>34006</v>
      </c>
      <c r="O1053" t="s">
        <v>45</v>
      </c>
      <c r="P1053" t="s">
        <v>182</v>
      </c>
      <c r="Q1053" t="s">
        <v>55</v>
      </c>
      <c r="R1053">
        <v>1988</v>
      </c>
      <c r="S1053">
        <v>149.12</v>
      </c>
      <c r="T1053">
        <v>0</v>
      </c>
      <c r="U1053">
        <v>0</v>
      </c>
      <c r="V1053" t="s">
        <v>4942</v>
      </c>
      <c r="W1053">
        <v>24466273</v>
      </c>
      <c r="X1053" t="s">
        <v>86</v>
      </c>
      <c r="Y1053" t="s">
        <v>4943</v>
      </c>
      <c r="Z1053" t="b">
        <v>0</v>
      </c>
      <c r="AA1053">
        <v>570.01072961373393</v>
      </c>
      <c r="AN1053" t="e">
        <f>100*(1-E1053/AL1053)</f>
        <v>#DIV/0!</v>
      </c>
    </row>
    <row r="1054" spans="1:40" x14ac:dyDescent="0.3">
      <c r="A1054" t="s">
        <v>215</v>
      </c>
      <c r="B1054" t="s">
        <v>2871</v>
      </c>
      <c r="C1054" t="s">
        <v>2871</v>
      </c>
      <c r="D1054" s="4">
        <v>46010</v>
      </c>
      <c r="E1054">
        <v>76400</v>
      </c>
      <c r="F1054" t="s">
        <v>383</v>
      </c>
      <c r="G1054" t="s">
        <v>293</v>
      </c>
      <c r="H1054" t="s">
        <v>67</v>
      </c>
      <c r="I1054" t="s">
        <v>207</v>
      </c>
      <c r="J1054" t="s">
        <v>67</v>
      </c>
      <c r="K1054" t="s">
        <v>2872</v>
      </c>
      <c r="L1054" t="s">
        <v>44</v>
      </c>
      <c r="M1054" t="s">
        <v>2873</v>
      </c>
      <c r="N1054">
        <v>18648</v>
      </c>
      <c r="O1054" t="s">
        <v>45</v>
      </c>
      <c r="P1054" t="s">
        <v>54</v>
      </c>
      <c r="Q1054" t="s">
        <v>52</v>
      </c>
      <c r="R1054">
        <v>0</v>
      </c>
      <c r="S1054">
        <v>92</v>
      </c>
      <c r="T1054">
        <v>0</v>
      </c>
      <c r="U1054">
        <v>0</v>
      </c>
      <c r="V1054" t="s">
        <v>2874</v>
      </c>
      <c r="W1054">
        <v>50570139</v>
      </c>
      <c r="X1054" t="s">
        <v>49</v>
      </c>
      <c r="Y1054" t="s">
        <v>2875</v>
      </c>
      <c r="Z1054" t="b">
        <v>0</v>
      </c>
      <c r="AA1054">
        <v>830.43478260869563</v>
      </c>
      <c r="AN1054" t="e">
        <f>100*(1-E1054/AL1054)</f>
        <v>#DIV/0!</v>
      </c>
    </row>
    <row r="1055" spans="1:40" x14ac:dyDescent="0.3">
      <c r="A1055" t="s">
        <v>166</v>
      </c>
      <c r="B1055" t="s">
        <v>2876</v>
      </c>
      <c r="C1055" t="s">
        <v>2876</v>
      </c>
      <c r="D1055" s="4">
        <v>46010</v>
      </c>
      <c r="E1055">
        <v>35000</v>
      </c>
      <c r="F1055" t="s">
        <v>2877</v>
      </c>
      <c r="G1055" t="s">
        <v>889</v>
      </c>
      <c r="H1055" t="s">
        <v>62</v>
      </c>
      <c r="I1055" t="s">
        <v>890</v>
      </c>
      <c r="J1055" t="s">
        <v>63</v>
      </c>
      <c r="K1055" t="s">
        <v>2878</v>
      </c>
      <c r="L1055" t="s">
        <v>44</v>
      </c>
      <c r="M1055" t="s">
        <v>2879</v>
      </c>
      <c r="N1055">
        <v>56728</v>
      </c>
      <c r="O1055" t="s">
        <v>45</v>
      </c>
      <c r="P1055" t="s">
        <v>54</v>
      </c>
      <c r="Q1055" t="s">
        <v>85</v>
      </c>
      <c r="R1055">
        <v>0</v>
      </c>
      <c r="S1055">
        <v>77.94</v>
      </c>
      <c r="T1055" t="s">
        <v>48</v>
      </c>
      <c r="U1055">
        <v>50</v>
      </c>
      <c r="V1055" t="s">
        <v>2880</v>
      </c>
      <c r="W1055">
        <v>79950826</v>
      </c>
      <c r="X1055" t="s">
        <v>86</v>
      </c>
      <c r="Y1055" t="s">
        <v>2881</v>
      </c>
      <c r="Z1055" t="b">
        <v>0</v>
      </c>
      <c r="AA1055">
        <v>449.06338208878628</v>
      </c>
      <c r="AN1055" t="e">
        <f>100*(1-E1055/AL1055)</f>
        <v>#DIV/0!</v>
      </c>
    </row>
    <row r="1056" spans="1:40" x14ac:dyDescent="0.3">
      <c r="A1056" t="s">
        <v>39</v>
      </c>
      <c r="B1056" t="s">
        <v>2882</v>
      </c>
      <c r="C1056" t="s">
        <v>2882</v>
      </c>
      <c r="D1056" s="4">
        <v>46010</v>
      </c>
      <c r="E1056">
        <v>173800</v>
      </c>
      <c r="F1056" t="s">
        <v>2883</v>
      </c>
      <c r="G1056" t="s">
        <v>2884</v>
      </c>
      <c r="H1056" t="s">
        <v>136</v>
      </c>
      <c r="I1056" t="s">
        <v>451</v>
      </c>
      <c r="J1056" t="s">
        <v>452</v>
      </c>
      <c r="K1056" t="s">
        <v>2885</v>
      </c>
      <c r="L1056" t="s">
        <v>44</v>
      </c>
      <c r="M1056" t="s">
        <v>2886</v>
      </c>
      <c r="N1056">
        <v>38500</v>
      </c>
      <c r="O1056" t="s">
        <v>45</v>
      </c>
      <c r="P1056" t="s">
        <v>81</v>
      </c>
      <c r="Q1056" t="s">
        <v>55</v>
      </c>
      <c r="R1056">
        <v>0</v>
      </c>
      <c r="S1056">
        <v>206.91</v>
      </c>
      <c r="T1056">
        <v>0</v>
      </c>
      <c r="U1056">
        <v>0</v>
      </c>
      <c r="V1056" t="s">
        <v>2887</v>
      </c>
      <c r="W1056">
        <v>47436530</v>
      </c>
      <c r="X1056" t="s">
        <v>86</v>
      </c>
      <c r="Y1056" t="s">
        <v>2888</v>
      </c>
      <c r="Z1056" t="b">
        <v>0</v>
      </c>
      <c r="AA1056">
        <v>839.97873471557682</v>
      </c>
      <c r="AN1056" t="e">
        <f>100*(1-E1056/AL1056)</f>
        <v>#DIV/0!</v>
      </c>
    </row>
    <row r="1057" spans="1:40" x14ac:dyDescent="0.3">
      <c r="A1057" t="s">
        <v>166</v>
      </c>
      <c r="B1057" t="s">
        <v>2889</v>
      </c>
      <c r="C1057" t="s">
        <v>2889</v>
      </c>
      <c r="D1057" s="4">
        <v>46010</v>
      </c>
      <c r="E1057">
        <v>73000</v>
      </c>
      <c r="F1057" t="s">
        <v>2890</v>
      </c>
      <c r="G1057" t="s">
        <v>87</v>
      </c>
      <c r="H1057" t="s">
        <v>62</v>
      </c>
      <c r="I1057" t="s">
        <v>88</v>
      </c>
      <c r="J1057" t="s">
        <v>88</v>
      </c>
      <c r="K1057" t="s">
        <v>2891</v>
      </c>
      <c r="L1057" t="s">
        <v>44</v>
      </c>
      <c r="M1057" t="s">
        <v>2892</v>
      </c>
      <c r="N1057">
        <v>58300</v>
      </c>
      <c r="O1057" t="s">
        <v>45</v>
      </c>
      <c r="P1057" t="s">
        <v>81</v>
      </c>
      <c r="Q1057" t="s">
        <v>55</v>
      </c>
      <c r="R1057">
        <v>0</v>
      </c>
      <c r="S1057">
        <v>183.1</v>
      </c>
      <c r="T1057">
        <v>0</v>
      </c>
      <c r="U1057">
        <v>0</v>
      </c>
      <c r="V1057" t="s">
        <v>2893</v>
      </c>
      <c r="W1057">
        <v>72409691</v>
      </c>
      <c r="X1057" t="s">
        <v>86</v>
      </c>
      <c r="Y1057" t="s">
        <v>2894</v>
      </c>
      <c r="Z1057" t="b">
        <v>0</v>
      </c>
      <c r="AA1057">
        <v>398.68924085199347</v>
      </c>
      <c r="AN1057" t="e">
        <f>100*(1-E1057/AL1057)</f>
        <v>#DIV/0!</v>
      </c>
    </row>
    <row r="1058" spans="1:40" x14ac:dyDescent="0.3">
      <c r="A1058" t="s">
        <v>166</v>
      </c>
      <c r="B1058" t="s">
        <v>2895</v>
      </c>
      <c r="C1058" t="s">
        <v>2895</v>
      </c>
      <c r="D1058" s="4">
        <v>46010</v>
      </c>
      <c r="E1058">
        <v>248000</v>
      </c>
      <c r="F1058" t="s">
        <v>2896</v>
      </c>
      <c r="G1058" t="s">
        <v>2897</v>
      </c>
      <c r="H1058" t="s">
        <v>67</v>
      </c>
      <c r="I1058" t="s">
        <v>432</v>
      </c>
      <c r="J1058" t="s">
        <v>67</v>
      </c>
      <c r="K1058" t="s">
        <v>2898</v>
      </c>
      <c r="L1058" t="s">
        <v>44</v>
      </c>
      <c r="M1058" t="s">
        <v>2899</v>
      </c>
      <c r="N1058">
        <v>15669</v>
      </c>
      <c r="O1058" t="s">
        <v>45</v>
      </c>
      <c r="P1058" t="s">
        <v>54</v>
      </c>
      <c r="Q1058" t="s">
        <v>55</v>
      </c>
      <c r="R1058">
        <v>0</v>
      </c>
      <c r="S1058">
        <v>122.47</v>
      </c>
      <c r="T1058">
        <v>0</v>
      </c>
      <c r="U1058">
        <v>0</v>
      </c>
      <c r="V1058" t="s">
        <v>2900</v>
      </c>
      <c r="W1058">
        <v>25222960</v>
      </c>
      <c r="X1058" t="s">
        <v>86</v>
      </c>
      <c r="Y1058" t="s">
        <v>2901</v>
      </c>
      <c r="Z1058" t="b">
        <v>0</v>
      </c>
      <c r="AA1058">
        <v>2024.9857107863149</v>
      </c>
      <c r="AN1058" t="e">
        <f>100*(1-E1058/AL1058)</f>
        <v>#DIV/0!</v>
      </c>
    </row>
    <row r="1059" spans="1:40" x14ac:dyDescent="0.3">
      <c r="A1059" t="s">
        <v>39</v>
      </c>
      <c r="B1059" t="s">
        <v>2902</v>
      </c>
      <c r="C1059" t="s">
        <v>2902</v>
      </c>
      <c r="D1059" s="4">
        <v>46010</v>
      </c>
      <c r="E1059">
        <v>22000</v>
      </c>
      <c r="F1059" t="s">
        <v>428</v>
      </c>
      <c r="G1059" t="s">
        <v>90</v>
      </c>
      <c r="H1059" t="s">
        <v>67</v>
      </c>
      <c r="I1059" t="s">
        <v>91</v>
      </c>
      <c r="J1059" t="s">
        <v>67</v>
      </c>
      <c r="K1059" t="s">
        <v>2903</v>
      </c>
      <c r="L1059" t="s">
        <v>44</v>
      </c>
      <c r="M1059" t="s">
        <v>2904</v>
      </c>
      <c r="N1059">
        <v>17676</v>
      </c>
      <c r="O1059" t="s">
        <v>45</v>
      </c>
      <c r="P1059" t="s">
        <v>46</v>
      </c>
      <c r="Q1059" t="s">
        <v>47</v>
      </c>
      <c r="R1059">
        <v>0</v>
      </c>
      <c r="S1059">
        <v>41</v>
      </c>
      <c r="T1059">
        <v>0</v>
      </c>
      <c r="U1059">
        <v>0</v>
      </c>
      <c r="V1059" t="s">
        <v>2905</v>
      </c>
      <c r="W1059">
        <v>48010172</v>
      </c>
      <c r="X1059" t="s">
        <v>86</v>
      </c>
      <c r="Y1059" t="s">
        <v>2906</v>
      </c>
      <c r="Z1059" t="b">
        <v>0</v>
      </c>
      <c r="AA1059">
        <v>536.58536585365857</v>
      </c>
      <c r="AN1059" t="e">
        <f>100*(1-E1059/AL1059)</f>
        <v>#DIV/0!</v>
      </c>
    </row>
    <row r="1060" spans="1:40" x14ac:dyDescent="0.3">
      <c r="A1060" t="s">
        <v>39</v>
      </c>
      <c r="B1060" t="s">
        <v>2902</v>
      </c>
      <c r="C1060" t="s">
        <v>2902</v>
      </c>
      <c r="D1060" s="4">
        <v>46010</v>
      </c>
      <c r="E1060">
        <v>22000</v>
      </c>
      <c r="F1060" t="s">
        <v>428</v>
      </c>
      <c r="G1060" t="s">
        <v>90</v>
      </c>
      <c r="H1060" t="s">
        <v>67</v>
      </c>
      <c r="I1060" t="s">
        <v>91</v>
      </c>
      <c r="J1060" t="s">
        <v>67</v>
      </c>
      <c r="K1060" t="s">
        <v>2903</v>
      </c>
      <c r="L1060" t="s">
        <v>44</v>
      </c>
      <c r="M1060" t="s">
        <v>2904</v>
      </c>
      <c r="N1060">
        <v>17676</v>
      </c>
      <c r="O1060" t="s">
        <v>45</v>
      </c>
      <c r="P1060" t="s">
        <v>46</v>
      </c>
      <c r="Q1060" t="s">
        <v>47</v>
      </c>
      <c r="R1060">
        <v>0</v>
      </c>
      <c r="S1060">
        <v>41</v>
      </c>
      <c r="T1060">
        <v>0</v>
      </c>
      <c r="U1060">
        <v>0</v>
      </c>
      <c r="V1060" t="s">
        <v>2905</v>
      </c>
      <c r="W1060">
        <v>48010172</v>
      </c>
      <c r="X1060" t="s">
        <v>86</v>
      </c>
      <c r="Y1060" t="s">
        <v>2906</v>
      </c>
      <c r="Z1060" t="b">
        <v>0</v>
      </c>
      <c r="AA1060">
        <v>536.58536585365857</v>
      </c>
      <c r="AN1060" t="e">
        <f>100*(1-E1060/AL1060)</f>
        <v>#DIV/0!</v>
      </c>
    </row>
    <row r="1061" spans="1:40" x14ac:dyDescent="0.3">
      <c r="A1061" t="s">
        <v>215</v>
      </c>
      <c r="B1061" t="s">
        <v>2907</v>
      </c>
      <c r="C1061" t="s">
        <v>2907</v>
      </c>
      <c r="D1061" s="4">
        <v>46010</v>
      </c>
      <c r="E1061">
        <v>134000</v>
      </c>
      <c r="F1061" t="s">
        <v>488</v>
      </c>
      <c r="G1061" t="s">
        <v>83</v>
      </c>
      <c r="H1061" t="s">
        <v>67</v>
      </c>
      <c r="I1061" t="s">
        <v>84</v>
      </c>
      <c r="J1061" t="s">
        <v>67</v>
      </c>
      <c r="K1061" t="s">
        <v>2908</v>
      </c>
      <c r="L1061" t="s">
        <v>44</v>
      </c>
      <c r="M1061" t="s">
        <v>2909</v>
      </c>
      <c r="N1061">
        <v>12136</v>
      </c>
      <c r="O1061" t="s">
        <v>45</v>
      </c>
      <c r="P1061" t="s">
        <v>54</v>
      </c>
      <c r="Q1061" t="s">
        <v>85</v>
      </c>
      <c r="R1061">
        <v>0</v>
      </c>
      <c r="S1061">
        <v>66.38</v>
      </c>
      <c r="T1061">
        <v>0</v>
      </c>
      <c r="U1061">
        <v>0</v>
      </c>
      <c r="V1061" t="s">
        <v>2910</v>
      </c>
      <c r="W1061">
        <v>22359656</v>
      </c>
      <c r="X1061" t="s">
        <v>86</v>
      </c>
      <c r="Y1061" t="s">
        <v>2911</v>
      </c>
      <c r="Z1061" t="b">
        <v>0</v>
      </c>
      <c r="AA1061">
        <v>2018.6803253992171</v>
      </c>
      <c r="AN1061" t="e">
        <f>100*(1-E1061/AL1061)</f>
        <v>#DIV/0!</v>
      </c>
    </row>
    <row r="1062" spans="1:40" x14ac:dyDescent="0.3">
      <c r="A1062" t="s">
        <v>139</v>
      </c>
      <c r="B1062" t="s">
        <v>2912</v>
      </c>
      <c r="C1062" t="s">
        <v>2912</v>
      </c>
      <c r="D1062" s="4">
        <v>46010</v>
      </c>
      <c r="E1062">
        <v>221000</v>
      </c>
      <c r="F1062" t="s">
        <v>2913</v>
      </c>
      <c r="G1062" t="s">
        <v>263</v>
      </c>
      <c r="H1062" t="s">
        <v>67</v>
      </c>
      <c r="I1062" t="s">
        <v>264</v>
      </c>
      <c r="J1062" t="s">
        <v>67</v>
      </c>
      <c r="K1062" t="s">
        <v>2914</v>
      </c>
      <c r="L1062" t="s">
        <v>44</v>
      </c>
      <c r="M1062" t="s">
        <v>2915</v>
      </c>
      <c r="N1062">
        <v>15126</v>
      </c>
      <c r="O1062" t="s">
        <v>45</v>
      </c>
      <c r="P1062" t="s">
        <v>54</v>
      </c>
      <c r="Q1062" t="s">
        <v>55</v>
      </c>
      <c r="R1062">
        <v>0</v>
      </c>
      <c r="S1062">
        <v>108</v>
      </c>
      <c r="T1062">
        <v>0</v>
      </c>
      <c r="U1062">
        <v>0</v>
      </c>
      <c r="V1062" t="s">
        <v>2916</v>
      </c>
      <c r="W1062">
        <v>19451150</v>
      </c>
      <c r="X1062" t="s">
        <v>86</v>
      </c>
      <c r="Y1062" t="s">
        <v>2917</v>
      </c>
      <c r="Z1062" t="b">
        <v>0</v>
      </c>
      <c r="AA1062">
        <v>2046.2962962962961</v>
      </c>
      <c r="AN1062" t="e">
        <f>100*(1-E1062/AL1062)</f>
        <v>#DIV/0!</v>
      </c>
    </row>
    <row r="1063" spans="1:40" x14ac:dyDescent="0.3">
      <c r="A1063" t="s">
        <v>139</v>
      </c>
      <c r="B1063" t="s">
        <v>2912</v>
      </c>
      <c r="C1063" t="s">
        <v>2912</v>
      </c>
      <c r="D1063" s="4">
        <v>46010</v>
      </c>
      <c r="E1063">
        <v>221000</v>
      </c>
      <c r="F1063" t="s">
        <v>2913</v>
      </c>
      <c r="G1063" t="s">
        <v>263</v>
      </c>
      <c r="H1063" t="s">
        <v>67</v>
      </c>
      <c r="I1063" t="s">
        <v>264</v>
      </c>
      <c r="J1063" t="s">
        <v>67</v>
      </c>
      <c r="K1063" t="s">
        <v>2914</v>
      </c>
      <c r="L1063" t="s">
        <v>44</v>
      </c>
      <c r="M1063" t="s">
        <v>2915</v>
      </c>
      <c r="N1063">
        <v>15126</v>
      </c>
      <c r="O1063" t="s">
        <v>45</v>
      </c>
      <c r="P1063" t="s">
        <v>54</v>
      </c>
      <c r="Q1063" t="s">
        <v>55</v>
      </c>
      <c r="R1063">
        <v>0</v>
      </c>
      <c r="S1063">
        <v>108</v>
      </c>
      <c r="T1063">
        <v>0</v>
      </c>
      <c r="U1063">
        <v>0</v>
      </c>
      <c r="V1063" t="s">
        <v>2916</v>
      </c>
      <c r="W1063">
        <v>19451150</v>
      </c>
      <c r="X1063" t="s">
        <v>86</v>
      </c>
      <c r="Y1063" t="s">
        <v>2917</v>
      </c>
      <c r="Z1063" t="b">
        <v>0</v>
      </c>
      <c r="AA1063">
        <v>2046.2962962962961</v>
      </c>
      <c r="AN1063" t="e">
        <f>100*(1-E1063/AL1063)</f>
        <v>#DIV/0!</v>
      </c>
    </row>
    <row r="1064" spans="1:40" x14ac:dyDescent="0.3">
      <c r="A1064" t="s">
        <v>139</v>
      </c>
      <c r="B1064" t="s">
        <v>2912</v>
      </c>
      <c r="C1064" t="s">
        <v>2912</v>
      </c>
      <c r="D1064" s="4">
        <v>46010</v>
      </c>
      <c r="E1064">
        <v>221000</v>
      </c>
      <c r="F1064" t="s">
        <v>2913</v>
      </c>
      <c r="G1064" t="s">
        <v>263</v>
      </c>
      <c r="H1064" t="s">
        <v>67</v>
      </c>
      <c r="I1064" t="s">
        <v>264</v>
      </c>
      <c r="J1064" t="s">
        <v>67</v>
      </c>
      <c r="K1064" t="s">
        <v>2914</v>
      </c>
      <c r="L1064" t="s">
        <v>44</v>
      </c>
      <c r="M1064" t="s">
        <v>2915</v>
      </c>
      <c r="N1064">
        <v>15126</v>
      </c>
      <c r="O1064" t="s">
        <v>45</v>
      </c>
      <c r="P1064" t="s">
        <v>54</v>
      </c>
      <c r="Q1064" t="s">
        <v>55</v>
      </c>
      <c r="R1064">
        <v>0</v>
      </c>
      <c r="S1064">
        <v>108</v>
      </c>
      <c r="T1064">
        <v>0</v>
      </c>
      <c r="U1064">
        <v>0</v>
      </c>
      <c r="V1064" t="s">
        <v>2916</v>
      </c>
      <c r="W1064">
        <v>19451150</v>
      </c>
      <c r="X1064" t="s">
        <v>86</v>
      </c>
      <c r="Y1064" t="s">
        <v>2917</v>
      </c>
      <c r="Z1064" t="b">
        <v>0</v>
      </c>
      <c r="AA1064">
        <v>2046.2962962962961</v>
      </c>
      <c r="AN1064" t="e">
        <f>100*(1-E1064/AL1064)</f>
        <v>#DIV/0!</v>
      </c>
    </row>
    <row r="1065" spans="1:40" x14ac:dyDescent="0.3">
      <c r="A1065" t="s">
        <v>166</v>
      </c>
      <c r="B1065" t="s">
        <v>2918</v>
      </c>
      <c r="C1065" t="s">
        <v>2918</v>
      </c>
      <c r="D1065" s="4">
        <v>46010</v>
      </c>
      <c r="E1065">
        <v>22500</v>
      </c>
      <c r="F1065" t="s">
        <v>2919</v>
      </c>
      <c r="G1065" t="s">
        <v>300</v>
      </c>
      <c r="H1065" t="s">
        <v>67</v>
      </c>
      <c r="I1065" t="s">
        <v>301</v>
      </c>
      <c r="J1065" t="s">
        <v>67</v>
      </c>
      <c r="K1065" t="s">
        <v>2920</v>
      </c>
      <c r="L1065" t="s">
        <v>44</v>
      </c>
      <c r="M1065" t="s">
        <v>2921</v>
      </c>
      <c r="N1065">
        <v>18450</v>
      </c>
      <c r="O1065" t="s">
        <v>97</v>
      </c>
      <c r="P1065" t="s">
        <v>98</v>
      </c>
      <c r="Q1065">
        <v>0</v>
      </c>
      <c r="R1065">
        <v>0</v>
      </c>
      <c r="S1065">
        <v>50</v>
      </c>
      <c r="T1065" t="s">
        <v>48</v>
      </c>
      <c r="U1065">
        <v>50</v>
      </c>
      <c r="V1065" t="s">
        <v>2922</v>
      </c>
      <c r="W1065">
        <v>34972442</v>
      </c>
      <c r="X1065" t="s">
        <v>49</v>
      </c>
      <c r="Y1065" t="s">
        <v>2923</v>
      </c>
      <c r="Z1065" t="b">
        <v>0</v>
      </c>
      <c r="AA1065">
        <v>450</v>
      </c>
      <c r="AN1065" t="e">
        <f>100*(1-E1065/AL1065)</f>
        <v>#DIV/0!</v>
      </c>
    </row>
    <row r="1066" spans="1:40" x14ac:dyDescent="0.3">
      <c r="A1066" t="s">
        <v>166</v>
      </c>
      <c r="B1066" t="s">
        <v>2924</v>
      </c>
      <c r="C1066" t="s">
        <v>2924</v>
      </c>
      <c r="D1066" s="4">
        <v>46010</v>
      </c>
      <c r="E1066">
        <v>89000</v>
      </c>
      <c r="F1066" t="s">
        <v>99</v>
      </c>
      <c r="G1066" t="s">
        <v>194</v>
      </c>
      <c r="H1066" t="s">
        <v>67</v>
      </c>
      <c r="I1066" t="s">
        <v>195</v>
      </c>
      <c r="J1066" t="s">
        <v>67</v>
      </c>
      <c r="K1066" t="s">
        <v>2925</v>
      </c>
      <c r="L1066" t="s">
        <v>44</v>
      </c>
      <c r="M1066" t="s">
        <v>2926</v>
      </c>
      <c r="N1066">
        <v>18546</v>
      </c>
      <c r="O1066" t="s">
        <v>45</v>
      </c>
      <c r="P1066" t="s">
        <v>54</v>
      </c>
      <c r="Q1066" t="s">
        <v>85</v>
      </c>
      <c r="R1066">
        <v>0</v>
      </c>
      <c r="S1066">
        <v>68.459999999999994</v>
      </c>
      <c r="T1066">
        <v>0</v>
      </c>
      <c r="U1066">
        <v>0</v>
      </c>
      <c r="V1066" t="s">
        <v>2927</v>
      </c>
      <c r="W1066">
        <v>21437120</v>
      </c>
      <c r="X1066" t="s">
        <v>49</v>
      </c>
      <c r="Y1066" t="s">
        <v>2928</v>
      </c>
      <c r="Z1066" t="b">
        <v>0</v>
      </c>
      <c r="AA1066">
        <v>1300.029214139644</v>
      </c>
      <c r="AN1066" t="e">
        <f>100*(1-E1066/AL1066)</f>
        <v>#DIV/0!</v>
      </c>
    </row>
    <row r="1067" spans="1:40" x14ac:dyDescent="0.3">
      <c r="A1067" t="s">
        <v>166</v>
      </c>
      <c r="B1067" t="s">
        <v>2929</v>
      </c>
      <c r="C1067" t="s">
        <v>2930</v>
      </c>
      <c r="D1067" s="4">
        <v>46010</v>
      </c>
      <c r="E1067">
        <v>32700</v>
      </c>
      <c r="F1067" t="s">
        <v>2931</v>
      </c>
      <c r="G1067" t="s">
        <v>194</v>
      </c>
      <c r="H1067" t="s">
        <v>67</v>
      </c>
      <c r="I1067" t="s">
        <v>195</v>
      </c>
      <c r="J1067" t="s">
        <v>67</v>
      </c>
      <c r="K1067" t="s">
        <v>2932</v>
      </c>
      <c r="L1067" t="s">
        <v>44</v>
      </c>
      <c r="M1067" t="s">
        <v>2933</v>
      </c>
      <c r="N1067">
        <v>18543</v>
      </c>
      <c r="O1067" t="s">
        <v>45</v>
      </c>
      <c r="P1067" t="s">
        <v>46</v>
      </c>
      <c r="Q1067" t="s">
        <v>55</v>
      </c>
      <c r="R1067">
        <v>0</v>
      </c>
      <c r="S1067">
        <v>84.25</v>
      </c>
      <c r="T1067">
        <v>0</v>
      </c>
      <c r="U1067">
        <v>0</v>
      </c>
      <c r="V1067" t="s">
        <v>2934</v>
      </c>
      <c r="W1067">
        <v>39756537</v>
      </c>
      <c r="X1067" t="s">
        <v>49</v>
      </c>
      <c r="Y1067" t="s">
        <v>2935</v>
      </c>
      <c r="Z1067" t="b">
        <v>0</v>
      </c>
      <c r="AA1067">
        <v>388.13056379821961</v>
      </c>
      <c r="AN1067" t="e">
        <f>100*(1-E1067/AL1067)</f>
        <v>#DIV/0!</v>
      </c>
    </row>
    <row r="1068" spans="1:40" x14ac:dyDescent="0.3">
      <c r="A1068" t="s">
        <v>166</v>
      </c>
      <c r="B1068" t="s">
        <v>2936</v>
      </c>
      <c r="C1068" t="s">
        <v>2930</v>
      </c>
      <c r="D1068" s="4">
        <v>46010</v>
      </c>
      <c r="E1068">
        <v>32700</v>
      </c>
      <c r="F1068" t="s">
        <v>2931</v>
      </c>
      <c r="G1068" t="s">
        <v>194</v>
      </c>
      <c r="H1068" t="s">
        <v>67</v>
      </c>
      <c r="I1068" t="s">
        <v>195</v>
      </c>
      <c r="J1068" t="s">
        <v>67</v>
      </c>
      <c r="K1068" t="s">
        <v>2932</v>
      </c>
      <c r="L1068" t="s">
        <v>44</v>
      </c>
      <c r="M1068" t="s">
        <v>2933</v>
      </c>
      <c r="N1068">
        <v>18543</v>
      </c>
      <c r="O1068" t="s">
        <v>45</v>
      </c>
      <c r="P1068" t="s">
        <v>46</v>
      </c>
      <c r="Q1068" t="s">
        <v>85</v>
      </c>
      <c r="R1068">
        <v>0</v>
      </c>
      <c r="S1068">
        <v>84.25</v>
      </c>
      <c r="T1068">
        <v>0</v>
      </c>
      <c r="U1068">
        <v>0</v>
      </c>
      <c r="V1068" t="s">
        <v>2934</v>
      </c>
      <c r="W1068">
        <v>39756537</v>
      </c>
      <c r="X1068" t="s">
        <v>49</v>
      </c>
      <c r="Y1068" t="s">
        <v>2937</v>
      </c>
      <c r="Z1068" t="b">
        <v>0</v>
      </c>
      <c r="AA1068">
        <v>388.13056379821961</v>
      </c>
      <c r="AN1068" t="e">
        <f>100*(1-E1068/AL1068)</f>
        <v>#DIV/0!</v>
      </c>
    </row>
    <row r="1069" spans="1:40" x14ac:dyDescent="0.3">
      <c r="A1069" t="s">
        <v>166</v>
      </c>
      <c r="B1069" t="s">
        <v>2938</v>
      </c>
      <c r="C1069" t="s">
        <v>2938</v>
      </c>
      <c r="D1069" s="4">
        <v>46010</v>
      </c>
      <c r="E1069">
        <v>10300</v>
      </c>
      <c r="F1069" t="s">
        <v>2939</v>
      </c>
      <c r="G1069" t="s">
        <v>261</v>
      </c>
      <c r="H1069" t="s">
        <v>67</v>
      </c>
      <c r="I1069" t="s">
        <v>262</v>
      </c>
      <c r="J1069" t="s">
        <v>67</v>
      </c>
      <c r="K1069" t="s">
        <v>2940</v>
      </c>
      <c r="L1069" t="s">
        <v>44</v>
      </c>
      <c r="M1069" t="s">
        <v>2941</v>
      </c>
      <c r="N1069">
        <v>12351</v>
      </c>
      <c r="O1069" t="s">
        <v>45</v>
      </c>
      <c r="P1069" t="s">
        <v>56</v>
      </c>
      <c r="Q1069">
        <v>0</v>
      </c>
      <c r="R1069">
        <v>0</v>
      </c>
      <c r="S1069">
        <v>0</v>
      </c>
      <c r="T1069" t="s">
        <v>92</v>
      </c>
      <c r="U1069">
        <v>100</v>
      </c>
      <c r="V1069" t="s">
        <v>2942</v>
      </c>
      <c r="W1069">
        <v>100214171</v>
      </c>
      <c r="X1069" t="s">
        <v>49</v>
      </c>
      <c r="Y1069" t="s">
        <v>2943</v>
      </c>
      <c r="Z1069" t="b">
        <v>0</v>
      </c>
      <c r="AA1069" t="s">
        <v>58</v>
      </c>
      <c r="AN1069" t="e">
        <f>100*(1-E1069/AL1069)</f>
        <v>#DIV/0!</v>
      </c>
    </row>
    <row r="1070" spans="1:40" x14ac:dyDescent="0.3">
      <c r="A1070" t="s">
        <v>166</v>
      </c>
      <c r="B1070" t="s">
        <v>2944</v>
      </c>
      <c r="C1070" t="s">
        <v>2930</v>
      </c>
      <c r="D1070" s="4">
        <v>46010</v>
      </c>
      <c r="E1070">
        <v>25100</v>
      </c>
      <c r="F1070" t="s">
        <v>2945</v>
      </c>
      <c r="G1070" t="s">
        <v>194</v>
      </c>
      <c r="H1070" t="s">
        <v>67</v>
      </c>
      <c r="I1070" t="s">
        <v>195</v>
      </c>
      <c r="J1070" t="s">
        <v>67</v>
      </c>
      <c r="K1070" t="s">
        <v>2932</v>
      </c>
      <c r="L1070" t="s">
        <v>44</v>
      </c>
      <c r="M1070" t="s">
        <v>2933</v>
      </c>
      <c r="N1070">
        <v>18543</v>
      </c>
      <c r="O1070" t="s">
        <v>45</v>
      </c>
      <c r="P1070" t="s">
        <v>46</v>
      </c>
      <c r="Q1070" t="s">
        <v>100</v>
      </c>
      <c r="R1070">
        <v>0</v>
      </c>
      <c r="S1070">
        <v>64.7</v>
      </c>
      <c r="T1070">
        <v>0</v>
      </c>
      <c r="U1070">
        <v>0</v>
      </c>
      <c r="V1070" t="s">
        <v>2934</v>
      </c>
      <c r="W1070">
        <v>39756537</v>
      </c>
      <c r="X1070" t="s">
        <v>49</v>
      </c>
      <c r="Y1070" t="s">
        <v>2946</v>
      </c>
      <c r="Z1070" t="b">
        <v>0</v>
      </c>
      <c r="AA1070">
        <v>387.94435857805252</v>
      </c>
      <c r="AN1070" t="e">
        <f>100*(1-E1070/AL1070)</f>
        <v>#DIV/0!</v>
      </c>
    </row>
    <row r="1071" spans="1:40" x14ac:dyDescent="0.3">
      <c r="A1071" t="s">
        <v>166</v>
      </c>
      <c r="B1071" t="s">
        <v>2947</v>
      </c>
      <c r="C1071" t="s">
        <v>2930</v>
      </c>
      <c r="D1071" s="4">
        <v>46010</v>
      </c>
      <c r="E1071">
        <v>28400</v>
      </c>
      <c r="F1071" t="s">
        <v>2658</v>
      </c>
      <c r="G1071" t="s">
        <v>194</v>
      </c>
      <c r="H1071" t="s">
        <v>67</v>
      </c>
      <c r="I1071" t="s">
        <v>195</v>
      </c>
      <c r="J1071" t="s">
        <v>67</v>
      </c>
      <c r="K1071" t="s">
        <v>2932</v>
      </c>
      <c r="L1071" t="s">
        <v>44</v>
      </c>
      <c r="M1071" t="s">
        <v>2933</v>
      </c>
      <c r="N1071">
        <v>18543</v>
      </c>
      <c r="O1071" t="s">
        <v>50</v>
      </c>
      <c r="P1071" t="s">
        <v>46</v>
      </c>
      <c r="Q1071">
        <v>0</v>
      </c>
      <c r="R1071">
        <v>0</v>
      </c>
      <c r="S1071">
        <v>59.3</v>
      </c>
      <c r="T1071">
        <v>0</v>
      </c>
      <c r="U1071">
        <v>0</v>
      </c>
      <c r="V1071" t="s">
        <v>2934</v>
      </c>
      <c r="W1071">
        <v>39756537</v>
      </c>
      <c r="X1071" t="s">
        <v>49</v>
      </c>
      <c r="Y1071" t="s">
        <v>2948</v>
      </c>
      <c r="Z1071" t="b">
        <v>0</v>
      </c>
      <c r="AA1071">
        <v>478.920741989882</v>
      </c>
      <c r="AN1071" t="e">
        <f>100*(1-E1071/AL1071)</f>
        <v>#DIV/0!</v>
      </c>
    </row>
    <row r="1072" spans="1:40" x14ac:dyDescent="0.3">
      <c r="A1072" t="s">
        <v>166</v>
      </c>
      <c r="B1072" t="s">
        <v>2949</v>
      </c>
      <c r="C1072" t="s">
        <v>2949</v>
      </c>
      <c r="D1072" s="4">
        <v>46010</v>
      </c>
      <c r="E1072">
        <v>20500</v>
      </c>
      <c r="F1072" t="s">
        <v>2950</v>
      </c>
      <c r="G1072" t="s">
        <v>816</v>
      </c>
      <c r="H1072" t="s">
        <v>41</v>
      </c>
      <c r="I1072" t="s">
        <v>201</v>
      </c>
      <c r="J1072" t="s">
        <v>199</v>
      </c>
      <c r="K1072" t="s">
        <v>2951</v>
      </c>
      <c r="L1072" t="s">
        <v>44</v>
      </c>
      <c r="M1072" t="s">
        <v>2952</v>
      </c>
      <c r="N1072">
        <v>47100</v>
      </c>
      <c r="O1072" t="s">
        <v>45</v>
      </c>
      <c r="P1072" t="s">
        <v>54</v>
      </c>
      <c r="Q1072" t="s">
        <v>55</v>
      </c>
      <c r="R1072">
        <v>0</v>
      </c>
      <c r="S1072">
        <v>58</v>
      </c>
      <c r="T1072">
        <v>0</v>
      </c>
      <c r="U1072">
        <v>0</v>
      </c>
      <c r="V1072" t="s">
        <v>2953</v>
      </c>
      <c r="W1072">
        <v>34423902</v>
      </c>
      <c r="X1072" t="s">
        <v>49</v>
      </c>
      <c r="Y1072" t="s">
        <v>2954</v>
      </c>
      <c r="Z1072" t="b">
        <v>0</v>
      </c>
      <c r="AA1072">
        <v>353.44827586206901</v>
      </c>
      <c r="AN1072" t="e">
        <f>100*(1-E1072/AL1072)</f>
        <v>#DIV/0!</v>
      </c>
    </row>
    <row r="1073" spans="1:40" x14ac:dyDescent="0.3">
      <c r="A1073" t="s">
        <v>59</v>
      </c>
      <c r="B1073" t="s">
        <v>3638</v>
      </c>
      <c r="C1073" t="s">
        <v>3638</v>
      </c>
      <c r="D1073" s="4">
        <v>46010</v>
      </c>
      <c r="E1073">
        <v>53200</v>
      </c>
      <c r="F1073" t="s">
        <v>3510</v>
      </c>
      <c r="G1073" t="s">
        <v>3639</v>
      </c>
      <c r="H1073" t="s">
        <v>230</v>
      </c>
      <c r="I1073" t="s">
        <v>746</v>
      </c>
      <c r="J1073" t="s">
        <v>426</v>
      </c>
      <c r="K1073" t="s">
        <v>3640</v>
      </c>
      <c r="L1073" t="s">
        <v>44</v>
      </c>
      <c r="M1073" t="s">
        <v>3641</v>
      </c>
      <c r="N1073">
        <v>67064</v>
      </c>
      <c r="O1073" t="s">
        <v>45</v>
      </c>
      <c r="P1073" t="s">
        <v>81</v>
      </c>
      <c r="Q1073" t="s">
        <v>52</v>
      </c>
      <c r="R1073">
        <v>1965</v>
      </c>
      <c r="S1073">
        <v>51.5</v>
      </c>
      <c r="T1073">
        <v>0</v>
      </c>
      <c r="U1073">
        <v>0</v>
      </c>
      <c r="V1073" t="s">
        <v>3642</v>
      </c>
      <c r="W1073">
        <v>74658783</v>
      </c>
      <c r="X1073" t="s">
        <v>49</v>
      </c>
      <c r="Y1073" t="s">
        <v>3643</v>
      </c>
      <c r="Z1073" t="b">
        <v>0</v>
      </c>
      <c r="AA1073">
        <v>1033.009708737864</v>
      </c>
      <c r="AN1073" t="e">
        <f>100*(1-E1073/AL1073)</f>
        <v>#DIV/0!</v>
      </c>
    </row>
    <row r="1074" spans="1:40" x14ac:dyDescent="0.3">
      <c r="A1074" t="s">
        <v>166</v>
      </c>
      <c r="B1074" t="s">
        <v>4587</v>
      </c>
      <c r="C1074" t="s">
        <v>4587</v>
      </c>
      <c r="D1074" s="4">
        <v>46010</v>
      </c>
      <c r="E1074">
        <v>51800</v>
      </c>
      <c r="F1074" t="s">
        <v>4588</v>
      </c>
      <c r="G1074" t="s">
        <v>194</v>
      </c>
      <c r="H1074" t="s">
        <v>67</v>
      </c>
      <c r="I1074" t="s">
        <v>195</v>
      </c>
      <c r="J1074" t="s">
        <v>67</v>
      </c>
      <c r="K1074" t="s">
        <v>4589</v>
      </c>
      <c r="L1074" t="s">
        <v>44</v>
      </c>
      <c r="M1074" t="s">
        <v>4590</v>
      </c>
      <c r="N1074">
        <v>18546</v>
      </c>
      <c r="O1074" t="s">
        <v>45</v>
      </c>
      <c r="P1074" t="s">
        <v>54</v>
      </c>
      <c r="Q1074" t="s">
        <v>52</v>
      </c>
      <c r="R1074">
        <v>1981</v>
      </c>
      <c r="S1074">
        <v>63</v>
      </c>
      <c r="T1074" t="s">
        <v>161</v>
      </c>
      <c r="U1074">
        <v>100</v>
      </c>
      <c r="V1074" t="s">
        <v>4591</v>
      </c>
      <c r="W1074">
        <v>66741820</v>
      </c>
      <c r="X1074" t="s">
        <v>49</v>
      </c>
      <c r="Y1074" t="s">
        <v>4592</v>
      </c>
      <c r="Z1074" t="b">
        <v>0</v>
      </c>
      <c r="AA1074">
        <v>822.22222222222217</v>
      </c>
      <c r="AN1074" t="e">
        <f>100*(1-E1074/AL1074)</f>
        <v>#DIV/0!</v>
      </c>
    </row>
    <row r="1075" spans="1:40" x14ac:dyDescent="0.3">
      <c r="A1075" t="s">
        <v>39</v>
      </c>
      <c r="B1075" t="s">
        <v>4630</v>
      </c>
      <c r="C1075" t="s">
        <v>4631</v>
      </c>
      <c r="D1075" s="4">
        <v>46010</v>
      </c>
      <c r="E1075">
        <v>42000</v>
      </c>
      <c r="F1075" t="s">
        <v>963</v>
      </c>
      <c r="G1075" t="s">
        <v>155</v>
      </c>
      <c r="H1075" t="s">
        <v>156</v>
      </c>
      <c r="I1075" t="s">
        <v>157</v>
      </c>
      <c r="J1075" t="s">
        <v>157</v>
      </c>
      <c r="K1075" t="s">
        <v>4632</v>
      </c>
      <c r="L1075" t="s">
        <v>44</v>
      </c>
      <c r="M1075" t="s">
        <v>4633</v>
      </c>
      <c r="N1075">
        <v>49100</v>
      </c>
      <c r="O1075" t="s">
        <v>50</v>
      </c>
      <c r="P1075" t="s">
        <v>51</v>
      </c>
      <c r="Q1075" t="s">
        <v>52</v>
      </c>
      <c r="R1075">
        <v>1982</v>
      </c>
      <c r="S1075">
        <v>36.200000000000003</v>
      </c>
      <c r="T1075">
        <v>0</v>
      </c>
      <c r="U1075">
        <v>0</v>
      </c>
      <c r="V1075" t="s">
        <v>4634</v>
      </c>
      <c r="W1075">
        <v>27343506</v>
      </c>
      <c r="X1075" t="s">
        <v>49</v>
      </c>
      <c r="Y1075" t="s">
        <v>4635</v>
      </c>
      <c r="Z1075" t="b">
        <v>0</v>
      </c>
      <c r="AA1075">
        <v>1160.220994475138</v>
      </c>
      <c r="AN1075" t="e">
        <f>100*(1-E1075/AL1075)</f>
        <v>#DIV/0!</v>
      </c>
    </row>
    <row r="1076" spans="1:40" x14ac:dyDescent="0.3">
      <c r="A1076" t="s">
        <v>39</v>
      </c>
      <c r="B1076" t="s">
        <v>4636</v>
      </c>
      <c r="C1076" t="s">
        <v>4631</v>
      </c>
      <c r="D1076" s="4">
        <v>46010</v>
      </c>
      <c r="E1076">
        <v>22000</v>
      </c>
      <c r="F1076" t="s">
        <v>4637</v>
      </c>
      <c r="G1076" t="s">
        <v>155</v>
      </c>
      <c r="H1076" t="s">
        <v>156</v>
      </c>
      <c r="I1076" t="s">
        <v>157</v>
      </c>
      <c r="J1076" t="s">
        <v>157</v>
      </c>
      <c r="K1076" t="s">
        <v>4632</v>
      </c>
      <c r="L1076" t="s">
        <v>44</v>
      </c>
      <c r="M1076" t="s">
        <v>4633</v>
      </c>
      <c r="N1076">
        <v>49100</v>
      </c>
      <c r="O1076" t="s">
        <v>50</v>
      </c>
      <c r="P1076" t="s">
        <v>232</v>
      </c>
      <c r="Q1076" t="s">
        <v>47</v>
      </c>
      <c r="R1076">
        <v>1982</v>
      </c>
      <c r="S1076">
        <v>91.5</v>
      </c>
      <c r="T1076">
        <v>0</v>
      </c>
      <c r="U1076">
        <v>0</v>
      </c>
      <c r="V1076" t="s">
        <v>4634</v>
      </c>
      <c r="W1076">
        <v>27343506</v>
      </c>
      <c r="X1076" t="s">
        <v>49</v>
      </c>
      <c r="Y1076" t="s">
        <v>4638</v>
      </c>
      <c r="Z1076" t="b">
        <v>0</v>
      </c>
      <c r="AA1076">
        <v>240.43715846994539</v>
      </c>
      <c r="AN1076" t="e">
        <f>100*(1-E1076/AL1076)</f>
        <v>#DIV/0!</v>
      </c>
    </row>
    <row r="1077" spans="1:40" x14ac:dyDescent="0.3">
      <c r="A1077" t="s">
        <v>39</v>
      </c>
      <c r="B1077" t="s">
        <v>4639</v>
      </c>
      <c r="C1077" t="s">
        <v>4631</v>
      </c>
      <c r="D1077" s="4">
        <v>46010</v>
      </c>
      <c r="E1077">
        <v>17000</v>
      </c>
      <c r="F1077" t="s">
        <v>4640</v>
      </c>
      <c r="G1077" t="s">
        <v>155</v>
      </c>
      <c r="H1077" t="s">
        <v>156</v>
      </c>
      <c r="I1077" t="s">
        <v>157</v>
      </c>
      <c r="J1077" t="s">
        <v>157</v>
      </c>
      <c r="K1077" t="s">
        <v>4632</v>
      </c>
      <c r="L1077" t="s">
        <v>44</v>
      </c>
      <c r="M1077" t="s">
        <v>4633</v>
      </c>
      <c r="N1077">
        <v>49100</v>
      </c>
      <c r="O1077" t="s">
        <v>50</v>
      </c>
      <c r="P1077" t="s">
        <v>232</v>
      </c>
      <c r="Q1077" t="s">
        <v>47</v>
      </c>
      <c r="R1077">
        <v>1982</v>
      </c>
      <c r="S1077">
        <v>68.5</v>
      </c>
      <c r="T1077">
        <v>0</v>
      </c>
      <c r="U1077">
        <v>0</v>
      </c>
      <c r="V1077" t="s">
        <v>4634</v>
      </c>
      <c r="W1077">
        <v>27343506</v>
      </c>
      <c r="X1077" t="s">
        <v>49</v>
      </c>
      <c r="Y1077" t="s">
        <v>4641</v>
      </c>
      <c r="Z1077" t="b">
        <v>0</v>
      </c>
      <c r="AA1077">
        <v>248.17518248175179</v>
      </c>
      <c r="AN1077" t="e">
        <f>100*(1-E1077/AL1077)</f>
        <v>#DIV/0!</v>
      </c>
    </row>
    <row r="1078" spans="1:40" x14ac:dyDescent="0.3">
      <c r="A1078" t="s">
        <v>39</v>
      </c>
      <c r="B1078" t="s">
        <v>4642</v>
      </c>
      <c r="C1078" t="s">
        <v>4631</v>
      </c>
      <c r="D1078" s="4">
        <v>46010</v>
      </c>
      <c r="E1078">
        <v>68000</v>
      </c>
      <c r="F1078" t="s">
        <v>292</v>
      </c>
      <c r="G1078" t="s">
        <v>155</v>
      </c>
      <c r="H1078" t="s">
        <v>156</v>
      </c>
      <c r="I1078" t="s">
        <v>157</v>
      </c>
      <c r="J1078" t="s">
        <v>157</v>
      </c>
      <c r="K1078" t="s">
        <v>4632</v>
      </c>
      <c r="L1078" t="s">
        <v>44</v>
      </c>
      <c r="M1078" t="s">
        <v>4633</v>
      </c>
      <c r="N1078">
        <v>49100</v>
      </c>
      <c r="O1078" t="s">
        <v>50</v>
      </c>
      <c r="P1078" t="s">
        <v>51</v>
      </c>
      <c r="Q1078" t="s">
        <v>52</v>
      </c>
      <c r="R1078">
        <v>1982</v>
      </c>
      <c r="S1078">
        <v>58</v>
      </c>
      <c r="T1078">
        <v>0</v>
      </c>
      <c r="U1078">
        <v>0</v>
      </c>
      <c r="V1078" t="s">
        <v>4634</v>
      </c>
      <c r="W1078">
        <v>27343506</v>
      </c>
      <c r="X1078" t="s">
        <v>49</v>
      </c>
      <c r="Y1078" t="s">
        <v>4643</v>
      </c>
      <c r="Z1078" t="b">
        <v>0</v>
      </c>
      <c r="AA1078">
        <v>1172.4137931034479</v>
      </c>
      <c r="AN1078" t="e">
        <f>100*(1-E1078/AL1078)</f>
        <v>#DIV/0!</v>
      </c>
    </row>
    <row r="1079" spans="1:40" x14ac:dyDescent="0.3">
      <c r="A1079" t="s">
        <v>278</v>
      </c>
      <c r="B1079" t="s">
        <v>6274</v>
      </c>
      <c r="C1079" t="s">
        <v>6274</v>
      </c>
      <c r="D1079" s="4">
        <v>46010</v>
      </c>
      <c r="E1079">
        <v>270000</v>
      </c>
      <c r="F1079" t="s">
        <v>6275</v>
      </c>
      <c r="G1079" t="s">
        <v>454</v>
      </c>
      <c r="H1079" t="s">
        <v>94</v>
      </c>
      <c r="I1079" t="s">
        <v>455</v>
      </c>
      <c r="J1079" t="s">
        <v>235</v>
      </c>
      <c r="K1079" t="s">
        <v>6276</v>
      </c>
      <c r="L1079" t="s">
        <v>44</v>
      </c>
      <c r="M1079" t="s">
        <v>6277</v>
      </c>
      <c r="N1079">
        <v>72300</v>
      </c>
      <c r="O1079" t="s">
        <v>45</v>
      </c>
      <c r="P1079" t="s">
        <v>54</v>
      </c>
      <c r="Q1079" t="s">
        <v>52</v>
      </c>
      <c r="R1079">
        <v>2006</v>
      </c>
      <c r="S1079">
        <v>181.85</v>
      </c>
      <c r="T1079">
        <v>0</v>
      </c>
      <c r="U1079">
        <v>0</v>
      </c>
      <c r="V1079" t="s">
        <v>6278</v>
      </c>
      <c r="W1079">
        <v>42112386</v>
      </c>
      <c r="X1079" t="s">
        <v>49</v>
      </c>
      <c r="Y1079" t="s">
        <v>6279</v>
      </c>
      <c r="Z1079" t="b">
        <v>0</v>
      </c>
      <c r="AA1079">
        <v>1484.7401704701681</v>
      </c>
      <c r="AN1079" t="e">
        <f>100*(1-E1079/AL1079)</f>
        <v>#DIV/0!</v>
      </c>
    </row>
    <row r="1080" spans="1:40" x14ac:dyDescent="0.3">
      <c r="A1080" t="s">
        <v>59</v>
      </c>
      <c r="B1080" t="s">
        <v>6552</v>
      </c>
      <c r="C1080" t="s">
        <v>6552</v>
      </c>
      <c r="D1080" s="4">
        <v>46010</v>
      </c>
      <c r="E1080">
        <v>133000</v>
      </c>
      <c r="F1080" t="s">
        <v>6553</v>
      </c>
      <c r="G1080" t="s">
        <v>1478</v>
      </c>
      <c r="H1080" t="s">
        <v>111</v>
      </c>
      <c r="I1080" t="s">
        <v>1479</v>
      </c>
      <c r="J1080" t="s">
        <v>165</v>
      </c>
      <c r="K1080" t="s">
        <v>6554</v>
      </c>
      <c r="L1080" t="s">
        <v>44</v>
      </c>
      <c r="M1080" t="s">
        <v>6555</v>
      </c>
      <c r="N1080">
        <v>32300</v>
      </c>
      <c r="O1080" t="s">
        <v>45</v>
      </c>
      <c r="P1080" t="s">
        <v>81</v>
      </c>
      <c r="Q1080" t="s">
        <v>55</v>
      </c>
      <c r="R1080">
        <v>2009</v>
      </c>
      <c r="S1080">
        <v>257.52</v>
      </c>
      <c r="T1080">
        <v>0</v>
      </c>
      <c r="U1080">
        <v>0</v>
      </c>
      <c r="V1080" t="s">
        <v>6556</v>
      </c>
      <c r="W1080">
        <v>132015011</v>
      </c>
      <c r="X1080" t="s">
        <v>49</v>
      </c>
      <c r="Y1080" t="s">
        <v>6557</v>
      </c>
      <c r="Z1080" t="b">
        <v>0</v>
      </c>
      <c r="AA1080">
        <v>516.46474060267167</v>
      </c>
      <c r="AN1080" t="e">
        <f>100*(1-E1080/AL1080)</f>
        <v>#DIV/0!</v>
      </c>
    </row>
    <row r="1081" spans="1:40" x14ac:dyDescent="0.3">
      <c r="A1081" t="s">
        <v>71</v>
      </c>
      <c r="B1081" t="s">
        <v>2955</v>
      </c>
      <c r="C1081" t="s">
        <v>2955</v>
      </c>
      <c r="D1081" s="4">
        <v>46029</v>
      </c>
      <c r="E1081">
        <v>129600</v>
      </c>
      <c r="F1081" t="s">
        <v>297</v>
      </c>
      <c r="G1081" t="s">
        <v>61</v>
      </c>
      <c r="H1081" t="s">
        <v>62</v>
      </c>
      <c r="I1081" t="s">
        <v>63</v>
      </c>
      <c r="J1081" t="s">
        <v>63</v>
      </c>
      <c r="K1081" t="s">
        <v>2956</v>
      </c>
      <c r="L1081" t="s">
        <v>44</v>
      </c>
      <c r="M1081" t="s">
        <v>2957</v>
      </c>
      <c r="N1081">
        <v>54249</v>
      </c>
      <c r="O1081" t="s">
        <v>45</v>
      </c>
      <c r="P1081" t="s">
        <v>54</v>
      </c>
      <c r="Q1081" t="s">
        <v>100</v>
      </c>
      <c r="R1081">
        <v>0</v>
      </c>
      <c r="S1081">
        <v>82.28</v>
      </c>
      <c r="T1081">
        <v>0</v>
      </c>
      <c r="U1081">
        <v>0</v>
      </c>
      <c r="V1081" t="s">
        <v>2958</v>
      </c>
      <c r="W1081" t="s">
        <v>2959</v>
      </c>
      <c r="X1081" t="s">
        <v>86</v>
      </c>
      <c r="Y1081" t="s">
        <v>2960</v>
      </c>
      <c r="Z1081" t="b">
        <v>0</v>
      </c>
      <c r="AA1081">
        <v>1575.109382596014</v>
      </c>
      <c r="AN1081" t="e">
        <f>100*(1-E1081/AL1081)</f>
        <v>#DIV/0!</v>
      </c>
    </row>
    <row r="1082" spans="1:40" x14ac:dyDescent="0.3">
      <c r="A1082" t="s">
        <v>278</v>
      </c>
      <c r="B1082" t="s">
        <v>2961</v>
      </c>
      <c r="C1082" t="s">
        <v>2961</v>
      </c>
      <c r="D1082" s="4">
        <v>46029</v>
      </c>
      <c r="E1082">
        <v>126000</v>
      </c>
      <c r="F1082" t="s">
        <v>2962</v>
      </c>
      <c r="G1082" t="s">
        <v>2814</v>
      </c>
      <c r="H1082" t="s">
        <v>230</v>
      </c>
      <c r="I1082" t="s">
        <v>2815</v>
      </c>
      <c r="J1082" t="s">
        <v>631</v>
      </c>
      <c r="K1082" t="s">
        <v>2963</v>
      </c>
      <c r="L1082" t="s">
        <v>44</v>
      </c>
      <c r="M1082" t="s">
        <v>2964</v>
      </c>
      <c r="N1082">
        <v>69100</v>
      </c>
      <c r="O1082" t="s">
        <v>45</v>
      </c>
      <c r="P1082" t="s">
        <v>54</v>
      </c>
      <c r="Q1082" t="s">
        <v>55</v>
      </c>
      <c r="R1082">
        <v>0</v>
      </c>
      <c r="S1082">
        <v>102.81</v>
      </c>
      <c r="T1082">
        <v>0</v>
      </c>
      <c r="U1082">
        <v>0</v>
      </c>
      <c r="V1082" t="s">
        <v>2965</v>
      </c>
      <c r="W1082">
        <v>66161049</v>
      </c>
      <c r="X1082" t="s">
        <v>86</v>
      </c>
      <c r="Y1082" t="s">
        <v>2966</v>
      </c>
      <c r="Z1082" t="b">
        <v>0</v>
      </c>
      <c r="AA1082">
        <v>1225.5617157864019</v>
      </c>
      <c r="AN1082" t="e">
        <f>100*(1-E1082/AL1082)</f>
        <v>#DIV/0!</v>
      </c>
    </row>
    <row r="1083" spans="1:40" x14ac:dyDescent="0.3">
      <c r="A1083" t="s">
        <v>278</v>
      </c>
      <c r="B1083" t="s">
        <v>2967</v>
      </c>
      <c r="C1083" t="s">
        <v>2967</v>
      </c>
      <c r="D1083" s="4">
        <v>46029</v>
      </c>
      <c r="E1083">
        <v>67500</v>
      </c>
      <c r="F1083" t="s">
        <v>2968</v>
      </c>
      <c r="G1083" t="s">
        <v>462</v>
      </c>
      <c r="H1083" t="s">
        <v>230</v>
      </c>
      <c r="I1083" t="s">
        <v>463</v>
      </c>
      <c r="J1083" t="s">
        <v>464</v>
      </c>
      <c r="K1083" t="s">
        <v>2969</v>
      </c>
      <c r="L1083" t="s">
        <v>44</v>
      </c>
      <c r="M1083" t="s">
        <v>2970</v>
      </c>
      <c r="N1083">
        <v>68100</v>
      </c>
      <c r="O1083" t="s">
        <v>50</v>
      </c>
      <c r="P1083" t="s">
        <v>51</v>
      </c>
      <c r="Q1083" t="s">
        <v>52</v>
      </c>
      <c r="R1083">
        <v>0</v>
      </c>
      <c r="S1083">
        <v>107.94</v>
      </c>
      <c r="T1083">
        <v>0</v>
      </c>
      <c r="U1083">
        <v>0</v>
      </c>
      <c r="V1083" t="s">
        <v>2971</v>
      </c>
      <c r="W1083">
        <v>45775962</v>
      </c>
      <c r="X1083" t="s">
        <v>49</v>
      </c>
      <c r="Y1083" t="s">
        <v>2972</v>
      </c>
      <c r="Z1083" t="b">
        <v>0</v>
      </c>
      <c r="AA1083">
        <v>625.34741523068374</v>
      </c>
      <c r="AN1083" t="e">
        <f>100*(1-E1083/AL1083)</f>
        <v>#DIV/0!</v>
      </c>
    </row>
    <row r="1084" spans="1:40" x14ac:dyDescent="0.3">
      <c r="A1084" t="s">
        <v>139</v>
      </c>
      <c r="B1084" t="s">
        <v>3695</v>
      </c>
      <c r="C1084" t="s">
        <v>3695</v>
      </c>
      <c r="D1084" s="4">
        <v>46029</v>
      </c>
      <c r="E1084">
        <v>40000</v>
      </c>
      <c r="F1084" t="s">
        <v>3696</v>
      </c>
      <c r="G1084" t="s">
        <v>3697</v>
      </c>
      <c r="H1084" t="s">
        <v>230</v>
      </c>
      <c r="I1084" t="s">
        <v>3698</v>
      </c>
      <c r="J1084" t="s">
        <v>464</v>
      </c>
      <c r="K1084" t="s">
        <v>3699</v>
      </c>
      <c r="L1084" t="s">
        <v>44</v>
      </c>
      <c r="M1084" t="s">
        <v>3697</v>
      </c>
      <c r="N1084">
        <v>68010</v>
      </c>
      <c r="O1084" t="s">
        <v>45</v>
      </c>
      <c r="P1084" t="s">
        <v>81</v>
      </c>
      <c r="Q1084" t="s">
        <v>55</v>
      </c>
      <c r="R1084">
        <v>1967</v>
      </c>
      <c r="S1084">
        <v>208</v>
      </c>
      <c r="T1084">
        <v>0</v>
      </c>
      <c r="U1084">
        <v>0</v>
      </c>
      <c r="V1084" t="s">
        <v>3700</v>
      </c>
      <c r="W1084">
        <v>42271072</v>
      </c>
      <c r="X1084" t="s">
        <v>86</v>
      </c>
      <c r="Y1084" t="s">
        <v>3701</v>
      </c>
      <c r="Z1084" t="b">
        <v>0</v>
      </c>
      <c r="AA1084">
        <v>192.30769230769229</v>
      </c>
      <c r="AN1084" t="e">
        <f>100*(1-E1084/AL1084)</f>
        <v>#DIV/0!</v>
      </c>
    </row>
    <row r="1085" spans="1:40" x14ac:dyDescent="0.3">
      <c r="A1085" t="s">
        <v>3605</v>
      </c>
      <c r="B1085" t="s">
        <v>4481</v>
      </c>
      <c r="C1085" t="s">
        <v>4481</v>
      </c>
      <c r="D1085" s="4">
        <v>46029</v>
      </c>
      <c r="E1085">
        <v>72000</v>
      </c>
      <c r="F1085" t="s">
        <v>4482</v>
      </c>
      <c r="G1085" t="s">
        <v>425</v>
      </c>
      <c r="H1085" t="s">
        <v>230</v>
      </c>
      <c r="I1085" t="s">
        <v>426</v>
      </c>
      <c r="J1085" t="s">
        <v>426</v>
      </c>
      <c r="K1085" t="s">
        <v>4483</v>
      </c>
      <c r="L1085" t="s">
        <v>44</v>
      </c>
      <c r="M1085" t="s">
        <v>4484</v>
      </c>
      <c r="N1085">
        <v>67100</v>
      </c>
      <c r="O1085" t="s">
        <v>50</v>
      </c>
      <c r="P1085" t="s">
        <v>51</v>
      </c>
      <c r="Q1085" t="s">
        <v>52</v>
      </c>
      <c r="R1085">
        <v>1980</v>
      </c>
      <c r="S1085">
        <v>110.78</v>
      </c>
      <c r="T1085">
        <v>0</v>
      </c>
      <c r="U1085">
        <v>0</v>
      </c>
      <c r="V1085" t="s">
        <v>4485</v>
      </c>
      <c r="W1085">
        <v>69323301</v>
      </c>
      <c r="X1085" t="s">
        <v>49</v>
      </c>
      <c r="Y1085" t="s">
        <v>4486</v>
      </c>
      <c r="Z1085" t="b">
        <v>0</v>
      </c>
      <c r="AA1085">
        <v>649.93681169886258</v>
      </c>
      <c r="AN1085" t="e">
        <f>100*(1-E1085/AL1085)</f>
        <v>#DIV/0!</v>
      </c>
    </row>
    <row r="1086" spans="1:40" x14ac:dyDescent="0.3">
      <c r="A1086" t="s">
        <v>71</v>
      </c>
      <c r="B1086" t="s">
        <v>4593</v>
      </c>
      <c r="C1086" t="s">
        <v>4593</v>
      </c>
      <c r="D1086" s="4">
        <v>46029</v>
      </c>
      <c r="E1086">
        <v>95000</v>
      </c>
      <c r="F1086" t="s">
        <v>4594</v>
      </c>
      <c r="G1086" t="s">
        <v>263</v>
      </c>
      <c r="H1086" t="s">
        <v>67</v>
      </c>
      <c r="I1086" t="s">
        <v>264</v>
      </c>
      <c r="J1086" t="s">
        <v>67</v>
      </c>
      <c r="K1086" t="s">
        <v>4595</v>
      </c>
      <c r="L1086" t="s">
        <v>44</v>
      </c>
      <c r="M1086" t="s">
        <v>4596</v>
      </c>
      <c r="N1086">
        <v>15126</v>
      </c>
      <c r="O1086" t="s">
        <v>50</v>
      </c>
      <c r="P1086" t="s">
        <v>51</v>
      </c>
      <c r="Q1086" t="s">
        <v>52</v>
      </c>
      <c r="R1086">
        <v>1981</v>
      </c>
      <c r="S1086">
        <v>80.900000000000006</v>
      </c>
      <c r="T1086">
        <v>0</v>
      </c>
      <c r="U1086">
        <v>0</v>
      </c>
      <c r="V1086" t="s">
        <v>4597</v>
      </c>
      <c r="W1086">
        <v>33853707</v>
      </c>
      <c r="X1086" t="s">
        <v>49</v>
      </c>
      <c r="Y1086" t="s">
        <v>4598</v>
      </c>
      <c r="Z1086" t="b">
        <v>0</v>
      </c>
      <c r="AA1086">
        <v>1174.2892459826951</v>
      </c>
      <c r="AN1086" t="e">
        <f>100*(1-E1086/AL1086)</f>
        <v>#DIV/0!</v>
      </c>
    </row>
    <row r="1087" spans="1:40" x14ac:dyDescent="0.3">
      <c r="A1087" t="s">
        <v>59</v>
      </c>
      <c r="B1087" t="s">
        <v>6493</v>
      </c>
      <c r="C1087" t="s">
        <v>6493</v>
      </c>
      <c r="D1087" s="4">
        <v>46029</v>
      </c>
      <c r="E1087">
        <v>82000</v>
      </c>
      <c r="F1087" t="s">
        <v>208</v>
      </c>
      <c r="G1087" t="s">
        <v>110</v>
      </c>
      <c r="H1087" t="s">
        <v>111</v>
      </c>
      <c r="I1087" t="s">
        <v>112</v>
      </c>
      <c r="J1087" t="s">
        <v>113</v>
      </c>
      <c r="K1087" t="s">
        <v>6494</v>
      </c>
      <c r="L1087" t="s">
        <v>44</v>
      </c>
      <c r="M1087" t="s">
        <v>6495</v>
      </c>
      <c r="N1087">
        <v>35100</v>
      </c>
      <c r="O1087" t="s">
        <v>45</v>
      </c>
      <c r="P1087" t="s">
        <v>54</v>
      </c>
      <c r="Q1087" t="s">
        <v>52</v>
      </c>
      <c r="R1087">
        <v>2008</v>
      </c>
      <c r="S1087">
        <v>55</v>
      </c>
      <c r="T1087">
        <v>0</v>
      </c>
      <c r="U1087">
        <v>0</v>
      </c>
      <c r="V1087" t="s">
        <v>6496</v>
      </c>
      <c r="W1087">
        <v>117656739</v>
      </c>
      <c r="X1087" t="s">
        <v>86</v>
      </c>
      <c r="Y1087" t="s">
        <v>6497</v>
      </c>
      <c r="Z1087" t="b">
        <v>0</v>
      </c>
      <c r="AA1087">
        <v>1490.909090909091</v>
      </c>
      <c r="AN1087" t="e">
        <f>100*(1-E1087/AL1087)</f>
        <v>#DIV/0!</v>
      </c>
    </row>
    <row r="1088" spans="1:40" x14ac:dyDescent="0.3">
      <c r="A1088" t="s">
        <v>166</v>
      </c>
      <c r="B1088" t="s">
        <v>6558</v>
      </c>
      <c r="C1088" t="s">
        <v>6558</v>
      </c>
      <c r="D1088" s="4">
        <v>46029</v>
      </c>
      <c r="E1088">
        <v>113000</v>
      </c>
      <c r="F1088" t="s">
        <v>383</v>
      </c>
      <c r="G1088" t="s">
        <v>6559</v>
      </c>
      <c r="H1088" t="s">
        <v>124</v>
      </c>
      <c r="I1088" t="s">
        <v>405</v>
      </c>
      <c r="J1088" t="s">
        <v>126</v>
      </c>
      <c r="K1088" t="s">
        <v>6560</v>
      </c>
      <c r="L1088" t="s">
        <v>44</v>
      </c>
      <c r="M1088" t="s">
        <v>6561</v>
      </c>
      <c r="N1088">
        <v>26500</v>
      </c>
      <c r="O1088" t="s">
        <v>45</v>
      </c>
      <c r="P1088" t="s">
        <v>54</v>
      </c>
      <c r="Q1088" t="s">
        <v>85</v>
      </c>
      <c r="R1088">
        <v>2009</v>
      </c>
      <c r="S1088">
        <v>92.29</v>
      </c>
      <c r="T1088">
        <v>0</v>
      </c>
      <c r="U1088">
        <v>0</v>
      </c>
      <c r="V1088" t="s">
        <v>6562</v>
      </c>
      <c r="W1088">
        <v>121073961</v>
      </c>
      <c r="X1088" t="s">
        <v>49</v>
      </c>
      <c r="Y1088" t="s">
        <v>6563</v>
      </c>
      <c r="Z1088" t="b">
        <v>0</v>
      </c>
      <c r="AA1088">
        <v>1224.401343590855</v>
      </c>
      <c r="AN1088" t="e">
        <f>100*(1-E1088/AL1088)</f>
        <v>#DIV/0!</v>
      </c>
    </row>
    <row r="1089" spans="1:40" x14ac:dyDescent="0.3">
      <c r="A1089" t="s">
        <v>166</v>
      </c>
      <c r="B1089" t="s">
        <v>2973</v>
      </c>
      <c r="C1089" t="s">
        <v>2973</v>
      </c>
      <c r="D1089" s="4">
        <v>46030</v>
      </c>
      <c r="E1089">
        <v>95500</v>
      </c>
      <c r="F1089" t="s">
        <v>1391</v>
      </c>
      <c r="G1089" t="s">
        <v>248</v>
      </c>
      <c r="H1089" t="s">
        <v>67</v>
      </c>
      <c r="I1089" t="s">
        <v>249</v>
      </c>
      <c r="J1089" t="s">
        <v>67</v>
      </c>
      <c r="K1089" t="s">
        <v>2974</v>
      </c>
      <c r="L1089" t="s">
        <v>44</v>
      </c>
      <c r="M1089" t="s">
        <v>2975</v>
      </c>
      <c r="N1089">
        <v>12462</v>
      </c>
      <c r="O1089" t="s">
        <v>45</v>
      </c>
      <c r="P1089" t="s">
        <v>54</v>
      </c>
      <c r="Q1089" t="s">
        <v>52</v>
      </c>
      <c r="R1089">
        <v>0</v>
      </c>
      <c r="S1089">
        <v>55.97</v>
      </c>
      <c r="T1089">
        <v>0</v>
      </c>
      <c r="U1089">
        <v>0</v>
      </c>
      <c r="V1089" t="s">
        <v>2976</v>
      </c>
      <c r="W1089">
        <v>48069919</v>
      </c>
      <c r="X1089" t="s">
        <v>86</v>
      </c>
      <c r="Y1089" t="s">
        <v>2977</v>
      </c>
      <c r="Z1089" t="b">
        <v>0</v>
      </c>
      <c r="AA1089">
        <v>1706.2712167232451</v>
      </c>
      <c r="AN1089" t="e">
        <f>100*(1-E1089/AL1089)</f>
        <v>#DIV/0!</v>
      </c>
    </row>
    <row r="1090" spans="1:40" x14ac:dyDescent="0.3">
      <c r="A1090" t="s">
        <v>278</v>
      </c>
      <c r="B1090" t="s">
        <v>2978</v>
      </c>
      <c r="C1090" t="s">
        <v>2979</v>
      </c>
      <c r="D1090" s="4">
        <v>46030</v>
      </c>
      <c r="E1090">
        <v>69000</v>
      </c>
      <c r="F1090" t="s">
        <v>1391</v>
      </c>
      <c r="G1090" t="s">
        <v>115</v>
      </c>
      <c r="H1090" t="s">
        <v>67</v>
      </c>
      <c r="I1090" t="s">
        <v>116</v>
      </c>
      <c r="J1090" t="s">
        <v>67</v>
      </c>
      <c r="K1090" t="s">
        <v>2980</v>
      </c>
      <c r="L1090" t="s">
        <v>44</v>
      </c>
      <c r="M1090" t="s">
        <v>2981</v>
      </c>
      <c r="N1090">
        <v>11143</v>
      </c>
      <c r="O1090" t="s">
        <v>45</v>
      </c>
      <c r="P1090" t="s">
        <v>54</v>
      </c>
      <c r="Q1090" t="s">
        <v>85</v>
      </c>
      <c r="R1090">
        <v>0</v>
      </c>
      <c r="S1090">
        <v>55.9</v>
      </c>
      <c r="T1090">
        <v>0</v>
      </c>
      <c r="U1090">
        <v>0</v>
      </c>
      <c r="V1090" t="s">
        <v>2982</v>
      </c>
      <c r="W1090" t="s">
        <v>2983</v>
      </c>
      <c r="X1090" t="s">
        <v>49</v>
      </c>
      <c r="Y1090" t="s">
        <v>2984</v>
      </c>
      <c r="Z1090" t="b">
        <v>0</v>
      </c>
      <c r="AA1090">
        <v>1234.3470483005369</v>
      </c>
      <c r="AN1090" t="e">
        <f>100*(1-E1090/AL1090)</f>
        <v>#DIV/0!</v>
      </c>
    </row>
    <row r="1091" spans="1:40" x14ac:dyDescent="0.3">
      <c r="A1091" t="s">
        <v>278</v>
      </c>
      <c r="B1091" t="s">
        <v>2985</v>
      </c>
      <c r="C1091" t="s">
        <v>2979</v>
      </c>
      <c r="D1091" s="4">
        <v>46030</v>
      </c>
      <c r="E1091">
        <v>75000</v>
      </c>
      <c r="F1091" t="s">
        <v>162</v>
      </c>
      <c r="G1091" t="s">
        <v>115</v>
      </c>
      <c r="H1091" t="s">
        <v>67</v>
      </c>
      <c r="I1091" t="s">
        <v>116</v>
      </c>
      <c r="J1091" t="s">
        <v>67</v>
      </c>
      <c r="K1091" t="s">
        <v>2986</v>
      </c>
      <c r="L1091" t="s">
        <v>44</v>
      </c>
      <c r="M1091" t="s">
        <v>2987</v>
      </c>
      <c r="N1091">
        <v>11145</v>
      </c>
      <c r="O1091" t="s">
        <v>45</v>
      </c>
      <c r="P1091" t="s">
        <v>54</v>
      </c>
      <c r="Q1091" t="s">
        <v>55</v>
      </c>
      <c r="R1091">
        <v>0</v>
      </c>
      <c r="S1091">
        <v>71</v>
      </c>
      <c r="T1091">
        <v>0</v>
      </c>
      <c r="U1091">
        <v>0</v>
      </c>
      <c r="V1091" t="s">
        <v>2982</v>
      </c>
      <c r="W1091" t="s">
        <v>2983</v>
      </c>
      <c r="X1091" t="s">
        <v>49</v>
      </c>
      <c r="Y1091" t="s">
        <v>2988</v>
      </c>
      <c r="Z1091" t="b">
        <v>0</v>
      </c>
      <c r="AA1091">
        <v>1056.338028169014</v>
      </c>
      <c r="AN1091" t="e">
        <f>100*(1-E1091/AL1091)</f>
        <v>#DIV/0!</v>
      </c>
    </row>
    <row r="1092" spans="1:40" x14ac:dyDescent="0.3">
      <c r="A1092" t="s">
        <v>278</v>
      </c>
      <c r="B1092" t="s">
        <v>2989</v>
      </c>
      <c r="C1092" t="s">
        <v>2989</v>
      </c>
      <c r="D1092" s="4">
        <v>46030</v>
      </c>
      <c r="E1092">
        <v>60000</v>
      </c>
      <c r="F1092" t="s">
        <v>607</v>
      </c>
      <c r="G1092" t="s">
        <v>446</v>
      </c>
      <c r="H1092" t="s">
        <v>67</v>
      </c>
      <c r="I1092" t="s">
        <v>447</v>
      </c>
      <c r="J1092" t="s">
        <v>67</v>
      </c>
      <c r="K1092" t="s">
        <v>2990</v>
      </c>
      <c r="L1092" t="s">
        <v>44</v>
      </c>
      <c r="M1092" t="s">
        <v>2991</v>
      </c>
      <c r="N1092">
        <v>15773</v>
      </c>
      <c r="O1092" t="s">
        <v>45</v>
      </c>
      <c r="P1092" t="s">
        <v>54</v>
      </c>
      <c r="Q1092" t="s">
        <v>189</v>
      </c>
      <c r="R1092">
        <v>0</v>
      </c>
      <c r="S1092">
        <v>66.900000000000006</v>
      </c>
      <c r="T1092">
        <v>0</v>
      </c>
      <c r="U1092">
        <v>0</v>
      </c>
      <c r="V1092" t="s">
        <v>2992</v>
      </c>
      <c r="W1092">
        <v>73725140</v>
      </c>
      <c r="X1092" t="s">
        <v>49</v>
      </c>
      <c r="Y1092" t="s">
        <v>2993</v>
      </c>
      <c r="Z1092" t="b">
        <v>0</v>
      </c>
      <c r="AA1092">
        <v>896.86098654708508</v>
      </c>
      <c r="AN1092" t="e">
        <f>100*(1-E1092/AL1092)</f>
        <v>#DIV/0!</v>
      </c>
    </row>
    <row r="1093" spans="1:40" x14ac:dyDescent="0.3">
      <c r="A1093" t="s">
        <v>278</v>
      </c>
      <c r="B1093" t="s">
        <v>2994</v>
      </c>
      <c r="C1093" t="s">
        <v>2994</v>
      </c>
      <c r="D1093" s="4">
        <v>46030</v>
      </c>
      <c r="E1093">
        <v>273000</v>
      </c>
      <c r="F1093" t="s">
        <v>2995</v>
      </c>
      <c r="G1093" t="s">
        <v>340</v>
      </c>
      <c r="H1093" t="s">
        <v>67</v>
      </c>
      <c r="I1093" t="s">
        <v>341</v>
      </c>
      <c r="J1093" t="s">
        <v>67</v>
      </c>
      <c r="K1093" t="s">
        <v>2996</v>
      </c>
      <c r="L1093" t="s">
        <v>44</v>
      </c>
      <c r="M1093" t="s">
        <v>2997</v>
      </c>
      <c r="N1093">
        <v>16562</v>
      </c>
      <c r="O1093" t="s">
        <v>45</v>
      </c>
      <c r="P1093" t="s">
        <v>288</v>
      </c>
      <c r="Q1093" t="s">
        <v>100</v>
      </c>
      <c r="R1093">
        <v>0</v>
      </c>
      <c r="S1093">
        <v>118.7</v>
      </c>
      <c r="T1093">
        <v>0</v>
      </c>
      <c r="U1093">
        <v>0</v>
      </c>
      <c r="V1093" t="s">
        <v>2998</v>
      </c>
      <c r="W1093">
        <v>31020413</v>
      </c>
      <c r="X1093" t="s">
        <v>49</v>
      </c>
      <c r="Y1093" t="s">
        <v>2999</v>
      </c>
      <c r="Z1093" t="b">
        <v>0</v>
      </c>
      <c r="AA1093">
        <v>2299.9157540016849</v>
      </c>
      <c r="AN1093" t="e">
        <f>100*(1-E1093/AL1093)</f>
        <v>#DIV/0!</v>
      </c>
    </row>
    <row r="1094" spans="1:40" x14ac:dyDescent="0.3">
      <c r="A1094" t="s">
        <v>59</v>
      </c>
      <c r="B1094" t="s">
        <v>3000</v>
      </c>
      <c r="C1094" t="s">
        <v>3000</v>
      </c>
      <c r="D1094" s="4">
        <v>46030</v>
      </c>
      <c r="E1094">
        <v>77000</v>
      </c>
      <c r="F1094" t="s">
        <v>3001</v>
      </c>
      <c r="G1094" t="s">
        <v>115</v>
      </c>
      <c r="H1094" t="s">
        <v>67</v>
      </c>
      <c r="I1094" t="s">
        <v>116</v>
      </c>
      <c r="J1094" t="s">
        <v>67</v>
      </c>
      <c r="K1094" t="s">
        <v>3002</v>
      </c>
      <c r="L1094" t="s">
        <v>44</v>
      </c>
      <c r="M1094" t="s">
        <v>3003</v>
      </c>
      <c r="N1094">
        <v>10439</v>
      </c>
      <c r="O1094" t="s">
        <v>45</v>
      </c>
      <c r="P1094" t="s">
        <v>54</v>
      </c>
      <c r="Q1094" t="s">
        <v>55</v>
      </c>
      <c r="R1094">
        <v>0</v>
      </c>
      <c r="S1094">
        <v>65.900000000000006</v>
      </c>
      <c r="T1094">
        <v>0</v>
      </c>
      <c r="U1094">
        <v>0</v>
      </c>
      <c r="V1094" t="s">
        <v>3004</v>
      </c>
      <c r="W1094">
        <v>75663729</v>
      </c>
      <c r="X1094" t="s">
        <v>49</v>
      </c>
      <c r="Y1094" t="s">
        <v>3005</v>
      </c>
      <c r="Z1094" t="b">
        <v>0</v>
      </c>
      <c r="AA1094">
        <v>1168.4370257966621</v>
      </c>
      <c r="AN1094" t="e">
        <f>100*(1-E1094/AL1094)</f>
        <v>#DIV/0!</v>
      </c>
    </row>
    <row r="1095" spans="1:40" x14ac:dyDescent="0.3">
      <c r="A1095" t="s">
        <v>39</v>
      </c>
      <c r="B1095" t="s">
        <v>3006</v>
      </c>
      <c r="C1095" t="s">
        <v>3006</v>
      </c>
      <c r="D1095" s="4">
        <v>46031</v>
      </c>
      <c r="E1095">
        <v>60000</v>
      </c>
      <c r="F1095" t="s">
        <v>3007</v>
      </c>
      <c r="G1095" t="s">
        <v>3008</v>
      </c>
      <c r="H1095" t="s">
        <v>102</v>
      </c>
      <c r="I1095" t="s">
        <v>3009</v>
      </c>
      <c r="J1095" t="s">
        <v>237</v>
      </c>
      <c r="K1095" t="s">
        <v>3010</v>
      </c>
      <c r="L1095" t="s">
        <v>44</v>
      </c>
      <c r="M1095" t="s">
        <v>3011</v>
      </c>
      <c r="N1095">
        <v>52200</v>
      </c>
      <c r="O1095" t="s">
        <v>45</v>
      </c>
      <c r="P1095" t="s">
        <v>81</v>
      </c>
      <c r="Q1095" t="s">
        <v>55</v>
      </c>
      <c r="R1095">
        <v>0</v>
      </c>
      <c r="S1095">
        <v>348.94</v>
      </c>
      <c r="T1095" t="s">
        <v>48</v>
      </c>
      <c r="U1095">
        <v>50</v>
      </c>
      <c r="V1095" t="s">
        <v>3012</v>
      </c>
      <c r="W1095">
        <v>23470043</v>
      </c>
      <c r="X1095" t="s">
        <v>49</v>
      </c>
      <c r="Y1095" t="s">
        <v>3013</v>
      </c>
      <c r="Z1095" t="b">
        <v>0</v>
      </c>
      <c r="AA1095">
        <v>171.94933226342641</v>
      </c>
      <c r="AN1095" t="e">
        <f>100*(1-E1095/AL1095)</f>
        <v>#DIV/0!</v>
      </c>
    </row>
    <row r="1096" spans="1:40" x14ac:dyDescent="0.3">
      <c r="A1096" t="s">
        <v>139</v>
      </c>
      <c r="B1096" t="s">
        <v>3014</v>
      </c>
      <c r="C1096" t="s">
        <v>3014</v>
      </c>
      <c r="D1096" s="4">
        <v>46036</v>
      </c>
      <c r="E1096">
        <v>120800</v>
      </c>
      <c r="F1096" t="s">
        <v>3015</v>
      </c>
      <c r="G1096" t="s">
        <v>83</v>
      </c>
      <c r="H1096" t="s">
        <v>67</v>
      </c>
      <c r="I1096" t="s">
        <v>84</v>
      </c>
      <c r="J1096" t="s">
        <v>67</v>
      </c>
      <c r="K1096" t="s">
        <v>3016</v>
      </c>
      <c r="L1096" t="s">
        <v>44</v>
      </c>
      <c r="M1096" t="s">
        <v>3017</v>
      </c>
      <c r="N1096">
        <v>12134</v>
      </c>
      <c r="O1096" t="s">
        <v>45</v>
      </c>
      <c r="P1096" t="s">
        <v>54</v>
      </c>
      <c r="Q1096" t="s">
        <v>85</v>
      </c>
      <c r="R1096">
        <v>0</v>
      </c>
      <c r="S1096">
        <v>50</v>
      </c>
      <c r="T1096">
        <v>0</v>
      </c>
      <c r="U1096">
        <v>0</v>
      </c>
      <c r="V1096" t="s">
        <v>3018</v>
      </c>
      <c r="W1096">
        <v>43937609</v>
      </c>
      <c r="X1096" t="s">
        <v>86</v>
      </c>
      <c r="Y1096" t="s">
        <v>3019</v>
      </c>
      <c r="Z1096" t="b">
        <v>0</v>
      </c>
      <c r="AA1096">
        <v>2416</v>
      </c>
      <c r="AN1096" t="e">
        <f>100*(1-E1096/AL1096)</f>
        <v>#DIV/0!</v>
      </c>
    </row>
    <row r="1097" spans="1:40" x14ac:dyDescent="0.3">
      <c r="A1097" t="s">
        <v>139</v>
      </c>
      <c r="B1097" t="s">
        <v>3014</v>
      </c>
      <c r="C1097" t="s">
        <v>3014</v>
      </c>
      <c r="D1097" s="4">
        <v>46036</v>
      </c>
      <c r="E1097">
        <v>120800</v>
      </c>
      <c r="F1097" t="s">
        <v>3015</v>
      </c>
      <c r="G1097" t="s">
        <v>83</v>
      </c>
      <c r="H1097" t="s">
        <v>67</v>
      </c>
      <c r="I1097" t="s">
        <v>84</v>
      </c>
      <c r="J1097" t="s">
        <v>67</v>
      </c>
      <c r="K1097" t="s">
        <v>3016</v>
      </c>
      <c r="L1097" t="s">
        <v>44</v>
      </c>
      <c r="M1097" t="s">
        <v>3017</v>
      </c>
      <c r="N1097">
        <v>12134</v>
      </c>
      <c r="O1097" t="s">
        <v>45</v>
      </c>
      <c r="P1097" t="s">
        <v>54</v>
      </c>
      <c r="Q1097" t="s">
        <v>85</v>
      </c>
      <c r="R1097">
        <v>0</v>
      </c>
      <c r="S1097">
        <v>50</v>
      </c>
      <c r="T1097">
        <v>0</v>
      </c>
      <c r="U1097">
        <v>0</v>
      </c>
      <c r="V1097" t="s">
        <v>3018</v>
      </c>
      <c r="W1097">
        <v>43937609</v>
      </c>
      <c r="X1097" t="s">
        <v>86</v>
      </c>
      <c r="Y1097" t="s">
        <v>3019</v>
      </c>
      <c r="Z1097" t="b">
        <v>0</v>
      </c>
      <c r="AA1097">
        <v>2416</v>
      </c>
      <c r="AN1097" t="e">
        <f>100*(1-E1097/AL1097)</f>
        <v>#DIV/0!</v>
      </c>
    </row>
    <row r="1098" spans="1:40" x14ac:dyDescent="0.3">
      <c r="A1098" t="s">
        <v>166</v>
      </c>
      <c r="B1098" t="s">
        <v>3020</v>
      </c>
      <c r="C1098" t="s">
        <v>3020</v>
      </c>
      <c r="D1098" s="4">
        <v>46036</v>
      </c>
      <c r="E1098">
        <v>37945</v>
      </c>
      <c r="F1098" t="s">
        <v>3021</v>
      </c>
      <c r="G1098" t="s">
        <v>684</v>
      </c>
      <c r="H1098" t="s">
        <v>136</v>
      </c>
      <c r="I1098" t="s">
        <v>451</v>
      </c>
      <c r="J1098" t="s">
        <v>452</v>
      </c>
      <c r="K1098" t="s">
        <v>3022</v>
      </c>
      <c r="L1098" t="s">
        <v>44</v>
      </c>
      <c r="M1098" t="s">
        <v>3023</v>
      </c>
      <c r="N1098">
        <v>38445</v>
      </c>
      <c r="O1098" t="s">
        <v>45</v>
      </c>
      <c r="P1098" t="s">
        <v>54</v>
      </c>
      <c r="Q1098" t="s">
        <v>52</v>
      </c>
      <c r="R1098">
        <v>0</v>
      </c>
      <c r="S1098">
        <v>51.8</v>
      </c>
      <c r="T1098" t="s">
        <v>161</v>
      </c>
      <c r="U1098">
        <v>100</v>
      </c>
      <c r="V1098" t="s">
        <v>3024</v>
      </c>
      <c r="W1098">
        <v>53333300</v>
      </c>
      <c r="X1098" t="s">
        <v>86</v>
      </c>
      <c r="Y1098" t="s">
        <v>3025</v>
      </c>
      <c r="Z1098" t="b">
        <v>0</v>
      </c>
      <c r="AA1098">
        <v>732.52895752895756</v>
      </c>
      <c r="AN1098" t="e">
        <f>100*(1-E1098/AL1098)</f>
        <v>#DIV/0!</v>
      </c>
    </row>
    <row r="1099" spans="1:40" x14ac:dyDescent="0.3">
      <c r="A1099" t="s">
        <v>215</v>
      </c>
      <c r="B1099" t="s">
        <v>3026</v>
      </c>
      <c r="C1099" t="s">
        <v>3026</v>
      </c>
      <c r="D1099" s="4">
        <v>46036</v>
      </c>
      <c r="E1099">
        <v>45196</v>
      </c>
      <c r="F1099" t="s">
        <v>3027</v>
      </c>
      <c r="G1099" t="s">
        <v>3028</v>
      </c>
      <c r="H1099" t="s">
        <v>111</v>
      </c>
      <c r="I1099" t="s">
        <v>3029</v>
      </c>
      <c r="J1099" t="s">
        <v>3030</v>
      </c>
      <c r="K1099" t="s">
        <v>3031</v>
      </c>
      <c r="L1099" t="s">
        <v>44</v>
      </c>
      <c r="M1099" t="s">
        <v>3032</v>
      </c>
      <c r="N1099">
        <v>36100</v>
      </c>
      <c r="O1099" t="s">
        <v>45</v>
      </c>
      <c r="P1099" t="s">
        <v>54</v>
      </c>
      <c r="Q1099" t="s">
        <v>52</v>
      </c>
      <c r="R1099">
        <v>0</v>
      </c>
      <c r="S1099">
        <v>38.549999999999997</v>
      </c>
      <c r="T1099">
        <v>0</v>
      </c>
      <c r="U1099">
        <v>0</v>
      </c>
      <c r="V1099" t="s">
        <v>3033</v>
      </c>
      <c r="W1099" t="s">
        <v>3034</v>
      </c>
      <c r="X1099" t="s">
        <v>86</v>
      </c>
      <c r="Y1099" t="s">
        <v>3035</v>
      </c>
      <c r="Z1099" t="b">
        <v>0</v>
      </c>
      <c r="AA1099">
        <v>1172.399481193255</v>
      </c>
      <c r="AN1099" t="e">
        <f>100*(1-E1099/AL1099)</f>
        <v>#DIV/0!</v>
      </c>
    </row>
    <row r="1100" spans="1:40" x14ac:dyDescent="0.3">
      <c r="A1100" t="s">
        <v>166</v>
      </c>
      <c r="B1100" t="s">
        <v>3036</v>
      </c>
      <c r="C1100" t="s">
        <v>3036</v>
      </c>
      <c r="D1100" s="4">
        <v>46036</v>
      </c>
      <c r="E1100">
        <v>146625</v>
      </c>
      <c r="F1100" t="s">
        <v>3037</v>
      </c>
      <c r="G1100" t="s">
        <v>306</v>
      </c>
      <c r="H1100" t="s">
        <v>67</v>
      </c>
      <c r="I1100" t="s">
        <v>307</v>
      </c>
      <c r="J1100" t="s">
        <v>67</v>
      </c>
      <c r="K1100" t="s">
        <v>3038</v>
      </c>
      <c r="L1100" t="s">
        <v>44</v>
      </c>
      <c r="M1100" t="s">
        <v>3039</v>
      </c>
      <c r="N1100">
        <v>13231</v>
      </c>
      <c r="O1100" t="s">
        <v>45</v>
      </c>
      <c r="P1100" t="s">
        <v>288</v>
      </c>
      <c r="Q1100" t="s">
        <v>64</v>
      </c>
      <c r="R1100">
        <v>0</v>
      </c>
      <c r="S1100">
        <v>119.3</v>
      </c>
      <c r="T1100" t="s">
        <v>48</v>
      </c>
      <c r="U1100">
        <v>50</v>
      </c>
      <c r="V1100" t="s">
        <v>3040</v>
      </c>
      <c r="W1100">
        <v>41718374</v>
      </c>
      <c r="X1100" t="s">
        <v>86</v>
      </c>
      <c r="Y1100" t="s">
        <v>3041</v>
      </c>
      <c r="Z1100" t="b">
        <v>0</v>
      </c>
      <c r="AA1100">
        <v>1229.044425817267</v>
      </c>
      <c r="AN1100" t="e">
        <f>100*(1-E1100/AL1100)</f>
        <v>#DIV/0!</v>
      </c>
    </row>
    <row r="1101" spans="1:40" x14ac:dyDescent="0.3">
      <c r="A1101" t="s">
        <v>166</v>
      </c>
      <c r="B1101" t="s">
        <v>3036</v>
      </c>
      <c r="C1101" t="s">
        <v>3036</v>
      </c>
      <c r="D1101" s="4">
        <v>46036</v>
      </c>
      <c r="E1101">
        <v>146625</v>
      </c>
      <c r="F1101" t="s">
        <v>3037</v>
      </c>
      <c r="G1101" t="s">
        <v>306</v>
      </c>
      <c r="H1101" t="s">
        <v>67</v>
      </c>
      <c r="I1101" t="s">
        <v>307</v>
      </c>
      <c r="J1101" t="s">
        <v>67</v>
      </c>
      <c r="K1101" t="s">
        <v>3038</v>
      </c>
      <c r="L1101" t="s">
        <v>44</v>
      </c>
      <c r="M1101" t="s">
        <v>3039</v>
      </c>
      <c r="N1101">
        <v>13231</v>
      </c>
      <c r="O1101" t="s">
        <v>45</v>
      </c>
      <c r="P1101" t="s">
        <v>288</v>
      </c>
      <c r="Q1101" t="s">
        <v>64</v>
      </c>
      <c r="R1101">
        <v>0</v>
      </c>
      <c r="S1101">
        <v>119.3</v>
      </c>
      <c r="T1101" t="s">
        <v>48</v>
      </c>
      <c r="U1101">
        <v>50</v>
      </c>
      <c r="V1101" t="s">
        <v>3040</v>
      </c>
      <c r="W1101">
        <v>41718374</v>
      </c>
      <c r="X1101" t="s">
        <v>86</v>
      </c>
      <c r="Y1101" t="s">
        <v>3041</v>
      </c>
      <c r="Z1101" t="b">
        <v>0</v>
      </c>
      <c r="AA1101">
        <v>1229.044425817267</v>
      </c>
      <c r="AN1101" t="e">
        <f>100*(1-E1101/AL1101)</f>
        <v>#DIV/0!</v>
      </c>
    </row>
    <row r="1102" spans="1:40" x14ac:dyDescent="0.3">
      <c r="A1102" t="s">
        <v>71</v>
      </c>
      <c r="B1102" t="s">
        <v>3042</v>
      </c>
      <c r="C1102" t="s">
        <v>3042</v>
      </c>
      <c r="D1102" s="4">
        <v>46036</v>
      </c>
      <c r="E1102">
        <v>19207</v>
      </c>
      <c r="F1102" t="s">
        <v>3043</v>
      </c>
      <c r="G1102" t="s">
        <v>110</v>
      </c>
      <c r="H1102" t="s">
        <v>111</v>
      </c>
      <c r="I1102" t="s">
        <v>112</v>
      </c>
      <c r="J1102" t="s">
        <v>113</v>
      </c>
      <c r="K1102" t="s">
        <v>3044</v>
      </c>
      <c r="L1102" t="s">
        <v>44</v>
      </c>
      <c r="M1102" t="s">
        <v>3045</v>
      </c>
      <c r="N1102">
        <v>35100</v>
      </c>
      <c r="O1102" t="s">
        <v>50</v>
      </c>
      <c r="P1102" t="s">
        <v>176</v>
      </c>
      <c r="Q1102" t="s">
        <v>55</v>
      </c>
      <c r="R1102">
        <v>0</v>
      </c>
      <c r="S1102">
        <v>100.5</v>
      </c>
      <c r="T1102" t="s">
        <v>161</v>
      </c>
      <c r="U1102">
        <v>25</v>
      </c>
      <c r="V1102" t="s">
        <v>3046</v>
      </c>
      <c r="W1102">
        <v>34835750</v>
      </c>
      <c r="X1102" t="s">
        <v>86</v>
      </c>
      <c r="Y1102" t="s">
        <v>3047</v>
      </c>
      <c r="Z1102" t="b">
        <v>0</v>
      </c>
      <c r="AA1102">
        <v>191.11442786069651</v>
      </c>
      <c r="AN1102" t="e">
        <f>100*(1-E1102/AL1102)</f>
        <v>#DIV/0!</v>
      </c>
    </row>
    <row r="1103" spans="1:40" x14ac:dyDescent="0.3">
      <c r="A1103" t="s">
        <v>166</v>
      </c>
      <c r="B1103" t="s">
        <v>3036</v>
      </c>
      <c r="C1103" t="s">
        <v>3036</v>
      </c>
      <c r="D1103" s="4">
        <v>46036</v>
      </c>
      <c r="E1103">
        <v>146625</v>
      </c>
      <c r="F1103" t="s">
        <v>3037</v>
      </c>
      <c r="G1103" t="s">
        <v>306</v>
      </c>
      <c r="H1103" t="s">
        <v>67</v>
      </c>
      <c r="I1103" t="s">
        <v>307</v>
      </c>
      <c r="J1103" t="s">
        <v>67</v>
      </c>
      <c r="K1103" t="s">
        <v>3038</v>
      </c>
      <c r="L1103" t="s">
        <v>44</v>
      </c>
      <c r="M1103" t="s">
        <v>3039</v>
      </c>
      <c r="N1103">
        <v>13231</v>
      </c>
      <c r="O1103" t="s">
        <v>45</v>
      </c>
      <c r="P1103" t="s">
        <v>288</v>
      </c>
      <c r="Q1103" t="s">
        <v>64</v>
      </c>
      <c r="R1103">
        <v>0</v>
      </c>
      <c r="S1103">
        <v>119.3</v>
      </c>
      <c r="T1103" t="s">
        <v>48</v>
      </c>
      <c r="U1103">
        <v>50</v>
      </c>
      <c r="V1103" t="s">
        <v>3040</v>
      </c>
      <c r="W1103">
        <v>41718374</v>
      </c>
      <c r="X1103" t="s">
        <v>86</v>
      </c>
      <c r="Y1103" t="s">
        <v>3041</v>
      </c>
      <c r="Z1103" t="b">
        <v>0</v>
      </c>
      <c r="AA1103">
        <v>1229.044425817267</v>
      </c>
      <c r="AN1103" t="e">
        <f>100*(1-E1103/AL1103)</f>
        <v>#DIV/0!</v>
      </c>
    </row>
    <row r="1104" spans="1:40" x14ac:dyDescent="0.3">
      <c r="A1104" t="s">
        <v>71</v>
      </c>
      <c r="B1104" t="s">
        <v>3042</v>
      </c>
      <c r="C1104" t="s">
        <v>3042</v>
      </c>
      <c r="D1104" s="4">
        <v>46036</v>
      </c>
      <c r="E1104">
        <v>19207</v>
      </c>
      <c r="F1104" t="s">
        <v>3043</v>
      </c>
      <c r="G1104" t="s">
        <v>110</v>
      </c>
      <c r="H1104" t="s">
        <v>111</v>
      </c>
      <c r="I1104" t="s">
        <v>112</v>
      </c>
      <c r="J1104" t="s">
        <v>113</v>
      </c>
      <c r="K1104" t="s">
        <v>3044</v>
      </c>
      <c r="L1104" t="s">
        <v>44</v>
      </c>
      <c r="M1104" t="s">
        <v>3045</v>
      </c>
      <c r="N1104">
        <v>35100</v>
      </c>
      <c r="O1104" t="s">
        <v>50</v>
      </c>
      <c r="P1104" t="s">
        <v>176</v>
      </c>
      <c r="Q1104" t="s">
        <v>55</v>
      </c>
      <c r="R1104">
        <v>0</v>
      </c>
      <c r="S1104">
        <v>100.5</v>
      </c>
      <c r="T1104" t="s">
        <v>161</v>
      </c>
      <c r="U1104">
        <v>25</v>
      </c>
      <c r="V1104" t="s">
        <v>3046</v>
      </c>
      <c r="W1104">
        <v>34835750</v>
      </c>
      <c r="X1104" t="s">
        <v>86</v>
      </c>
      <c r="Y1104" t="s">
        <v>3047</v>
      </c>
      <c r="Z1104" t="b">
        <v>0</v>
      </c>
      <c r="AA1104">
        <v>191.11442786069651</v>
      </c>
      <c r="AN1104" t="e">
        <f>100*(1-E1104/AL1104)</f>
        <v>#DIV/0!</v>
      </c>
    </row>
    <row r="1105" spans="1:40" x14ac:dyDescent="0.3">
      <c r="A1105" t="s">
        <v>71</v>
      </c>
      <c r="B1105" t="s">
        <v>3042</v>
      </c>
      <c r="C1105" t="s">
        <v>3042</v>
      </c>
      <c r="D1105" s="4">
        <v>46036</v>
      </c>
      <c r="E1105">
        <v>19207</v>
      </c>
      <c r="F1105" t="s">
        <v>3043</v>
      </c>
      <c r="G1105" t="s">
        <v>110</v>
      </c>
      <c r="H1105" t="s">
        <v>111</v>
      </c>
      <c r="I1105" t="s">
        <v>112</v>
      </c>
      <c r="J1105" t="s">
        <v>113</v>
      </c>
      <c r="K1105" t="s">
        <v>3044</v>
      </c>
      <c r="L1105" t="s">
        <v>44</v>
      </c>
      <c r="M1105" t="s">
        <v>3045</v>
      </c>
      <c r="N1105">
        <v>35100</v>
      </c>
      <c r="O1105" t="s">
        <v>50</v>
      </c>
      <c r="P1105" t="s">
        <v>176</v>
      </c>
      <c r="Q1105" t="s">
        <v>55</v>
      </c>
      <c r="R1105">
        <v>0</v>
      </c>
      <c r="S1105">
        <v>100.5</v>
      </c>
      <c r="T1105" t="s">
        <v>161</v>
      </c>
      <c r="U1105">
        <v>25</v>
      </c>
      <c r="V1105" t="s">
        <v>3046</v>
      </c>
      <c r="W1105">
        <v>34835750</v>
      </c>
      <c r="X1105" t="s">
        <v>86</v>
      </c>
      <c r="Y1105" t="s">
        <v>3047</v>
      </c>
      <c r="Z1105" t="b">
        <v>0</v>
      </c>
      <c r="AA1105">
        <v>191.11442786069651</v>
      </c>
      <c r="AN1105" t="e">
        <f>100*(1-E1105/AL1105)</f>
        <v>#DIV/0!</v>
      </c>
    </row>
    <row r="1106" spans="1:40" x14ac:dyDescent="0.3">
      <c r="A1106" t="s">
        <v>166</v>
      </c>
      <c r="B1106" t="s">
        <v>3036</v>
      </c>
      <c r="C1106" t="s">
        <v>3036</v>
      </c>
      <c r="D1106" s="4">
        <v>46036</v>
      </c>
      <c r="E1106">
        <v>146625</v>
      </c>
      <c r="F1106" t="s">
        <v>3037</v>
      </c>
      <c r="G1106" t="s">
        <v>306</v>
      </c>
      <c r="H1106" t="s">
        <v>67</v>
      </c>
      <c r="I1106" t="s">
        <v>307</v>
      </c>
      <c r="J1106" t="s">
        <v>67</v>
      </c>
      <c r="K1106" t="s">
        <v>3038</v>
      </c>
      <c r="L1106" t="s">
        <v>44</v>
      </c>
      <c r="M1106" t="s">
        <v>3039</v>
      </c>
      <c r="N1106">
        <v>13231</v>
      </c>
      <c r="O1106" t="s">
        <v>45</v>
      </c>
      <c r="P1106" t="s">
        <v>288</v>
      </c>
      <c r="Q1106" t="s">
        <v>64</v>
      </c>
      <c r="R1106">
        <v>0</v>
      </c>
      <c r="S1106">
        <v>119.3</v>
      </c>
      <c r="T1106" t="s">
        <v>48</v>
      </c>
      <c r="U1106">
        <v>50</v>
      </c>
      <c r="V1106" t="s">
        <v>3040</v>
      </c>
      <c r="W1106">
        <v>41718374</v>
      </c>
      <c r="X1106" t="s">
        <v>86</v>
      </c>
      <c r="Y1106" t="s">
        <v>3041</v>
      </c>
      <c r="Z1106" t="b">
        <v>0</v>
      </c>
      <c r="AA1106">
        <v>1229.044425817267</v>
      </c>
      <c r="AN1106" t="e">
        <f>100*(1-E1106/AL1106)</f>
        <v>#DIV/0!</v>
      </c>
    </row>
    <row r="1107" spans="1:40" x14ac:dyDescent="0.3">
      <c r="A1107" t="s">
        <v>166</v>
      </c>
      <c r="B1107" t="s">
        <v>3048</v>
      </c>
      <c r="C1107" t="s">
        <v>3048</v>
      </c>
      <c r="D1107" s="4">
        <v>46036</v>
      </c>
      <c r="E1107">
        <v>68850</v>
      </c>
      <c r="F1107" t="s">
        <v>3049</v>
      </c>
      <c r="G1107" t="s">
        <v>3050</v>
      </c>
      <c r="H1107" t="s">
        <v>67</v>
      </c>
      <c r="I1107" t="s">
        <v>296</v>
      </c>
      <c r="J1107" t="s">
        <v>67</v>
      </c>
      <c r="K1107" t="s">
        <v>3051</v>
      </c>
      <c r="L1107" t="s">
        <v>44</v>
      </c>
      <c r="M1107" t="s">
        <v>3052</v>
      </c>
      <c r="N1107">
        <v>17341</v>
      </c>
      <c r="O1107" t="s">
        <v>45</v>
      </c>
      <c r="P1107" t="s">
        <v>54</v>
      </c>
      <c r="Q1107" t="s">
        <v>55</v>
      </c>
      <c r="R1107">
        <v>0</v>
      </c>
      <c r="S1107">
        <v>57.1</v>
      </c>
      <c r="T1107" t="s">
        <v>161</v>
      </c>
      <c r="U1107">
        <v>100</v>
      </c>
      <c r="V1107" t="s">
        <v>3053</v>
      </c>
      <c r="W1107">
        <v>28599480</v>
      </c>
      <c r="X1107" t="s">
        <v>86</v>
      </c>
      <c r="Y1107" t="s">
        <v>3054</v>
      </c>
      <c r="Z1107" t="b">
        <v>0</v>
      </c>
      <c r="AA1107">
        <v>1205.7793345008761</v>
      </c>
      <c r="AN1107" t="e">
        <f>100*(1-E1107/AL1107)</f>
        <v>#DIV/0!</v>
      </c>
    </row>
    <row r="1108" spans="1:40" x14ac:dyDescent="0.3">
      <c r="A1108" t="s">
        <v>71</v>
      </c>
      <c r="B1108" t="s">
        <v>3055</v>
      </c>
      <c r="C1108" t="s">
        <v>3055</v>
      </c>
      <c r="D1108" s="4">
        <v>46036</v>
      </c>
      <c r="E1108">
        <v>17000</v>
      </c>
      <c r="F1108" t="s">
        <v>365</v>
      </c>
      <c r="G1108" t="s">
        <v>115</v>
      </c>
      <c r="H1108" t="s">
        <v>67</v>
      </c>
      <c r="I1108" t="s">
        <v>116</v>
      </c>
      <c r="J1108" t="s">
        <v>67</v>
      </c>
      <c r="K1108" t="s">
        <v>3056</v>
      </c>
      <c r="L1108" t="s">
        <v>44</v>
      </c>
      <c r="M1108" t="s">
        <v>3057</v>
      </c>
      <c r="N1108">
        <v>11364</v>
      </c>
      <c r="O1108" t="s">
        <v>76</v>
      </c>
      <c r="P1108" t="s">
        <v>160</v>
      </c>
      <c r="Q1108">
        <v>0</v>
      </c>
      <c r="R1108">
        <v>0</v>
      </c>
      <c r="S1108">
        <v>10.130000000000001</v>
      </c>
      <c r="T1108">
        <v>0</v>
      </c>
      <c r="U1108">
        <v>0</v>
      </c>
      <c r="V1108" t="s">
        <v>3058</v>
      </c>
      <c r="W1108">
        <v>36768346</v>
      </c>
      <c r="X1108" t="s">
        <v>86</v>
      </c>
      <c r="Y1108" t="s">
        <v>3059</v>
      </c>
      <c r="Z1108" t="b">
        <v>0</v>
      </c>
      <c r="AA1108">
        <v>1678.1836130306019</v>
      </c>
      <c r="AN1108" t="e">
        <f>100*(1-E1108/AL1108)</f>
        <v>#DIV/0!</v>
      </c>
    </row>
    <row r="1109" spans="1:40" x14ac:dyDescent="0.3">
      <c r="A1109" t="s">
        <v>166</v>
      </c>
      <c r="B1109" t="s">
        <v>3060</v>
      </c>
      <c r="C1109" t="s">
        <v>3060</v>
      </c>
      <c r="D1109" s="4">
        <v>46036</v>
      </c>
      <c r="E1109">
        <v>99900</v>
      </c>
      <c r="F1109" t="s">
        <v>3061</v>
      </c>
      <c r="G1109" t="s">
        <v>298</v>
      </c>
      <c r="H1109" t="s">
        <v>67</v>
      </c>
      <c r="I1109" t="s">
        <v>299</v>
      </c>
      <c r="J1109" t="s">
        <v>67</v>
      </c>
      <c r="K1109" t="s">
        <v>3062</v>
      </c>
      <c r="L1109" t="s">
        <v>44</v>
      </c>
      <c r="M1109" t="s">
        <v>3063</v>
      </c>
      <c r="N1109">
        <v>13122</v>
      </c>
      <c r="O1109" t="s">
        <v>45</v>
      </c>
      <c r="P1109" t="s">
        <v>54</v>
      </c>
      <c r="Q1109" t="s">
        <v>55</v>
      </c>
      <c r="R1109">
        <v>0</v>
      </c>
      <c r="S1109">
        <v>72</v>
      </c>
      <c r="T1109" t="s">
        <v>161</v>
      </c>
      <c r="U1109">
        <v>100</v>
      </c>
      <c r="V1109" t="s">
        <v>3064</v>
      </c>
      <c r="W1109">
        <v>27726450</v>
      </c>
      <c r="X1109" t="s">
        <v>86</v>
      </c>
      <c r="Y1109" t="s">
        <v>3065</v>
      </c>
      <c r="Z1109" t="b">
        <v>0</v>
      </c>
      <c r="AA1109">
        <v>1387.5</v>
      </c>
      <c r="AN1109" t="e">
        <f>100*(1-E1109/AL1109)</f>
        <v>#DIV/0!</v>
      </c>
    </row>
    <row r="1110" spans="1:40" x14ac:dyDescent="0.3">
      <c r="A1110" t="s">
        <v>166</v>
      </c>
      <c r="B1110" t="s">
        <v>3066</v>
      </c>
      <c r="C1110" t="s">
        <v>3067</v>
      </c>
      <c r="D1110" s="4">
        <v>46036</v>
      </c>
      <c r="E1110">
        <v>394000</v>
      </c>
      <c r="F1110" t="s">
        <v>3068</v>
      </c>
      <c r="G1110" t="s">
        <v>990</v>
      </c>
      <c r="H1110" t="s">
        <v>67</v>
      </c>
      <c r="I1110" t="s">
        <v>991</v>
      </c>
      <c r="J1110" t="s">
        <v>67</v>
      </c>
      <c r="K1110" t="s">
        <v>3069</v>
      </c>
      <c r="L1110" t="s">
        <v>44</v>
      </c>
      <c r="M1110" t="s">
        <v>3070</v>
      </c>
      <c r="N1110">
        <v>17123</v>
      </c>
      <c r="O1110" t="s">
        <v>45</v>
      </c>
      <c r="P1110" t="s">
        <v>54</v>
      </c>
      <c r="Q1110" t="s">
        <v>3071</v>
      </c>
      <c r="R1110">
        <v>0</v>
      </c>
      <c r="S1110">
        <v>128.75</v>
      </c>
      <c r="T1110">
        <v>0</v>
      </c>
      <c r="U1110">
        <v>0</v>
      </c>
      <c r="V1110" t="s">
        <v>3072</v>
      </c>
      <c r="W1110">
        <v>53966914</v>
      </c>
      <c r="X1110" t="s">
        <v>49</v>
      </c>
      <c r="Y1110" t="s">
        <v>3073</v>
      </c>
      <c r="Z1110" t="b">
        <v>0</v>
      </c>
      <c r="AA1110">
        <v>3060.194174757281</v>
      </c>
      <c r="AN1110" t="e">
        <f>100*(1-E1110/AL1110)</f>
        <v>#DIV/0!</v>
      </c>
    </row>
    <row r="1111" spans="1:40" x14ac:dyDescent="0.3">
      <c r="A1111" t="s">
        <v>166</v>
      </c>
      <c r="B1111" t="s">
        <v>3074</v>
      </c>
      <c r="C1111" t="s">
        <v>3067</v>
      </c>
      <c r="D1111" s="4">
        <v>46036</v>
      </c>
      <c r="E1111">
        <v>17000</v>
      </c>
      <c r="F1111" t="s">
        <v>130</v>
      </c>
      <c r="G1111" t="s">
        <v>990</v>
      </c>
      <c r="H1111" t="s">
        <v>67</v>
      </c>
      <c r="I1111" t="s">
        <v>991</v>
      </c>
      <c r="J1111" t="s">
        <v>67</v>
      </c>
      <c r="K1111" t="s">
        <v>3069</v>
      </c>
      <c r="L1111" t="s">
        <v>44</v>
      </c>
      <c r="M1111" t="s">
        <v>3070</v>
      </c>
      <c r="N1111">
        <v>17123</v>
      </c>
      <c r="O1111" t="s">
        <v>76</v>
      </c>
      <c r="P1111" t="s">
        <v>133</v>
      </c>
      <c r="Q1111">
        <v>0</v>
      </c>
      <c r="R1111">
        <v>0</v>
      </c>
      <c r="S1111">
        <v>13</v>
      </c>
      <c r="T1111">
        <v>0</v>
      </c>
      <c r="U1111">
        <v>0</v>
      </c>
      <c r="V1111" t="s">
        <v>3072</v>
      </c>
      <c r="W1111">
        <v>53966914</v>
      </c>
      <c r="X1111" t="s">
        <v>49</v>
      </c>
      <c r="Y1111" t="s">
        <v>3075</v>
      </c>
      <c r="Z1111" t="b">
        <v>0</v>
      </c>
      <c r="AA1111">
        <v>1307.6923076923081</v>
      </c>
      <c r="AN1111" t="e">
        <f>100*(1-E1111/AL1111)</f>
        <v>#DIV/0!</v>
      </c>
    </row>
    <row r="1112" spans="1:40" x14ac:dyDescent="0.3">
      <c r="A1112" t="s">
        <v>166</v>
      </c>
      <c r="B1112" t="s">
        <v>3076</v>
      </c>
      <c r="C1112" t="s">
        <v>3067</v>
      </c>
      <c r="D1112" s="4">
        <v>46036</v>
      </c>
      <c r="E1112">
        <v>4000</v>
      </c>
      <c r="F1112" t="s">
        <v>489</v>
      </c>
      <c r="G1112" t="s">
        <v>990</v>
      </c>
      <c r="H1112" t="s">
        <v>67</v>
      </c>
      <c r="I1112" t="s">
        <v>991</v>
      </c>
      <c r="J1112" t="s">
        <v>67</v>
      </c>
      <c r="K1112" t="s">
        <v>3069</v>
      </c>
      <c r="L1112" t="s">
        <v>44</v>
      </c>
      <c r="M1112" t="s">
        <v>3070</v>
      </c>
      <c r="N1112">
        <v>17123</v>
      </c>
      <c r="O1112" t="s">
        <v>45</v>
      </c>
      <c r="P1112" t="s">
        <v>46</v>
      </c>
      <c r="Q1112" t="s">
        <v>47</v>
      </c>
      <c r="R1112">
        <v>0</v>
      </c>
      <c r="S1112">
        <v>6.7</v>
      </c>
      <c r="T1112">
        <v>0</v>
      </c>
      <c r="U1112">
        <v>0</v>
      </c>
      <c r="V1112" t="s">
        <v>3072</v>
      </c>
      <c r="W1112">
        <v>53966914</v>
      </c>
      <c r="X1112" t="s">
        <v>49</v>
      </c>
      <c r="Y1112" t="s">
        <v>3077</v>
      </c>
      <c r="Z1112" t="b">
        <v>0</v>
      </c>
      <c r="AA1112">
        <v>597.01492537313436</v>
      </c>
      <c r="AN1112" t="e">
        <f>100*(1-E1112/AL1112)</f>
        <v>#DIV/0!</v>
      </c>
    </row>
    <row r="1113" spans="1:40" x14ac:dyDescent="0.3">
      <c r="A1113" t="s">
        <v>166</v>
      </c>
      <c r="B1113" t="s">
        <v>3078</v>
      </c>
      <c r="C1113" t="s">
        <v>3078</v>
      </c>
      <c r="D1113" s="4">
        <v>46036</v>
      </c>
      <c r="E1113">
        <v>68500</v>
      </c>
      <c r="F1113" t="s">
        <v>3079</v>
      </c>
      <c r="G1113" t="s">
        <v>384</v>
      </c>
      <c r="H1113" t="s">
        <v>67</v>
      </c>
      <c r="I1113" t="s">
        <v>384</v>
      </c>
      <c r="J1113" t="s">
        <v>67</v>
      </c>
      <c r="K1113" t="s">
        <v>3080</v>
      </c>
      <c r="L1113" t="s">
        <v>44</v>
      </c>
      <c r="M1113" t="s">
        <v>3081</v>
      </c>
      <c r="N1113">
        <v>12244</v>
      </c>
      <c r="O1113" t="s">
        <v>45</v>
      </c>
      <c r="P1113" t="s">
        <v>54</v>
      </c>
      <c r="Q1113" t="s">
        <v>85</v>
      </c>
      <c r="R1113">
        <v>0</v>
      </c>
      <c r="S1113">
        <v>85</v>
      </c>
      <c r="T1113" t="s">
        <v>48</v>
      </c>
      <c r="U1113">
        <v>50</v>
      </c>
      <c r="V1113" t="s">
        <v>3082</v>
      </c>
      <c r="W1113">
        <v>27072831</v>
      </c>
      <c r="X1113" t="s">
        <v>69</v>
      </c>
      <c r="Y1113" t="s">
        <v>3083</v>
      </c>
      <c r="Z1113" t="b">
        <v>0</v>
      </c>
      <c r="AA1113">
        <v>805.88235294117646</v>
      </c>
      <c r="AN1113" t="e">
        <f>100*(1-E1113/AL1113)</f>
        <v>#DIV/0!</v>
      </c>
    </row>
    <row r="1114" spans="1:40" x14ac:dyDescent="0.3">
      <c r="A1114" t="s">
        <v>71</v>
      </c>
      <c r="B1114" t="s">
        <v>3084</v>
      </c>
      <c r="C1114" t="s">
        <v>3085</v>
      </c>
      <c r="D1114" s="4">
        <v>46036</v>
      </c>
      <c r="E1114">
        <v>175000</v>
      </c>
      <c r="F1114" t="s">
        <v>3086</v>
      </c>
      <c r="G1114" t="s">
        <v>90</v>
      </c>
      <c r="H1114" t="s">
        <v>67</v>
      </c>
      <c r="I1114" t="s">
        <v>91</v>
      </c>
      <c r="J1114" t="s">
        <v>67</v>
      </c>
      <c r="K1114" t="s">
        <v>3087</v>
      </c>
      <c r="L1114" t="s">
        <v>44</v>
      </c>
      <c r="M1114" t="s">
        <v>3088</v>
      </c>
      <c r="N1114">
        <v>17675</v>
      </c>
      <c r="O1114" t="s">
        <v>45</v>
      </c>
      <c r="P1114" t="s">
        <v>54</v>
      </c>
      <c r="Q1114" t="s">
        <v>55</v>
      </c>
      <c r="R1114">
        <v>0</v>
      </c>
      <c r="S1114">
        <v>91.18</v>
      </c>
      <c r="T1114">
        <v>0</v>
      </c>
      <c r="U1114">
        <v>0</v>
      </c>
      <c r="V1114" t="s">
        <v>3089</v>
      </c>
      <c r="W1114">
        <v>77200792</v>
      </c>
      <c r="X1114" t="s">
        <v>69</v>
      </c>
      <c r="Y1114" t="s">
        <v>3090</v>
      </c>
      <c r="Z1114" t="b">
        <v>0</v>
      </c>
      <c r="AA1114">
        <v>1919.2805439789429</v>
      </c>
      <c r="AN1114" t="e">
        <f>100*(1-E1114/AL1114)</f>
        <v>#DIV/0!</v>
      </c>
    </row>
    <row r="1115" spans="1:40" x14ac:dyDescent="0.3">
      <c r="A1115" t="s">
        <v>71</v>
      </c>
      <c r="B1115" t="s">
        <v>3091</v>
      </c>
      <c r="C1115" t="s">
        <v>3085</v>
      </c>
      <c r="D1115" s="4">
        <v>46036</v>
      </c>
      <c r="E1115">
        <v>3000</v>
      </c>
      <c r="F1115" t="s">
        <v>345</v>
      </c>
      <c r="G1115" t="s">
        <v>90</v>
      </c>
      <c r="H1115" t="s">
        <v>67</v>
      </c>
      <c r="I1115" t="s">
        <v>91</v>
      </c>
      <c r="J1115" t="s">
        <v>67</v>
      </c>
      <c r="K1115" t="s">
        <v>3087</v>
      </c>
      <c r="L1115" t="s">
        <v>44</v>
      </c>
      <c r="M1115" t="s">
        <v>3088</v>
      </c>
      <c r="N1115">
        <v>17675</v>
      </c>
      <c r="O1115" t="s">
        <v>45</v>
      </c>
      <c r="P1115" t="s">
        <v>46</v>
      </c>
      <c r="Q1115" t="s">
        <v>47</v>
      </c>
      <c r="R1115">
        <v>0</v>
      </c>
      <c r="S1115">
        <v>5.87</v>
      </c>
      <c r="T1115">
        <v>0</v>
      </c>
      <c r="U1115">
        <v>0</v>
      </c>
      <c r="V1115" t="s">
        <v>3089</v>
      </c>
      <c r="W1115">
        <v>77200792</v>
      </c>
      <c r="X1115" t="s">
        <v>69</v>
      </c>
      <c r="Y1115" t="s">
        <v>3092</v>
      </c>
      <c r="Z1115" t="b">
        <v>0</v>
      </c>
      <c r="AA1115">
        <v>511.07325383304942</v>
      </c>
      <c r="AN1115" t="e">
        <f>100*(1-E1115/AL1115)</f>
        <v>#DIV/0!</v>
      </c>
    </row>
    <row r="1116" spans="1:40" x14ac:dyDescent="0.3">
      <c r="A1116" t="s">
        <v>278</v>
      </c>
      <c r="B1116" t="s">
        <v>3093</v>
      </c>
      <c r="C1116" t="s">
        <v>3094</v>
      </c>
      <c r="D1116" s="4">
        <v>46036</v>
      </c>
      <c r="E1116">
        <v>2000</v>
      </c>
      <c r="F1116" t="s">
        <v>2939</v>
      </c>
      <c r="G1116" t="s">
        <v>384</v>
      </c>
      <c r="H1116" t="s">
        <v>67</v>
      </c>
      <c r="I1116" t="s">
        <v>384</v>
      </c>
      <c r="J1116" t="s">
        <v>67</v>
      </c>
      <c r="K1116" t="s">
        <v>3095</v>
      </c>
      <c r="L1116" t="s">
        <v>44</v>
      </c>
      <c r="M1116" t="s">
        <v>3096</v>
      </c>
      <c r="N1116">
        <v>12244</v>
      </c>
      <c r="O1116" t="s">
        <v>45</v>
      </c>
      <c r="P1116" t="s">
        <v>56</v>
      </c>
      <c r="Q1116">
        <v>0</v>
      </c>
      <c r="R1116">
        <v>0</v>
      </c>
      <c r="S1116">
        <v>0</v>
      </c>
      <c r="T1116" t="s">
        <v>92</v>
      </c>
      <c r="U1116">
        <v>100</v>
      </c>
      <c r="V1116" t="s">
        <v>3097</v>
      </c>
      <c r="W1116">
        <v>30777276</v>
      </c>
      <c r="X1116" t="s">
        <v>49</v>
      </c>
      <c r="Y1116" t="s">
        <v>3098</v>
      </c>
      <c r="Z1116" t="b">
        <v>0</v>
      </c>
      <c r="AA1116" t="s">
        <v>58</v>
      </c>
      <c r="AN1116" t="e">
        <f>100*(1-E1116/AL1116)</f>
        <v>#DIV/0!</v>
      </c>
    </row>
    <row r="1117" spans="1:40" x14ac:dyDescent="0.3">
      <c r="A1117" t="s">
        <v>71</v>
      </c>
      <c r="B1117" t="s">
        <v>3099</v>
      </c>
      <c r="C1117" t="s">
        <v>3099</v>
      </c>
      <c r="D1117" s="4">
        <v>46036</v>
      </c>
      <c r="E1117">
        <v>79000</v>
      </c>
      <c r="F1117" t="s">
        <v>3100</v>
      </c>
      <c r="G1117" t="s">
        <v>104</v>
      </c>
      <c r="H1117" t="s">
        <v>94</v>
      </c>
      <c r="I1117" t="s">
        <v>105</v>
      </c>
      <c r="J1117" t="s">
        <v>105</v>
      </c>
      <c r="K1117" t="s">
        <v>3101</v>
      </c>
      <c r="L1117" t="s">
        <v>44</v>
      </c>
      <c r="M1117" t="s">
        <v>3102</v>
      </c>
      <c r="N1117">
        <v>73133</v>
      </c>
      <c r="O1117" t="s">
        <v>45</v>
      </c>
      <c r="P1117" t="s">
        <v>54</v>
      </c>
      <c r="Q1117" t="s">
        <v>100</v>
      </c>
      <c r="R1117">
        <v>0</v>
      </c>
      <c r="S1117">
        <v>27.66</v>
      </c>
      <c r="T1117">
        <v>0</v>
      </c>
      <c r="U1117">
        <v>0</v>
      </c>
      <c r="V1117" t="s">
        <v>3103</v>
      </c>
      <c r="W1117">
        <v>78977005</v>
      </c>
      <c r="X1117" t="s">
        <v>49</v>
      </c>
      <c r="Y1117" t="s">
        <v>3104</v>
      </c>
      <c r="Z1117" t="b">
        <v>0</v>
      </c>
      <c r="AA1117">
        <v>2856.1099060014458</v>
      </c>
      <c r="AN1117" t="e">
        <f>100*(1-E1117/AL1117)</f>
        <v>#DIV/0!</v>
      </c>
    </row>
    <row r="1118" spans="1:40" x14ac:dyDescent="0.3">
      <c r="A1118" t="s">
        <v>278</v>
      </c>
      <c r="B1118" t="s">
        <v>3105</v>
      </c>
      <c r="C1118" t="s">
        <v>3105</v>
      </c>
      <c r="D1118" s="4">
        <v>46036</v>
      </c>
      <c r="E1118">
        <v>58000</v>
      </c>
      <c r="F1118" t="s">
        <v>202</v>
      </c>
      <c r="G1118" t="s">
        <v>203</v>
      </c>
      <c r="H1118" t="s">
        <v>62</v>
      </c>
      <c r="I1118" t="s">
        <v>204</v>
      </c>
      <c r="J1118" t="s">
        <v>204</v>
      </c>
      <c r="K1118" t="s">
        <v>3106</v>
      </c>
      <c r="L1118" t="s">
        <v>44</v>
      </c>
      <c r="M1118" t="s">
        <v>3107</v>
      </c>
      <c r="N1118">
        <v>62125</v>
      </c>
      <c r="O1118" t="s">
        <v>45</v>
      </c>
      <c r="P1118" t="s">
        <v>54</v>
      </c>
      <c r="Q1118" t="s">
        <v>52</v>
      </c>
      <c r="R1118">
        <v>0</v>
      </c>
      <c r="S1118">
        <v>84.1</v>
      </c>
      <c r="T1118">
        <v>0</v>
      </c>
      <c r="U1118">
        <v>0</v>
      </c>
      <c r="V1118" t="s">
        <v>3108</v>
      </c>
      <c r="W1118">
        <v>44584416</v>
      </c>
      <c r="X1118" t="s">
        <v>49</v>
      </c>
      <c r="Y1118" t="s">
        <v>3109</v>
      </c>
      <c r="Z1118" t="b">
        <v>0</v>
      </c>
      <c r="AA1118">
        <v>689.65517241379314</v>
      </c>
      <c r="AN1118" t="e">
        <f>100*(1-E1118/AL1118)</f>
        <v>#DIV/0!</v>
      </c>
    </row>
    <row r="1119" spans="1:40" x14ac:dyDescent="0.3">
      <c r="A1119" t="s">
        <v>166</v>
      </c>
      <c r="B1119" t="s">
        <v>3110</v>
      </c>
      <c r="C1119" t="s">
        <v>3110</v>
      </c>
      <c r="D1119" s="4">
        <v>46036</v>
      </c>
      <c r="E1119">
        <v>18900</v>
      </c>
      <c r="F1119" t="s">
        <v>3111</v>
      </c>
      <c r="G1119" t="s">
        <v>2705</v>
      </c>
      <c r="H1119" t="s">
        <v>152</v>
      </c>
      <c r="I1119" t="s">
        <v>2706</v>
      </c>
      <c r="J1119" t="s">
        <v>610</v>
      </c>
      <c r="K1119" t="s">
        <v>3112</v>
      </c>
      <c r="L1119" t="s">
        <v>44</v>
      </c>
      <c r="M1119" t="s">
        <v>3113</v>
      </c>
      <c r="N1119">
        <v>22012</v>
      </c>
      <c r="O1119" t="s">
        <v>97</v>
      </c>
      <c r="P1119" t="s">
        <v>98</v>
      </c>
      <c r="Q1119">
        <v>0</v>
      </c>
      <c r="R1119">
        <v>0</v>
      </c>
      <c r="S1119">
        <v>380.76</v>
      </c>
      <c r="T1119">
        <v>0</v>
      </c>
      <c r="U1119">
        <v>0</v>
      </c>
      <c r="V1119" t="s">
        <v>3114</v>
      </c>
      <c r="W1119">
        <v>74936740</v>
      </c>
      <c r="X1119" t="s">
        <v>49</v>
      </c>
      <c r="Y1119">
        <v>32200110008</v>
      </c>
      <c r="Z1119" t="b">
        <v>0</v>
      </c>
      <c r="AA1119">
        <v>49.637566971320517</v>
      </c>
      <c r="AN1119" t="e">
        <f>100*(1-E1119/AL1119)</f>
        <v>#DIV/0!</v>
      </c>
    </row>
    <row r="1120" spans="1:40" x14ac:dyDescent="0.3">
      <c r="A1120" t="s">
        <v>39</v>
      </c>
      <c r="B1120" t="s">
        <v>3997</v>
      </c>
      <c r="C1120" t="s">
        <v>3997</v>
      </c>
      <c r="D1120" s="4">
        <v>46036</v>
      </c>
      <c r="E1120">
        <v>71650</v>
      </c>
      <c r="F1120" t="s">
        <v>3998</v>
      </c>
      <c r="G1120" t="s">
        <v>300</v>
      </c>
      <c r="H1120" t="s">
        <v>67</v>
      </c>
      <c r="I1120" t="s">
        <v>301</v>
      </c>
      <c r="J1120" t="s">
        <v>67</v>
      </c>
      <c r="K1120" t="s">
        <v>3999</v>
      </c>
      <c r="L1120" t="s">
        <v>44</v>
      </c>
      <c r="M1120" t="s">
        <v>4000</v>
      </c>
      <c r="N1120">
        <v>18450</v>
      </c>
      <c r="O1120" t="s">
        <v>50</v>
      </c>
      <c r="P1120" t="s">
        <v>51</v>
      </c>
      <c r="Q1120" t="s">
        <v>47</v>
      </c>
      <c r="R1120">
        <v>1973</v>
      </c>
      <c r="S1120">
        <v>157.11000000000001</v>
      </c>
      <c r="T1120">
        <v>0</v>
      </c>
      <c r="U1120">
        <v>0</v>
      </c>
      <c r="V1120" t="s">
        <v>4001</v>
      </c>
      <c r="W1120">
        <v>53690874</v>
      </c>
      <c r="X1120" t="s">
        <v>86</v>
      </c>
      <c r="Y1120" t="s">
        <v>4002</v>
      </c>
      <c r="Z1120" t="b">
        <v>0</v>
      </c>
      <c r="AA1120">
        <v>456.04990134300812</v>
      </c>
      <c r="AN1120" t="e">
        <f>100*(1-E1120/AL1120)</f>
        <v>#DIV/0!</v>
      </c>
    </row>
    <row r="1121" spans="1:40" x14ac:dyDescent="0.3">
      <c r="A1121" t="s">
        <v>278</v>
      </c>
      <c r="B1121" t="s">
        <v>4029</v>
      </c>
      <c r="C1121" t="s">
        <v>4029</v>
      </c>
      <c r="D1121" s="4">
        <v>46036</v>
      </c>
      <c r="E1121">
        <v>112000</v>
      </c>
      <c r="F1121" t="s">
        <v>3861</v>
      </c>
      <c r="G1121" t="s">
        <v>83</v>
      </c>
      <c r="H1121" t="s">
        <v>67</v>
      </c>
      <c r="I1121" t="s">
        <v>84</v>
      </c>
      <c r="J1121" t="s">
        <v>67</v>
      </c>
      <c r="K1121" t="s">
        <v>4030</v>
      </c>
      <c r="L1121" t="s">
        <v>44</v>
      </c>
      <c r="M1121" t="s">
        <v>4031</v>
      </c>
      <c r="N1121">
        <v>12134</v>
      </c>
      <c r="O1121" t="s">
        <v>50</v>
      </c>
      <c r="P1121" t="s">
        <v>51</v>
      </c>
      <c r="Q1121" t="s">
        <v>52</v>
      </c>
      <c r="R1121">
        <v>1974</v>
      </c>
      <c r="S1121">
        <v>66</v>
      </c>
      <c r="T1121">
        <v>0</v>
      </c>
      <c r="U1121">
        <v>0</v>
      </c>
      <c r="V1121" t="s">
        <v>4032</v>
      </c>
      <c r="W1121">
        <v>32273506</v>
      </c>
      <c r="X1121" t="s">
        <v>49</v>
      </c>
      <c r="Y1121" t="s">
        <v>4033</v>
      </c>
      <c r="Z1121" t="b">
        <v>0</v>
      </c>
      <c r="AA1121">
        <v>1696.969696969697</v>
      </c>
      <c r="AN1121" t="e">
        <f>100*(1-E1121/AL1121)</f>
        <v>#DIV/0!</v>
      </c>
    </row>
    <row r="1122" spans="1:40" x14ac:dyDescent="0.3">
      <c r="A1122" t="s">
        <v>71</v>
      </c>
      <c r="B1122" t="s">
        <v>4487</v>
      </c>
      <c r="C1122" t="s">
        <v>4487</v>
      </c>
      <c r="D1122" s="4">
        <v>46036</v>
      </c>
      <c r="E1122">
        <v>130000</v>
      </c>
      <c r="F1122" t="s">
        <v>4488</v>
      </c>
      <c r="G1122" t="s">
        <v>267</v>
      </c>
      <c r="H1122" t="s">
        <v>67</v>
      </c>
      <c r="I1122" t="s">
        <v>96</v>
      </c>
      <c r="J1122" t="s">
        <v>67</v>
      </c>
      <c r="K1122" t="s">
        <v>4489</v>
      </c>
      <c r="L1122" t="s">
        <v>44</v>
      </c>
      <c r="M1122" t="s">
        <v>4490</v>
      </c>
      <c r="N1122">
        <v>14121</v>
      </c>
      <c r="O1122" t="s">
        <v>45</v>
      </c>
      <c r="P1122" t="s">
        <v>54</v>
      </c>
      <c r="Q1122" t="s">
        <v>100</v>
      </c>
      <c r="R1122">
        <v>1980</v>
      </c>
      <c r="S1122">
        <v>75</v>
      </c>
      <c r="T1122">
        <v>0</v>
      </c>
      <c r="U1122">
        <v>0</v>
      </c>
      <c r="V1122" t="s">
        <v>4491</v>
      </c>
      <c r="W1122" t="s">
        <v>4492</v>
      </c>
      <c r="X1122" t="s">
        <v>49</v>
      </c>
      <c r="Y1122" t="s">
        <v>4493</v>
      </c>
      <c r="Z1122" t="b">
        <v>0</v>
      </c>
      <c r="AA1122">
        <v>1733.333333333333</v>
      </c>
      <c r="AN1122" t="e">
        <f>100*(1-E1122/AL1122)</f>
        <v>#DIV/0!</v>
      </c>
    </row>
    <row r="1123" spans="1:40" x14ac:dyDescent="0.3">
      <c r="A1123" t="s">
        <v>278</v>
      </c>
      <c r="B1123" t="s">
        <v>4494</v>
      </c>
      <c r="C1123" t="s">
        <v>4494</v>
      </c>
      <c r="D1123" s="4">
        <v>46036</v>
      </c>
      <c r="E1123">
        <v>127000</v>
      </c>
      <c r="F1123" t="s">
        <v>240</v>
      </c>
      <c r="G1123" t="s">
        <v>392</v>
      </c>
      <c r="H1123" t="s">
        <v>62</v>
      </c>
      <c r="I1123" t="s">
        <v>391</v>
      </c>
      <c r="J1123" t="s">
        <v>63</v>
      </c>
      <c r="K1123" t="s">
        <v>4495</v>
      </c>
      <c r="L1123" t="s">
        <v>44</v>
      </c>
      <c r="M1123" t="s">
        <v>4496</v>
      </c>
      <c r="N1123">
        <v>56431</v>
      </c>
      <c r="O1123" t="s">
        <v>45</v>
      </c>
      <c r="P1123" t="s">
        <v>54</v>
      </c>
      <c r="Q1123" t="s">
        <v>85</v>
      </c>
      <c r="R1123">
        <v>1980</v>
      </c>
      <c r="S1123">
        <v>114.56</v>
      </c>
      <c r="T1123">
        <v>0</v>
      </c>
      <c r="U1123">
        <v>0</v>
      </c>
      <c r="V1123" t="s">
        <v>4497</v>
      </c>
      <c r="W1123" t="s">
        <v>4498</v>
      </c>
      <c r="X1123" t="s">
        <v>49</v>
      </c>
      <c r="Y1123" t="s">
        <v>4499</v>
      </c>
      <c r="Z1123" t="b">
        <v>0</v>
      </c>
      <c r="AA1123">
        <v>1108.5893854748599</v>
      </c>
      <c r="AN1123" t="e">
        <f>100*(1-E1123/AL1123)</f>
        <v>#DIV/0!</v>
      </c>
    </row>
    <row r="1124" spans="1:40" x14ac:dyDescent="0.3">
      <c r="A1124" t="s">
        <v>166</v>
      </c>
      <c r="B1124" t="s">
        <v>4827</v>
      </c>
      <c r="C1124" t="s">
        <v>4827</v>
      </c>
      <c r="D1124" s="4">
        <v>46036</v>
      </c>
      <c r="E1124">
        <v>131000</v>
      </c>
      <c r="F1124" t="s">
        <v>4828</v>
      </c>
      <c r="G1124" t="s">
        <v>298</v>
      </c>
      <c r="H1124" t="s">
        <v>67</v>
      </c>
      <c r="I1124" t="s">
        <v>299</v>
      </c>
      <c r="J1124" t="s">
        <v>67</v>
      </c>
      <c r="K1124" t="s">
        <v>4829</v>
      </c>
      <c r="L1124" t="s">
        <v>44</v>
      </c>
      <c r="M1124" t="s">
        <v>4830</v>
      </c>
      <c r="N1124">
        <v>13122</v>
      </c>
      <c r="O1124" t="s">
        <v>45</v>
      </c>
      <c r="P1124" t="s">
        <v>54</v>
      </c>
      <c r="Q1124" t="s">
        <v>55</v>
      </c>
      <c r="R1124">
        <v>1985</v>
      </c>
      <c r="S1124">
        <v>90.2</v>
      </c>
      <c r="T1124">
        <v>0</v>
      </c>
      <c r="U1124">
        <v>0</v>
      </c>
      <c r="V1124" t="s">
        <v>4831</v>
      </c>
      <c r="W1124">
        <v>40256165</v>
      </c>
      <c r="X1124" t="s">
        <v>49</v>
      </c>
      <c r="Y1124" t="s">
        <v>4832</v>
      </c>
      <c r="Z1124" t="b">
        <v>0</v>
      </c>
      <c r="AA1124">
        <v>1452.328159645233</v>
      </c>
      <c r="AN1124" t="e">
        <f>100*(1-E1124/AL1124)</f>
        <v>#DIV/0!</v>
      </c>
    </row>
    <row r="1125" spans="1:40" x14ac:dyDescent="0.3">
      <c r="A1125" t="s">
        <v>278</v>
      </c>
      <c r="B1125" t="s">
        <v>5094</v>
      </c>
      <c r="C1125" t="s">
        <v>3094</v>
      </c>
      <c r="D1125" s="4">
        <v>46036</v>
      </c>
      <c r="E1125">
        <v>77000</v>
      </c>
      <c r="F1125" t="s">
        <v>2130</v>
      </c>
      <c r="G1125" t="s">
        <v>384</v>
      </c>
      <c r="H1125" t="s">
        <v>67</v>
      </c>
      <c r="I1125" t="s">
        <v>384</v>
      </c>
      <c r="J1125" t="s">
        <v>67</v>
      </c>
      <c r="K1125" t="s">
        <v>3095</v>
      </c>
      <c r="L1125" t="s">
        <v>44</v>
      </c>
      <c r="M1125" t="s">
        <v>3096</v>
      </c>
      <c r="N1125">
        <v>12244</v>
      </c>
      <c r="O1125" t="s">
        <v>45</v>
      </c>
      <c r="P1125" t="s">
        <v>54</v>
      </c>
      <c r="Q1125" t="s">
        <v>55</v>
      </c>
      <c r="R1125">
        <v>1990</v>
      </c>
      <c r="S1125">
        <v>50.16</v>
      </c>
      <c r="T1125">
        <v>0</v>
      </c>
      <c r="U1125">
        <v>0</v>
      </c>
      <c r="V1125" t="s">
        <v>3097</v>
      </c>
      <c r="W1125">
        <v>30777276</v>
      </c>
      <c r="X1125" t="s">
        <v>49</v>
      </c>
      <c r="Y1125" t="s">
        <v>5095</v>
      </c>
      <c r="Z1125" t="b">
        <v>0</v>
      </c>
      <c r="AA1125">
        <v>1535.0877192982459</v>
      </c>
      <c r="AN1125" t="e">
        <f>100*(1-E1125/AL1125)</f>
        <v>#DIV/0!</v>
      </c>
    </row>
    <row r="1126" spans="1:40" x14ac:dyDescent="0.3">
      <c r="A1126" t="s">
        <v>166</v>
      </c>
      <c r="B1126" t="s">
        <v>5703</v>
      </c>
      <c r="C1126" t="s">
        <v>5704</v>
      </c>
      <c r="D1126" s="4">
        <v>46036</v>
      </c>
      <c r="E1126">
        <v>600</v>
      </c>
      <c r="F1126" t="s">
        <v>5705</v>
      </c>
      <c r="G1126" t="s">
        <v>115</v>
      </c>
      <c r="H1126" t="s">
        <v>67</v>
      </c>
      <c r="I1126" t="s">
        <v>116</v>
      </c>
      <c r="J1126" t="s">
        <v>67</v>
      </c>
      <c r="K1126" t="s">
        <v>5706</v>
      </c>
      <c r="L1126" t="s">
        <v>44</v>
      </c>
      <c r="M1126" t="s">
        <v>5707</v>
      </c>
      <c r="N1126">
        <v>11145</v>
      </c>
      <c r="O1126" t="s">
        <v>45</v>
      </c>
      <c r="P1126" t="s">
        <v>46</v>
      </c>
      <c r="Q1126" t="s">
        <v>47</v>
      </c>
      <c r="R1126">
        <v>2001</v>
      </c>
      <c r="S1126">
        <v>4.16</v>
      </c>
      <c r="T1126" t="s">
        <v>48</v>
      </c>
      <c r="U1126">
        <v>50</v>
      </c>
      <c r="V1126" t="s">
        <v>5708</v>
      </c>
      <c r="W1126">
        <v>20333589</v>
      </c>
      <c r="X1126" t="s">
        <v>49</v>
      </c>
      <c r="Y1126" t="s">
        <v>5709</v>
      </c>
      <c r="Z1126" t="b">
        <v>0</v>
      </c>
      <c r="AA1126">
        <v>144.2307692307692</v>
      </c>
      <c r="AN1126" t="e">
        <f>100*(1-E1126/AL1126)</f>
        <v>#DIV/0!</v>
      </c>
    </row>
    <row r="1127" spans="1:40" x14ac:dyDescent="0.3">
      <c r="A1127" t="s">
        <v>166</v>
      </c>
      <c r="B1127" t="s">
        <v>5710</v>
      </c>
      <c r="C1127" t="s">
        <v>5704</v>
      </c>
      <c r="D1127" s="4">
        <v>46036</v>
      </c>
      <c r="E1127">
        <v>61000</v>
      </c>
      <c r="F1127" t="s">
        <v>5711</v>
      </c>
      <c r="G1127" t="s">
        <v>115</v>
      </c>
      <c r="H1127" t="s">
        <v>67</v>
      </c>
      <c r="I1127" t="s">
        <v>116</v>
      </c>
      <c r="J1127" t="s">
        <v>67</v>
      </c>
      <c r="K1127" t="s">
        <v>5706</v>
      </c>
      <c r="L1127" t="s">
        <v>44</v>
      </c>
      <c r="M1127" t="s">
        <v>5707</v>
      </c>
      <c r="N1127">
        <v>11145</v>
      </c>
      <c r="O1127" t="s">
        <v>45</v>
      </c>
      <c r="P1127" t="s">
        <v>54</v>
      </c>
      <c r="Q1127" t="s">
        <v>64</v>
      </c>
      <c r="R1127">
        <v>2001</v>
      </c>
      <c r="S1127">
        <v>85</v>
      </c>
      <c r="T1127" t="s">
        <v>48</v>
      </c>
      <c r="U1127">
        <v>50</v>
      </c>
      <c r="V1127" t="s">
        <v>5708</v>
      </c>
      <c r="W1127">
        <v>20333589</v>
      </c>
      <c r="X1127" t="s">
        <v>49</v>
      </c>
      <c r="Y1127" t="s">
        <v>5712</v>
      </c>
      <c r="Z1127" t="b">
        <v>0</v>
      </c>
      <c r="AA1127">
        <v>717.64705882352939</v>
      </c>
      <c r="AN1127" t="e">
        <f>100*(1-E1127/AL1127)</f>
        <v>#DIV/0!</v>
      </c>
    </row>
    <row r="1128" spans="1:40" x14ac:dyDescent="0.3">
      <c r="A1128" t="s">
        <v>59</v>
      </c>
      <c r="B1128" t="s">
        <v>5747</v>
      </c>
      <c r="C1128" t="s">
        <v>5747</v>
      </c>
      <c r="D1128" s="4">
        <v>46036</v>
      </c>
      <c r="E1128">
        <v>135700</v>
      </c>
      <c r="F1128" t="s">
        <v>5748</v>
      </c>
      <c r="G1128" t="s">
        <v>5749</v>
      </c>
      <c r="H1128" t="s">
        <v>111</v>
      </c>
      <c r="I1128" t="s">
        <v>179</v>
      </c>
      <c r="J1128" t="s">
        <v>175</v>
      </c>
      <c r="K1128" t="s">
        <v>5750</v>
      </c>
      <c r="L1128" t="s">
        <v>44</v>
      </c>
      <c r="M1128" t="s">
        <v>5751</v>
      </c>
      <c r="N1128">
        <v>34015</v>
      </c>
      <c r="O1128" t="s">
        <v>45</v>
      </c>
      <c r="P1128" t="s">
        <v>288</v>
      </c>
      <c r="Q1128" t="s">
        <v>55</v>
      </c>
      <c r="R1128">
        <v>2002</v>
      </c>
      <c r="S1128">
        <v>99.28</v>
      </c>
      <c r="T1128">
        <v>0</v>
      </c>
      <c r="U1128">
        <v>0</v>
      </c>
      <c r="V1128" t="s">
        <v>5752</v>
      </c>
      <c r="W1128" t="s">
        <v>5664</v>
      </c>
      <c r="X1128" t="s">
        <v>86</v>
      </c>
      <c r="Y1128" t="s">
        <v>5753</v>
      </c>
      <c r="Z1128" t="b">
        <v>0</v>
      </c>
      <c r="AA1128">
        <v>1366.841257050766</v>
      </c>
      <c r="AN1128" t="e">
        <f>100*(1-E1128/AL1128)</f>
        <v>#DIV/0!</v>
      </c>
    </row>
    <row r="1129" spans="1:40" x14ac:dyDescent="0.3">
      <c r="A1129" t="s">
        <v>166</v>
      </c>
      <c r="B1129" t="s">
        <v>6623</v>
      </c>
      <c r="C1129" t="s">
        <v>6624</v>
      </c>
      <c r="D1129" s="4">
        <v>46036</v>
      </c>
      <c r="E1129">
        <v>135556</v>
      </c>
      <c r="F1129" t="s">
        <v>216</v>
      </c>
      <c r="G1129" t="s">
        <v>143</v>
      </c>
      <c r="H1129" t="s">
        <v>41</v>
      </c>
      <c r="I1129" t="s">
        <v>144</v>
      </c>
      <c r="J1129" t="s">
        <v>145</v>
      </c>
      <c r="K1129" t="s">
        <v>6625</v>
      </c>
      <c r="L1129" t="s">
        <v>44</v>
      </c>
      <c r="M1129" t="s">
        <v>6626</v>
      </c>
      <c r="N1129">
        <v>45580</v>
      </c>
      <c r="O1129" t="s">
        <v>45</v>
      </c>
      <c r="P1129" t="s">
        <v>54</v>
      </c>
      <c r="Q1129" t="s">
        <v>52</v>
      </c>
      <c r="R1129">
        <v>2010</v>
      </c>
      <c r="S1129">
        <v>104.43</v>
      </c>
      <c r="T1129">
        <v>0</v>
      </c>
      <c r="U1129">
        <v>0</v>
      </c>
      <c r="V1129" t="s">
        <v>6627</v>
      </c>
      <c r="W1129">
        <v>46402891</v>
      </c>
      <c r="X1129" t="s">
        <v>49</v>
      </c>
      <c r="Y1129" t="s">
        <v>6628</v>
      </c>
      <c r="Z1129" t="b">
        <v>0</v>
      </c>
      <c r="AA1129">
        <v>1298.056114143445</v>
      </c>
      <c r="AN1129" t="e">
        <f>100*(1-E1129/AL1129)</f>
        <v>#DIV/0!</v>
      </c>
    </row>
    <row r="1130" spans="1:40" x14ac:dyDescent="0.3">
      <c r="A1130" t="s">
        <v>166</v>
      </c>
      <c r="B1130" t="s">
        <v>6629</v>
      </c>
      <c r="C1130" t="s">
        <v>6624</v>
      </c>
      <c r="D1130" s="4">
        <v>46036</v>
      </c>
      <c r="E1130">
        <v>111514</v>
      </c>
      <c r="F1130" t="s">
        <v>297</v>
      </c>
      <c r="G1130" t="s">
        <v>143</v>
      </c>
      <c r="H1130" t="s">
        <v>41</v>
      </c>
      <c r="I1130" t="s">
        <v>144</v>
      </c>
      <c r="J1130" t="s">
        <v>145</v>
      </c>
      <c r="K1130" t="s">
        <v>6625</v>
      </c>
      <c r="L1130" t="s">
        <v>44</v>
      </c>
      <c r="M1130" t="s">
        <v>6626</v>
      </c>
      <c r="N1130">
        <v>45580</v>
      </c>
      <c r="O1130" t="s">
        <v>45</v>
      </c>
      <c r="P1130" t="s">
        <v>54</v>
      </c>
      <c r="Q1130" t="s">
        <v>55</v>
      </c>
      <c r="R1130">
        <v>2010</v>
      </c>
      <c r="S1130">
        <v>81.64</v>
      </c>
      <c r="T1130">
        <v>0</v>
      </c>
      <c r="U1130">
        <v>0</v>
      </c>
      <c r="V1130" t="s">
        <v>6627</v>
      </c>
      <c r="W1130">
        <v>46402891</v>
      </c>
      <c r="X1130" t="s">
        <v>49</v>
      </c>
      <c r="Y1130" t="s">
        <v>6630</v>
      </c>
      <c r="Z1130" t="b">
        <v>0</v>
      </c>
      <c r="AA1130">
        <v>1365.9235668789811</v>
      </c>
      <c r="AN1130" t="e">
        <f>100*(1-E1130/AL1130)</f>
        <v>#DIV/0!</v>
      </c>
    </row>
    <row r="1131" spans="1:40" x14ac:dyDescent="0.3">
      <c r="A1131" t="s">
        <v>59</v>
      </c>
      <c r="B1131" t="s">
        <v>3115</v>
      </c>
      <c r="C1131" t="s">
        <v>3115</v>
      </c>
      <c r="D1131" s="4">
        <v>46037</v>
      </c>
      <c r="E1131">
        <v>118000</v>
      </c>
      <c r="F1131" t="s">
        <v>202</v>
      </c>
      <c r="G1131" t="s">
        <v>90</v>
      </c>
      <c r="H1131" t="s">
        <v>67</v>
      </c>
      <c r="I1131" t="s">
        <v>91</v>
      </c>
      <c r="J1131" t="s">
        <v>67</v>
      </c>
      <c r="K1131" t="s">
        <v>3116</v>
      </c>
      <c r="L1131" t="s">
        <v>44</v>
      </c>
      <c r="M1131" t="s">
        <v>3117</v>
      </c>
      <c r="N1131">
        <v>17673</v>
      </c>
      <c r="O1131" t="s">
        <v>45</v>
      </c>
      <c r="P1131" t="s">
        <v>54</v>
      </c>
      <c r="Q1131" t="s">
        <v>291</v>
      </c>
      <c r="R1131">
        <v>0</v>
      </c>
      <c r="S1131">
        <v>83.7</v>
      </c>
      <c r="T1131">
        <v>0</v>
      </c>
      <c r="U1131">
        <v>0</v>
      </c>
      <c r="V1131" t="s">
        <v>3118</v>
      </c>
      <c r="W1131">
        <v>77320046</v>
      </c>
      <c r="X1131" t="s">
        <v>86</v>
      </c>
      <c r="Y1131" t="s">
        <v>3119</v>
      </c>
      <c r="Z1131" t="b">
        <v>0</v>
      </c>
      <c r="AA1131">
        <v>1409.796893667861</v>
      </c>
      <c r="AN1131" t="e">
        <f>100*(1-E1131/AL1131)</f>
        <v>#DIV/0!</v>
      </c>
    </row>
    <row r="1132" spans="1:40" x14ac:dyDescent="0.3">
      <c r="A1132" t="s">
        <v>166</v>
      </c>
      <c r="B1132" t="s">
        <v>3120</v>
      </c>
      <c r="C1132" t="s">
        <v>3120</v>
      </c>
      <c r="D1132" s="4">
        <v>46043</v>
      </c>
      <c r="E1132">
        <v>42000</v>
      </c>
      <c r="F1132" t="s">
        <v>3121</v>
      </c>
      <c r="G1132" t="s">
        <v>300</v>
      </c>
      <c r="H1132" t="s">
        <v>67</v>
      </c>
      <c r="I1132" t="s">
        <v>301</v>
      </c>
      <c r="J1132" t="s">
        <v>67</v>
      </c>
      <c r="K1132" t="s">
        <v>3122</v>
      </c>
      <c r="L1132" t="s">
        <v>44</v>
      </c>
      <c r="M1132" t="s">
        <v>3123</v>
      </c>
      <c r="N1132">
        <v>18452</v>
      </c>
      <c r="O1132" t="s">
        <v>45</v>
      </c>
      <c r="P1132" t="s">
        <v>81</v>
      </c>
      <c r="Q1132" t="s">
        <v>52</v>
      </c>
      <c r="R1132">
        <v>0</v>
      </c>
      <c r="S1132">
        <v>90.32</v>
      </c>
      <c r="T1132" t="s">
        <v>48</v>
      </c>
      <c r="U1132">
        <v>50</v>
      </c>
      <c r="V1132" t="s">
        <v>3124</v>
      </c>
      <c r="W1132">
        <v>53845679</v>
      </c>
      <c r="X1132" t="s">
        <v>86</v>
      </c>
      <c r="Y1132" t="s">
        <v>3125</v>
      </c>
      <c r="Z1132" t="b">
        <v>0</v>
      </c>
      <c r="AA1132">
        <v>465.01328609388838</v>
      </c>
      <c r="AN1132" t="e">
        <f>100*(1-E1132/AL1132)</f>
        <v>#DIV/0!</v>
      </c>
    </row>
    <row r="1133" spans="1:40" x14ac:dyDescent="0.3">
      <c r="A1133" t="s">
        <v>278</v>
      </c>
      <c r="B1133" t="s">
        <v>3126</v>
      </c>
      <c r="C1133" t="s">
        <v>3127</v>
      </c>
      <c r="D1133" s="4">
        <v>46043</v>
      </c>
      <c r="E1133">
        <v>117000</v>
      </c>
      <c r="F1133" t="s">
        <v>358</v>
      </c>
      <c r="G1133" t="s">
        <v>147</v>
      </c>
      <c r="H1133" t="s">
        <v>136</v>
      </c>
      <c r="I1133" t="s">
        <v>148</v>
      </c>
      <c r="J1133" t="s">
        <v>149</v>
      </c>
      <c r="K1133" t="s">
        <v>3128</v>
      </c>
      <c r="L1133" t="s">
        <v>44</v>
      </c>
      <c r="M1133" t="s">
        <v>3129</v>
      </c>
      <c r="N1133">
        <v>41223</v>
      </c>
      <c r="O1133" t="s">
        <v>45</v>
      </c>
      <c r="P1133" t="s">
        <v>54</v>
      </c>
      <c r="Q1133" t="s">
        <v>100</v>
      </c>
      <c r="R1133">
        <v>0</v>
      </c>
      <c r="S1133">
        <v>98</v>
      </c>
      <c r="T1133">
        <v>0</v>
      </c>
      <c r="U1133">
        <v>0</v>
      </c>
      <c r="V1133" t="s">
        <v>3130</v>
      </c>
      <c r="W1133" t="s">
        <v>3131</v>
      </c>
      <c r="X1133" t="s">
        <v>49</v>
      </c>
      <c r="Y1133" t="s">
        <v>3132</v>
      </c>
      <c r="Z1133" t="b">
        <v>0</v>
      </c>
      <c r="AA1133">
        <v>1193.877551020408</v>
      </c>
      <c r="AN1133" t="e">
        <f>100*(1-E1133/AL1133)</f>
        <v>#DIV/0!</v>
      </c>
    </row>
    <row r="1134" spans="1:40" x14ac:dyDescent="0.3">
      <c r="A1134" t="s">
        <v>278</v>
      </c>
      <c r="B1134" t="s">
        <v>3133</v>
      </c>
      <c r="C1134" t="s">
        <v>3127</v>
      </c>
      <c r="D1134" s="4">
        <v>46043</v>
      </c>
      <c r="E1134">
        <v>9850</v>
      </c>
      <c r="F1134" t="s">
        <v>209</v>
      </c>
      <c r="G1134" t="s">
        <v>147</v>
      </c>
      <c r="H1134" t="s">
        <v>136</v>
      </c>
      <c r="I1134" t="s">
        <v>148</v>
      </c>
      <c r="J1134" t="s">
        <v>149</v>
      </c>
      <c r="K1134" t="s">
        <v>3128</v>
      </c>
      <c r="L1134" t="s">
        <v>44</v>
      </c>
      <c r="M1134" t="s">
        <v>3129</v>
      </c>
      <c r="N1134">
        <v>41223</v>
      </c>
      <c r="O1134" t="s">
        <v>76</v>
      </c>
      <c r="P1134" t="s">
        <v>1754</v>
      </c>
      <c r="Q1134">
        <v>0</v>
      </c>
      <c r="R1134">
        <v>0</v>
      </c>
      <c r="S1134">
        <v>12</v>
      </c>
      <c r="T1134">
        <v>0</v>
      </c>
      <c r="U1134">
        <v>0</v>
      </c>
      <c r="V1134" t="s">
        <v>3130</v>
      </c>
      <c r="W1134" t="s">
        <v>3131</v>
      </c>
      <c r="X1134" t="s">
        <v>49</v>
      </c>
      <c r="Y1134" t="s">
        <v>3134</v>
      </c>
      <c r="Z1134" t="b">
        <v>0</v>
      </c>
      <c r="AA1134">
        <v>820.83333333333337</v>
      </c>
      <c r="AN1134" t="e">
        <f>100*(1-E1134/AL1134)</f>
        <v>#DIV/0!</v>
      </c>
    </row>
    <row r="1135" spans="1:40" x14ac:dyDescent="0.3">
      <c r="A1135" t="s">
        <v>278</v>
      </c>
      <c r="B1135" t="s">
        <v>3135</v>
      </c>
      <c r="C1135" t="s">
        <v>3127</v>
      </c>
      <c r="D1135" s="4">
        <v>46043</v>
      </c>
      <c r="E1135">
        <v>3500</v>
      </c>
      <c r="F1135" t="s">
        <v>1003</v>
      </c>
      <c r="G1135" t="s">
        <v>147</v>
      </c>
      <c r="H1135" t="s">
        <v>136</v>
      </c>
      <c r="I1135" t="s">
        <v>148</v>
      </c>
      <c r="J1135" t="s">
        <v>149</v>
      </c>
      <c r="K1135" t="s">
        <v>3128</v>
      </c>
      <c r="L1135" t="s">
        <v>44</v>
      </c>
      <c r="M1135" t="s">
        <v>3129</v>
      </c>
      <c r="N1135">
        <v>41223</v>
      </c>
      <c r="O1135" t="s">
        <v>45</v>
      </c>
      <c r="P1135" t="s">
        <v>46</v>
      </c>
      <c r="Q1135" t="s">
        <v>47</v>
      </c>
      <c r="R1135">
        <v>0</v>
      </c>
      <c r="S1135">
        <v>14</v>
      </c>
      <c r="T1135">
        <v>0</v>
      </c>
      <c r="U1135">
        <v>0</v>
      </c>
      <c r="V1135" t="s">
        <v>3130</v>
      </c>
      <c r="W1135" t="s">
        <v>3131</v>
      </c>
      <c r="X1135" t="s">
        <v>49</v>
      </c>
      <c r="Y1135" t="s">
        <v>3136</v>
      </c>
      <c r="Z1135" t="b">
        <v>0</v>
      </c>
      <c r="AA1135">
        <v>250</v>
      </c>
      <c r="AN1135" t="e">
        <f>100*(1-E1135/AL1135)</f>
        <v>#DIV/0!</v>
      </c>
    </row>
    <row r="1136" spans="1:40" x14ac:dyDescent="0.3">
      <c r="A1136" t="s">
        <v>71</v>
      </c>
      <c r="B1136" t="s">
        <v>3137</v>
      </c>
      <c r="C1136" t="s">
        <v>3137</v>
      </c>
      <c r="D1136" s="4">
        <v>46043</v>
      </c>
      <c r="E1136">
        <v>10500</v>
      </c>
      <c r="F1136" t="s">
        <v>3138</v>
      </c>
      <c r="G1136" t="s">
        <v>3139</v>
      </c>
      <c r="H1136" t="s">
        <v>111</v>
      </c>
      <c r="I1136" t="s">
        <v>174</v>
      </c>
      <c r="J1136" t="s">
        <v>175</v>
      </c>
      <c r="K1136" t="s">
        <v>3140</v>
      </c>
      <c r="L1136" t="s">
        <v>44</v>
      </c>
      <c r="M1136" t="s">
        <v>3141</v>
      </c>
      <c r="N1136">
        <v>34100</v>
      </c>
      <c r="O1136" t="s">
        <v>97</v>
      </c>
      <c r="P1136" t="s">
        <v>98</v>
      </c>
      <c r="Q1136">
        <v>0</v>
      </c>
      <c r="R1136">
        <v>0</v>
      </c>
      <c r="S1136">
        <v>813.1</v>
      </c>
      <c r="T1136" t="s">
        <v>48</v>
      </c>
      <c r="U1136">
        <v>50</v>
      </c>
      <c r="V1136" t="s">
        <v>3142</v>
      </c>
      <c r="W1136">
        <v>118204315</v>
      </c>
      <c r="X1136" t="s">
        <v>86</v>
      </c>
      <c r="Y1136">
        <v>120981133013</v>
      </c>
      <c r="Z1136" t="b">
        <v>0</v>
      </c>
      <c r="AA1136">
        <v>12.913540769893</v>
      </c>
      <c r="AN1136" t="e">
        <f>100*(1-E1136/AL1136)</f>
        <v>#DIV/0!</v>
      </c>
    </row>
    <row r="1137" spans="1:40" x14ac:dyDescent="0.3">
      <c r="A1137" t="s">
        <v>71</v>
      </c>
      <c r="B1137" t="s">
        <v>3137</v>
      </c>
      <c r="C1137" t="s">
        <v>3137</v>
      </c>
      <c r="D1137" s="4">
        <v>46043</v>
      </c>
      <c r="E1137">
        <v>10500</v>
      </c>
      <c r="F1137" t="s">
        <v>3138</v>
      </c>
      <c r="G1137" t="s">
        <v>3139</v>
      </c>
      <c r="H1137" t="s">
        <v>111</v>
      </c>
      <c r="I1137" t="s">
        <v>174</v>
      </c>
      <c r="J1137" t="s">
        <v>175</v>
      </c>
      <c r="K1137" t="s">
        <v>3140</v>
      </c>
      <c r="L1137" t="s">
        <v>44</v>
      </c>
      <c r="M1137" t="s">
        <v>3141</v>
      </c>
      <c r="N1137">
        <v>34100</v>
      </c>
      <c r="O1137" t="s">
        <v>97</v>
      </c>
      <c r="P1137" t="s">
        <v>98</v>
      </c>
      <c r="Q1137">
        <v>0</v>
      </c>
      <c r="R1137">
        <v>0</v>
      </c>
      <c r="S1137">
        <v>813.1</v>
      </c>
      <c r="T1137" t="s">
        <v>48</v>
      </c>
      <c r="U1137">
        <v>50</v>
      </c>
      <c r="V1137" t="s">
        <v>3142</v>
      </c>
      <c r="W1137">
        <v>118204315</v>
      </c>
      <c r="X1137" t="s">
        <v>86</v>
      </c>
      <c r="Y1137">
        <v>120981133013</v>
      </c>
      <c r="Z1137" t="b">
        <v>0</v>
      </c>
      <c r="AA1137">
        <v>12.913540769893</v>
      </c>
      <c r="AN1137" t="e">
        <f>100*(1-E1137/AL1137)</f>
        <v>#DIV/0!</v>
      </c>
    </row>
    <row r="1138" spans="1:40" x14ac:dyDescent="0.3">
      <c r="A1138" t="s">
        <v>71</v>
      </c>
      <c r="B1138" t="s">
        <v>3137</v>
      </c>
      <c r="C1138" t="s">
        <v>3137</v>
      </c>
      <c r="D1138" s="4">
        <v>46043</v>
      </c>
      <c r="E1138">
        <v>10500</v>
      </c>
      <c r="F1138" t="s">
        <v>3138</v>
      </c>
      <c r="G1138" t="s">
        <v>3139</v>
      </c>
      <c r="H1138" t="s">
        <v>111</v>
      </c>
      <c r="I1138" t="s">
        <v>174</v>
      </c>
      <c r="J1138" t="s">
        <v>175</v>
      </c>
      <c r="K1138" t="s">
        <v>3140</v>
      </c>
      <c r="L1138" t="s">
        <v>44</v>
      </c>
      <c r="M1138" t="s">
        <v>3141</v>
      </c>
      <c r="N1138">
        <v>34100</v>
      </c>
      <c r="O1138" t="s">
        <v>97</v>
      </c>
      <c r="P1138" t="s">
        <v>98</v>
      </c>
      <c r="Q1138">
        <v>0</v>
      </c>
      <c r="R1138">
        <v>0</v>
      </c>
      <c r="S1138">
        <v>813.1</v>
      </c>
      <c r="T1138" t="s">
        <v>48</v>
      </c>
      <c r="U1138">
        <v>50</v>
      </c>
      <c r="V1138" t="s">
        <v>3142</v>
      </c>
      <c r="W1138">
        <v>118204315</v>
      </c>
      <c r="X1138" t="s">
        <v>86</v>
      </c>
      <c r="Y1138">
        <v>120981133013</v>
      </c>
      <c r="Z1138" t="b">
        <v>0</v>
      </c>
      <c r="AA1138">
        <v>12.913540769893</v>
      </c>
      <c r="AN1138" t="e">
        <f>100*(1-E1138/AL1138)</f>
        <v>#DIV/0!</v>
      </c>
    </row>
    <row r="1139" spans="1:40" x14ac:dyDescent="0.3">
      <c r="A1139" t="s">
        <v>71</v>
      </c>
      <c r="B1139" t="s">
        <v>3143</v>
      </c>
      <c r="C1139" t="s">
        <v>3143</v>
      </c>
      <c r="D1139" s="4">
        <v>46043</v>
      </c>
      <c r="E1139">
        <v>8000</v>
      </c>
      <c r="F1139" t="s">
        <v>3144</v>
      </c>
      <c r="G1139" t="s">
        <v>3145</v>
      </c>
      <c r="H1139" t="s">
        <v>136</v>
      </c>
      <c r="I1139" t="s">
        <v>360</v>
      </c>
      <c r="J1139" t="s">
        <v>361</v>
      </c>
      <c r="K1139" t="s">
        <v>3146</v>
      </c>
      <c r="L1139" t="s">
        <v>44</v>
      </c>
      <c r="M1139" t="s">
        <v>3147</v>
      </c>
      <c r="N1139">
        <v>43100</v>
      </c>
      <c r="O1139" t="s">
        <v>45</v>
      </c>
      <c r="P1139" t="s">
        <v>54</v>
      </c>
      <c r="Q1139" t="s">
        <v>55</v>
      </c>
      <c r="R1139">
        <v>0</v>
      </c>
      <c r="S1139">
        <v>188.15</v>
      </c>
      <c r="T1139">
        <v>0</v>
      </c>
      <c r="U1139">
        <v>0</v>
      </c>
      <c r="V1139" t="s">
        <v>3148</v>
      </c>
      <c r="W1139">
        <v>100977383</v>
      </c>
      <c r="X1139" t="s">
        <v>86</v>
      </c>
      <c r="Y1139" t="s">
        <v>3149</v>
      </c>
      <c r="Z1139" t="b">
        <v>0</v>
      </c>
      <c r="AA1139">
        <v>42.51926654265214</v>
      </c>
      <c r="AN1139" t="e">
        <f>100*(1-E1139/AL1139)</f>
        <v>#DIV/0!</v>
      </c>
    </row>
    <row r="1140" spans="1:40" x14ac:dyDescent="0.3">
      <c r="A1140" t="s">
        <v>278</v>
      </c>
      <c r="B1140" t="s">
        <v>3150</v>
      </c>
      <c r="C1140" t="s">
        <v>3150</v>
      </c>
      <c r="D1140" s="4">
        <v>46043</v>
      </c>
      <c r="E1140">
        <v>26000</v>
      </c>
      <c r="F1140" t="s">
        <v>3151</v>
      </c>
      <c r="G1140" t="s">
        <v>298</v>
      </c>
      <c r="H1140" t="s">
        <v>67</v>
      </c>
      <c r="I1140" t="s">
        <v>299</v>
      </c>
      <c r="J1140" t="s">
        <v>67</v>
      </c>
      <c r="K1140" t="s">
        <v>3152</v>
      </c>
      <c r="L1140" t="s">
        <v>44</v>
      </c>
      <c r="M1140" t="s">
        <v>3153</v>
      </c>
      <c r="N1140">
        <v>13123</v>
      </c>
      <c r="O1140" t="s">
        <v>50</v>
      </c>
      <c r="P1140" t="s">
        <v>51</v>
      </c>
      <c r="Q1140" t="s">
        <v>52</v>
      </c>
      <c r="R1140">
        <v>0</v>
      </c>
      <c r="S1140">
        <v>131.35</v>
      </c>
      <c r="T1140" t="s">
        <v>161</v>
      </c>
      <c r="U1140">
        <v>100</v>
      </c>
      <c r="V1140" t="s">
        <v>3154</v>
      </c>
      <c r="W1140">
        <v>37633529</v>
      </c>
      <c r="X1140" t="s">
        <v>49</v>
      </c>
      <c r="Y1140" t="s">
        <v>3155</v>
      </c>
      <c r="Z1140" t="b">
        <v>0</v>
      </c>
      <c r="AA1140">
        <v>197.944423296536</v>
      </c>
      <c r="AN1140" t="e">
        <f>100*(1-E1140/AL1140)</f>
        <v>#DIV/0!</v>
      </c>
    </row>
    <row r="1141" spans="1:40" x14ac:dyDescent="0.3">
      <c r="A1141" t="s">
        <v>39</v>
      </c>
      <c r="B1141" t="s">
        <v>3156</v>
      </c>
      <c r="C1141" t="s">
        <v>3156</v>
      </c>
      <c r="D1141" s="4">
        <v>46043</v>
      </c>
      <c r="E1141">
        <v>584000</v>
      </c>
      <c r="F1141" t="s">
        <v>3157</v>
      </c>
      <c r="G1141" t="s">
        <v>385</v>
      </c>
      <c r="H1141" t="s">
        <v>67</v>
      </c>
      <c r="I1141" t="s">
        <v>386</v>
      </c>
      <c r="J1141" t="s">
        <v>67</v>
      </c>
      <c r="K1141" t="s">
        <v>3158</v>
      </c>
      <c r="L1141" t="s">
        <v>44</v>
      </c>
      <c r="M1141" t="s">
        <v>3159</v>
      </c>
      <c r="N1141">
        <v>16672</v>
      </c>
      <c r="O1141" t="s">
        <v>45</v>
      </c>
      <c r="P1141" t="s">
        <v>81</v>
      </c>
      <c r="Q1141" t="s">
        <v>55</v>
      </c>
      <c r="R1141">
        <v>0</v>
      </c>
      <c r="S1141">
        <v>233.33</v>
      </c>
      <c r="T1141">
        <v>0</v>
      </c>
      <c r="U1141">
        <v>0</v>
      </c>
      <c r="V1141" t="s">
        <v>3160</v>
      </c>
      <c r="W1141">
        <v>21024601</v>
      </c>
      <c r="X1141" t="s">
        <v>49</v>
      </c>
      <c r="Y1141" t="s">
        <v>3161</v>
      </c>
      <c r="Z1141" t="b">
        <v>0</v>
      </c>
      <c r="AA1141">
        <v>2502.8928984699778</v>
      </c>
      <c r="AN1141" t="e">
        <f>100*(1-E1141/AL1141)</f>
        <v>#DIV/0!</v>
      </c>
    </row>
    <row r="1142" spans="1:40" x14ac:dyDescent="0.3">
      <c r="A1142" t="s">
        <v>39</v>
      </c>
      <c r="B1142" t="s">
        <v>3441</v>
      </c>
      <c r="C1142" t="s">
        <v>3441</v>
      </c>
      <c r="D1142" s="4">
        <v>46043</v>
      </c>
      <c r="E1142">
        <v>48000</v>
      </c>
      <c r="F1142" t="s">
        <v>571</v>
      </c>
      <c r="G1142" t="s">
        <v>3442</v>
      </c>
      <c r="H1142" t="s">
        <v>225</v>
      </c>
      <c r="I1142" t="s">
        <v>2295</v>
      </c>
      <c r="J1142" t="s">
        <v>2295</v>
      </c>
      <c r="K1142" t="s">
        <v>3443</v>
      </c>
      <c r="L1142" t="s">
        <v>80</v>
      </c>
      <c r="M1142" t="s">
        <v>3444</v>
      </c>
      <c r="N1142">
        <v>81103</v>
      </c>
      <c r="O1142" t="s">
        <v>45</v>
      </c>
      <c r="P1142" t="s">
        <v>81</v>
      </c>
      <c r="Q1142" t="s">
        <v>55</v>
      </c>
      <c r="R1142">
        <v>1945</v>
      </c>
      <c r="S1142">
        <v>131.74</v>
      </c>
      <c r="T1142">
        <v>0</v>
      </c>
      <c r="U1142">
        <v>0</v>
      </c>
      <c r="V1142" t="s">
        <v>3445</v>
      </c>
      <c r="W1142">
        <v>41769546</v>
      </c>
      <c r="X1142" t="s">
        <v>86</v>
      </c>
      <c r="Y1142">
        <v>0</v>
      </c>
      <c r="Z1142" t="b">
        <v>0</v>
      </c>
      <c r="AA1142">
        <v>364.35403066646421</v>
      </c>
      <c r="AN1142" t="e">
        <f>100*(1-E1142/AL1142)</f>
        <v>#DIV/0!</v>
      </c>
    </row>
    <row r="1143" spans="1:40" x14ac:dyDescent="0.3">
      <c r="A1143" t="s">
        <v>215</v>
      </c>
      <c r="B1143" t="s">
        <v>3568</v>
      </c>
      <c r="C1143" t="s">
        <v>3568</v>
      </c>
      <c r="D1143" s="4">
        <v>46043</v>
      </c>
      <c r="E1143">
        <v>47100</v>
      </c>
      <c r="F1143" t="s">
        <v>3569</v>
      </c>
      <c r="G1143" t="s">
        <v>3570</v>
      </c>
      <c r="H1143" t="s">
        <v>111</v>
      </c>
      <c r="I1143" t="s">
        <v>443</v>
      </c>
      <c r="J1143" t="s">
        <v>165</v>
      </c>
      <c r="K1143" t="s">
        <v>3571</v>
      </c>
      <c r="L1143" t="s">
        <v>44</v>
      </c>
      <c r="M1143" t="s">
        <v>3570</v>
      </c>
      <c r="N1143">
        <v>32002</v>
      </c>
      <c r="O1143" t="s">
        <v>331</v>
      </c>
      <c r="P1143" t="s">
        <v>331</v>
      </c>
      <c r="Q1143" t="s">
        <v>55</v>
      </c>
      <c r="R1143">
        <v>1962</v>
      </c>
      <c r="S1143">
        <v>98.6</v>
      </c>
      <c r="T1143">
        <v>0</v>
      </c>
      <c r="U1143">
        <v>0</v>
      </c>
      <c r="V1143" t="s">
        <v>3572</v>
      </c>
      <c r="W1143">
        <v>42810220</v>
      </c>
      <c r="X1143" t="s">
        <v>86</v>
      </c>
      <c r="Y1143" t="s">
        <v>3573</v>
      </c>
      <c r="Z1143" t="b">
        <v>0</v>
      </c>
      <c r="AA1143">
        <v>477.6876267748479</v>
      </c>
      <c r="AN1143" t="e">
        <f>100*(1-E1143/AL1143)</f>
        <v>#DIV/0!</v>
      </c>
    </row>
    <row r="1144" spans="1:40" x14ac:dyDescent="0.3">
      <c r="A1144" t="s">
        <v>215</v>
      </c>
      <c r="B1144" t="s">
        <v>4500</v>
      </c>
      <c r="C1144" t="s">
        <v>4501</v>
      </c>
      <c r="D1144" s="4">
        <v>46043</v>
      </c>
      <c r="E1144">
        <v>95000</v>
      </c>
      <c r="F1144" t="s">
        <v>287</v>
      </c>
      <c r="G1144" t="s">
        <v>115</v>
      </c>
      <c r="H1144" t="s">
        <v>67</v>
      </c>
      <c r="I1144" t="s">
        <v>116</v>
      </c>
      <c r="J1144" t="s">
        <v>67</v>
      </c>
      <c r="K1144" t="s">
        <v>4502</v>
      </c>
      <c r="L1144" t="s">
        <v>44</v>
      </c>
      <c r="M1144" t="s">
        <v>4503</v>
      </c>
      <c r="N1144">
        <v>10445</v>
      </c>
      <c r="O1144" t="s">
        <v>45</v>
      </c>
      <c r="P1144" t="s">
        <v>54</v>
      </c>
      <c r="Q1144" t="s">
        <v>85</v>
      </c>
      <c r="R1144">
        <v>1980</v>
      </c>
      <c r="S1144">
        <v>90</v>
      </c>
      <c r="T1144">
        <v>0</v>
      </c>
      <c r="U1144">
        <v>0</v>
      </c>
      <c r="V1144" t="s">
        <v>4504</v>
      </c>
      <c r="W1144" t="s">
        <v>4505</v>
      </c>
      <c r="X1144" t="s">
        <v>49</v>
      </c>
      <c r="Y1144" t="s">
        <v>4506</v>
      </c>
      <c r="Z1144" t="b">
        <v>0</v>
      </c>
      <c r="AA1144">
        <v>1055.5555555555561</v>
      </c>
      <c r="AN1144" t="e">
        <f>100*(1-E1144/AL1144)</f>
        <v>#DIV/0!</v>
      </c>
    </row>
    <row r="1145" spans="1:40" x14ac:dyDescent="0.3">
      <c r="A1145" t="s">
        <v>215</v>
      </c>
      <c r="B1145" t="s">
        <v>4507</v>
      </c>
      <c r="C1145" t="s">
        <v>4501</v>
      </c>
      <c r="D1145" s="4">
        <v>46043</v>
      </c>
      <c r="E1145">
        <v>56000</v>
      </c>
      <c r="F1145" t="s">
        <v>4508</v>
      </c>
      <c r="G1145" t="s">
        <v>115</v>
      </c>
      <c r="H1145" t="s">
        <v>67</v>
      </c>
      <c r="I1145" t="s">
        <v>116</v>
      </c>
      <c r="J1145" t="s">
        <v>67</v>
      </c>
      <c r="K1145" t="s">
        <v>4502</v>
      </c>
      <c r="L1145" t="s">
        <v>44</v>
      </c>
      <c r="M1145" t="s">
        <v>4503</v>
      </c>
      <c r="N1145">
        <v>10445</v>
      </c>
      <c r="O1145" t="s">
        <v>50</v>
      </c>
      <c r="P1145" t="s">
        <v>4509</v>
      </c>
      <c r="Q1145" t="s">
        <v>1018</v>
      </c>
      <c r="R1145">
        <v>1980</v>
      </c>
      <c r="S1145">
        <v>152.5</v>
      </c>
      <c r="T1145">
        <v>0</v>
      </c>
      <c r="U1145">
        <v>0</v>
      </c>
      <c r="V1145" t="s">
        <v>4504</v>
      </c>
      <c r="W1145" t="s">
        <v>4505</v>
      </c>
      <c r="X1145" t="s">
        <v>49</v>
      </c>
      <c r="Y1145" t="s">
        <v>4510</v>
      </c>
      <c r="Z1145" t="b">
        <v>0</v>
      </c>
      <c r="AA1145">
        <v>367.21311475409829</v>
      </c>
      <c r="AN1145" t="e">
        <f>100*(1-E1145/AL1145)</f>
        <v>#DIV/0!</v>
      </c>
    </row>
    <row r="1146" spans="1:40" x14ac:dyDescent="0.3">
      <c r="A1146" t="s">
        <v>215</v>
      </c>
      <c r="B1146" t="s">
        <v>4511</v>
      </c>
      <c r="C1146" t="s">
        <v>4501</v>
      </c>
      <c r="D1146" s="4">
        <v>46043</v>
      </c>
      <c r="E1146">
        <v>111000</v>
      </c>
      <c r="F1146" t="s">
        <v>219</v>
      </c>
      <c r="G1146" t="s">
        <v>115</v>
      </c>
      <c r="H1146" t="s">
        <v>67</v>
      </c>
      <c r="I1146" t="s">
        <v>116</v>
      </c>
      <c r="J1146" t="s">
        <v>67</v>
      </c>
      <c r="K1146" t="s">
        <v>4502</v>
      </c>
      <c r="L1146" t="s">
        <v>44</v>
      </c>
      <c r="M1146" t="s">
        <v>4503</v>
      </c>
      <c r="N1146">
        <v>10445</v>
      </c>
      <c r="O1146" t="s">
        <v>45</v>
      </c>
      <c r="P1146" t="s">
        <v>54</v>
      </c>
      <c r="Q1146" t="s">
        <v>64</v>
      </c>
      <c r="R1146">
        <v>1980</v>
      </c>
      <c r="S1146">
        <v>100.5</v>
      </c>
      <c r="T1146">
        <v>0</v>
      </c>
      <c r="U1146">
        <v>0</v>
      </c>
      <c r="V1146" t="s">
        <v>4504</v>
      </c>
      <c r="W1146" t="s">
        <v>4505</v>
      </c>
      <c r="X1146" t="s">
        <v>49</v>
      </c>
      <c r="Y1146" t="s">
        <v>4512</v>
      </c>
      <c r="Z1146" t="b">
        <v>0</v>
      </c>
      <c r="AA1146">
        <v>1104.4776119402979</v>
      </c>
      <c r="AN1146" t="e">
        <f>100*(1-E1146/AL1146)</f>
        <v>#DIV/0!</v>
      </c>
    </row>
    <row r="1147" spans="1:40" x14ac:dyDescent="0.3">
      <c r="A1147" t="s">
        <v>215</v>
      </c>
      <c r="B1147" t="s">
        <v>4513</v>
      </c>
      <c r="C1147" t="s">
        <v>4501</v>
      </c>
      <c r="D1147" s="4">
        <v>46043</v>
      </c>
      <c r="E1147">
        <v>97000</v>
      </c>
      <c r="F1147" t="s">
        <v>287</v>
      </c>
      <c r="G1147" t="s">
        <v>115</v>
      </c>
      <c r="H1147" t="s">
        <v>67</v>
      </c>
      <c r="I1147" t="s">
        <v>116</v>
      </c>
      <c r="J1147" t="s">
        <v>67</v>
      </c>
      <c r="K1147" t="s">
        <v>4502</v>
      </c>
      <c r="L1147" t="s">
        <v>44</v>
      </c>
      <c r="M1147" t="s">
        <v>4503</v>
      </c>
      <c r="N1147">
        <v>10445</v>
      </c>
      <c r="O1147" t="s">
        <v>45</v>
      </c>
      <c r="P1147" t="s">
        <v>54</v>
      </c>
      <c r="Q1147" t="s">
        <v>100</v>
      </c>
      <c r="R1147">
        <v>1980</v>
      </c>
      <c r="S1147">
        <v>90</v>
      </c>
      <c r="T1147">
        <v>0</v>
      </c>
      <c r="U1147">
        <v>0</v>
      </c>
      <c r="V1147" t="s">
        <v>4504</v>
      </c>
      <c r="W1147" t="s">
        <v>4505</v>
      </c>
      <c r="X1147" t="s">
        <v>49</v>
      </c>
      <c r="Y1147" t="s">
        <v>4514</v>
      </c>
      <c r="Z1147" t="b">
        <v>0</v>
      </c>
      <c r="AA1147">
        <v>1077.7777777777781</v>
      </c>
      <c r="AN1147" t="e">
        <f>100*(1-E1147/AL1147)</f>
        <v>#DIV/0!</v>
      </c>
    </row>
    <row r="1148" spans="1:40" x14ac:dyDescent="0.3">
      <c r="A1148" t="s">
        <v>215</v>
      </c>
      <c r="B1148" t="s">
        <v>4515</v>
      </c>
      <c r="C1148" t="s">
        <v>4501</v>
      </c>
      <c r="D1148" s="4">
        <v>46043</v>
      </c>
      <c r="E1148">
        <v>109000</v>
      </c>
      <c r="F1148" t="s">
        <v>219</v>
      </c>
      <c r="G1148" t="s">
        <v>115</v>
      </c>
      <c r="H1148" t="s">
        <v>67</v>
      </c>
      <c r="I1148" t="s">
        <v>116</v>
      </c>
      <c r="J1148" t="s">
        <v>67</v>
      </c>
      <c r="K1148" t="s">
        <v>4502</v>
      </c>
      <c r="L1148" t="s">
        <v>44</v>
      </c>
      <c r="M1148" t="s">
        <v>4503</v>
      </c>
      <c r="N1148">
        <v>10445</v>
      </c>
      <c r="O1148" t="s">
        <v>45</v>
      </c>
      <c r="P1148" t="s">
        <v>54</v>
      </c>
      <c r="Q1148" t="s">
        <v>100</v>
      </c>
      <c r="R1148">
        <v>1980</v>
      </c>
      <c r="S1148">
        <v>100.5</v>
      </c>
      <c r="T1148">
        <v>0</v>
      </c>
      <c r="U1148">
        <v>0</v>
      </c>
      <c r="V1148" t="s">
        <v>4504</v>
      </c>
      <c r="W1148" t="s">
        <v>4505</v>
      </c>
      <c r="X1148" t="s">
        <v>49</v>
      </c>
      <c r="Y1148" t="s">
        <v>4516</v>
      </c>
      <c r="Z1148" t="b">
        <v>0</v>
      </c>
      <c r="AA1148">
        <v>1084.577114427861</v>
      </c>
      <c r="AN1148" t="e">
        <f>100*(1-E1148/AL1148)</f>
        <v>#DIV/0!</v>
      </c>
    </row>
    <row r="1149" spans="1:40" x14ac:dyDescent="0.3">
      <c r="A1149" t="s">
        <v>215</v>
      </c>
      <c r="B1149" t="s">
        <v>4517</v>
      </c>
      <c r="C1149" t="s">
        <v>4501</v>
      </c>
      <c r="D1149" s="4">
        <v>46043</v>
      </c>
      <c r="E1149">
        <v>99000</v>
      </c>
      <c r="F1149" t="s">
        <v>287</v>
      </c>
      <c r="G1149" t="s">
        <v>115</v>
      </c>
      <c r="H1149" t="s">
        <v>67</v>
      </c>
      <c r="I1149" t="s">
        <v>116</v>
      </c>
      <c r="J1149" t="s">
        <v>67</v>
      </c>
      <c r="K1149" t="s">
        <v>4502</v>
      </c>
      <c r="L1149" t="s">
        <v>44</v>
      </c>
      <c r="M1149" t="s">
        <v>4503</v>
      </c>
      <c r="N1149">
        <v>10445</v>
      </c>
      <c r="O1149" t="s">
        <v>45</v>
      </c>
      <c r="P1149" t="s">
        <v>54</v>
      </c>
      <c r="Q1149" t="s">
        <v>64</v>
      </c>
      <c r="R1149">
        <v>1980</v>
      </c>
      <c r="S1149">
        <v>90</v>
      </c>
      <c r="T1149">
        <v>0</v>
      </c>
      <c r="U1149">
        <v>0</v>
      </c>
      <c r="V1149" t="s">
        <v>4504</v>
      </c>
      <c r="W1149" t="s">
        <v>4505</v>
      </c>
      <c r="X1149" t="s">
        <v>49</v>
      </c>
      <c r="Y1149" t="s">
        <v>4518</v>
      </c>
      <c r="Z1149" t="b">
        <v>0</v>
      </c>
      <c r="AA1149">
        <v>1100</v>
      </c>
      <c r="AN1149" t="e">
        <f>100*(1-E1149/AL1149)</f>
        <v>#DIV/0!</v>
      </c>
    </row>
    <row r="1150" spans="1:40" x14ac:dyDescent="0.3">
      <c r="A1150" t="s">
        <v>215</v>
      </c>
      <c r="B1150" t="s">
        <v>4519</v>
      </c>
      <c r="C1150" t="s">
        <v>4501</v>
      </c>
      <c r="D1150" s="4">
        <v>46043</v>
      </c>
      <c r="E1150">
        <v>169000</v>
      </c>
      <c r="F1150" t="s">
        <v>4520</v>
      </c>
      <c r="G1150" t="s">
        <v>115</v>
      </c>
      <c r="H1150" t="s">
        <v>67</v>
      </c>
      <c r="I1150" t="s">
        <v>116</v>
      </c>
      <c r="J1150" t="s">
        <v>67</v>
      </c>
      <c r="K1150" t="s">
        <v>4502</v>
      </c>
      <c r="L1150" t="s">
        <v>44</v>
      </c>
      <c r="M1150" t="s">
        <v>4503</v>
      </c>
      <c r="N1150">
        <v>10445</v>
      </c>
      <c r="O1150" t="s">
        <v>50</v>
      </c>
      <c r="P1150" t="s">
        <v>51</v>
      </c>
      <c r="Q1150" t="s">
        <v>52</v>
      </c>
      <c r="R1150">
        <v>1980</v>
      </c>
      <c r="S1150">
        <v>139.5</v>
      </c>
      <c r="T1150">
        <v>0</v>
      </c>
      <c r="U1150">
        <v>0</v>
      </c>
      <c r="V1150" t="s">
        <v>4504</v>
      </c>
      <c r="W1150" t="s">
        <v>4505</v>
      </c>
      <c r="X1150" t="s">
        <v>49</v>
      </c>
      <c r="Y1150" t="s">
        <v>4521</v>
      </c>
      <c r="Z1150" t="b">
        <v>0</v>
      </c>
      <c r="AA1150">
        <v>1211.4695340501789</v>
      </c>
      <c r="AN1150" t="e">
        <f>100*(1-E1150/AL1150)</f>
        <v>#DIV/0!</v>
      </c>
    </row>
    <row r="1151" spans="1:40" x14ac:dyDescent="0.3">
      <c r="A1151" t="s">
        <v>71</v>
      </c>
      <c r="B1151" t="s">
        <v>4727</v>
      </c>
      <c r="C1151" t="s">
        <v>4727</v>
      </c>
      <c r="D1151" s="4">
        <v>46043</v>
      </c>
      <c r="E1151">
        <v>170000</v>
      </c>
      <c r="F1151" t="s">
        <v>4728</v>
      </c>
      <c r="G1151" t="s">
        <v>4729</v>
      </c>
      <c r="H1151" t="s">
        <v>67</v>
      </c>
      <c r="I1151" t="s">
        <v>4730</v>
      </c>
      <c r="J1151" t="s">
        <v>67</v>
      </c>
      <c r="K1151" t="s">
        <v>4731</v>
      </c>
      <c r="L1151" t="s">
        <v>44</v>
      </c>
      <c r="M1151" t="s">
        <v>4732</v>
      </c>
      <c r="N1151">
        <v>19600</v>
      </c>
      <c r="O1151" t="s">
        <v>50</v>
      </c>
      <c r="P1151" t="s">
        <v>289</v>
      </c>
      <c r="Q1151" t="s">
        <v>55</v>
      </c>
      <c r="R1151">
        <v>1984</v>
      </c>
      <c r="S1151">
        <v>445.7</v>
      </c>
      <c r="T1151">
        <v>0</v>
      </c>
      <c r="U1151">
        <v>0</v>
      </c>
      <c r="V1151" t="s">
        <v>4733</v>
      </c>
      <c r="W1151">
        <v>61387074</v>
      </c>
      <c r="X1151" t="s">
        <v>86</v>
      </c>
      <c r="Y1151" t="s">
        <v>4734</v>
      </c>
      <c r="Z1151" t="b">
        <v>0</v>
      </c>
      <c r="AA1151">
        <v>381.42248148979132</v>
      </c>
      <c r="AN1151" t="e">
        <f>100*(1-E1151/AL1151)</f>
        <v>#DIV/0!</v>
      </c>
    </row>
    <row r="1152" spans="1:40" x14ac:dyDescent="0.3">
      <c r="A1152" t="s">
        <v>139</v>
      </c>
      <c r="B1152" t="s">
        <v>5096</v>
      </c>
      <c r="C1152" t="s">
        <v>5096</v>
      </c>
      <c r="D1152" s="4">
        <v>46043</v>
      </c>
      <c r="E1152">
        <v>125000</v>
      </c>
      <c r="F1152" t="s">
        <v>2962</v>
      </c>
      <c r="G1152" t="s">
        <v>135</v>
      </c>
      <c r="H1152" t="s">
        <v>136</v>
      </c>
      <c r="I1152" t="s">
        <v>137</v>
      </c>
      <c r="J1152" t="s">
        <v>138</v>
      </c>
      <c r="K1152" t="s">
        <v>5097</v>
      </c>
      <c r="L1152" t="s">
        <v>44</v>
      </c>
      <c r="M1152" t="s">
        <v>5098</v>
      </c>
      <c r="N1152">
        <v>42100</v>
      </c>
      <c r="O1152" t="s">
        <v>45</v>
      </c>
      <c r="P1152" t="s">
        <v>54</v>
      </c>
      <c r="Q1152" t="s">
        <v>291</v>
      </c>
      <c r="R1152">
        <v>1990</v>
      </c>
      <c r="S1152">
        <v>102.7</v>
      </c>
      <c r="T1152">
        <v>0</v>
      </c>
      <c r="U1152">
        <v>0</v>
      </c>
      <c r="V1152" t="s">
        <v>5099</v>
      </c>
      <c r="W1152">
        <v>57698709</v>
      </c>
      <c r="X1152" t="s">
        <v>49</v>
      </c>
      <c r="Y1152" t="s">
        <v>5100</v>
      </c>
      <c r="Z1152" t="b">
        <v>0</v>
      </c>
      <c r="AA1152">
        <v>1217.1372930866601</v>
      </c>
      <c r="AN1152" t="e">
        <f>100*(1-E1152/AL1152)</f>
        <v>#DIV/0!</v>
      </c>
    </row>
    <row r="1153" spans="1:40" x14ac:dyDescent="0.3">
      <c r="A1153" t="s">
        <v>59</v>
      </c>
      <c r="B1153" t="s">
        <v>5525</v>
      </c>
      <c r="C1153" t="s">
        <v>5525</v>
      </c>
      <c r="D1153" s="4">
        <v>46043</v>
      </c>
      <c r="E1153">
        <v>37600</v>
      </c>
      <c r="F1153" t="s">
        <v>5526</v>
      </c>
      <c r="G1153" t="s">
        <v>381</v>
      </c>
      <c r="H1153" t="s">
        <v>124</v>
      </c>
      <c r="I1153" t="s">
        <v>334</v>
      </c>
      <c r="J1153" t="s">
        <v>126</v>
      </c>
      <c r="K1153" t="s">
        <v>5527</v>
      </c>
      <c r="L1153" t="s">
        <v>44</v>
      </c>
      <c r="M1153" t="s">
        <v>5528</v>
      </c>
      <c r="N1153">
        <v>25100</v>
      </c>
      <c r="O1153" t="s">
        <v>50</v>
      </c>
      <c r="P1153" t="s">
        <v>46</v>
      </c>
      <c r="Q1153">
        <v>0</v>
      </c>
      <c r="R1153">
        <v>1999</v>
      </c>
      <c r="S1153">
        <v>110.32</v>
      </c>
      <c r="T1153">
        <v>0</v>
      </c>
      <c r="U1153">
        <v>0</v>
      </c>
      <c r="V1153" t="s">
        <v>5529</v>
      </c>
      <c r="W1153">
        <v>104667095</v>
      </c>
      <c r="X1153" t="s">
        <v>86</v>
      </c>
      <c r="Y1153" t="s">
        <v>5530</v>
      </c>
      <c r="Z1153" t="b">
        <v>0</v>
      </c>
      <c r="AA1153">
        <v>340.82668600435102</v>
      </c>
      <c r="AN1153" t="e">
        <f>100*(1-E1153/AL1153)</f>
        <v>#DIV/0!</v>
      </c>
    </row>
    <row r="1154" spans="1:40" x14ac:dyDescent="0.3">
      <c r="A1154" t="s">
        <v>59</v>
      </c>
      <c r="B1154" t="s">
        <v>5525</v>
      </c>
      <c r="C1154" t="s">
        <v>5525</v>
      </c>
      <c r="D1154" s="4">
        <v>46043</v>
      </c>
      <c r="E1154">
        <v>37600</v>
      </c>
      <c r="F1154" t="s">
        <v>5526</v>
      </c>
      <c r="G1154" t="s">
        <v>381</v>
      </c>
      <c r="H1154" t="s">
        <v>124</v>
      </c>
      <c r="I1154" t="s">
        <v>334</v>
      </c>
      <c r="J1154" t="s">
        <v>126</v>
      </c>
      <c r="K1154" t="s">
        <v>5527</v>
      </c>
      <c r="L1154" t="s">
        <v>44</v>
      </c>
      <c r="M1154" t="s">
        <v>5528</v>
      </c>
      <c r="N1154">
        <v>25100</v>
      </c>
      <c r="O1154" t="s">
        <v>50</v>
      </c>
      <c r="P1154" t="s">
        <v>46</v>
      </c>
      <c r="Q1154">
        <v>0</v>
      </c>
      <c r="R1154">
        <v>1999</v>
      </c>
      <c r="S1154">
        <v>110.32</v>
      </c>
      <c r="T1154">
        <v>0</v>
      </c>
      <c r="U1154">
        <v>0</v>
      </c>
      <c r="V1154" t="s">
        <v>5529</v>
      </c>
      <c r="W1154">
        <v>104667095</v>
      </c>
      <c r="X1154" t="s">
        <v>86</v>
      </c>
      <c r="Y1154" t="s">
        <v>5530</v>
      </c>
      <c r="Z1154" t="b">
        <v>0</v>
      </c>
      <c r="AA1154">
        <v>340.82668600435102</v>
      </c>
      <c r="AN1154" t="e">
        <f>100*(1-E1154/AL1154)</f>
        <v>#DIV/0!</v>
      </c>
    </row>
    <row r="1155" spans="1:40" x14ac:dyDescent="0.3">
      <c r="A1155" t="s">
        <v>166</v>
      </c>
      <c r="B1155" t="s">
        <v>3162</v>
      </c>
      <c r="C1155" t="s">
        <v>3162</v>
      </c>
      <c r="D1155" s="4">
        <v>46050</v>
      </c>
      <c r="E1155">
        <v>65000</v>
      </c>
      <c r="F1155" t="s">
        <v>3163</v>
      </c>
      <c r="G1155" t="s">
        <v>233</v>
      </c>
      <c r="H1155" t="s">
        <v>94</v>
      </c>
      <c r="I1155" t="s">
        <v>234</v>
      </c>
      <c r="J1155" t="s">
        <v>235</v>
      </c>
      <c r="K1155" t="s">
        <v>3164</v>
      </c>
      <c r="L1155" t="s">
        <v>44</v>
      </c>
      <c r="M1155" t="s">
        <v>3165</v>
      </c>
      <c r="N1155">
        <v>72100</v>
      </c>
      <c r="O1155" t="s">
        <v>45</v>
      </c>
      <c r="P1155" t="s">
        <v>54</v>
      </c>
      <c r="Q1155" t="s">
        <v>85</v>
      </c>
      <c r="R1155">
        <v>0</v>
      </c>
      <c r="S1155">
        <v>35.06</v>
      </c>
      <c r="T1155">
        <v>0</v>
      </c>
      <c r="U1155">
        <v>0</v>
      </c>
      <c r="V1155" t="s">
        <v>3166</v>
      </c>
      <c r="W1155">
        <v>43457720</v>
      </c>
      <c r="X1155" t="s">
        <v>86</v>
      </c>
      <c r="Y1155" t="s">
        <v>3167</v>
      </c>
      <c r="Z1155" t="b">
        <v>0</v>
      </c>
      <c r="AA1155">
        <v>1853.964632059327</v>
      </c>
      <c r="AN1155" t="e">
        <f>100*(1-E1155/AL1155)</f>
        <v>#DIV/0!</v>
      </c>
    </row>
    <row r="1156" spans="1:40" x14ac:dyDescent="0.3">
      <c r="A1156" t="s">
        <v>139</v>
      </c>
      <c r="B1156" t="s">
        <v>3168</v>
      </c>
      <c r="C1156" t="s">
        <v>3168</v>
      </c>
      <c r="D1156" s="4">
        <v>46050</v>
      </c>
      <c r="E1156">
        <v>120000</v>
      </c>
      <c r="F1156" t="s">
        <v>3169</v>
      </c>
      <c r="G1156" t="s">
        <v>404</v>
      </c>
      <c r="H1156" t="s">
        <v>124</v>
      </c>
      <c r="I1156" t="s">
        <v>405</v>
      </c>
      <c r="J1156" t="s">
        <v>126</v>
      </c>
      <c r="K1156" t="s">
        <v>3170</v>
      </c>
      <c r="L1156" t="s">
        <v>44</v>
      </c>
      <c r="M1156" t="s">
        <v>3171</v>
      </c>
      <c r="N1156">
        <v>26441</v>
      </c>
      <c r="O1156" t="s">
        <v>45</v>
      </c>
      <c r="P1156" t="s">
        <v>54</v>
      </c>
      <c r="Q1156" t="s">
        <v>85</v>
      </c>
      <c r="R1156">
        <v>0</v>
      </c>
      <c r="S1156">
        <v>141.1</v>
      </c>
      <c r="T1156">
        <v>0</v>
      </c>
      <c r="U1156">
        <v>0</v>
      </c>
      <c r="V1156" t="s">
        <v>3172</v>
      </c>
      <c r="W1156" t="s">
        <v>3173</v>
      </c>
      <c r="X1156" t="s">
        <v>86</v>
      </c>
      <c r="Y1156" t="s">
        <v>3174</v>
      </c>
      <c r="Z1156" t="b">
        <v>0</v>
      </c>
      <c r="AA1156">
        <v>850.46066619418855</v>
      </c>
      <c r="AN1156" t="e">
        <f>100*(1-E1156/AL1156)</f>
        <v>#DIV/0!</v>
      </c>
    </row>
    <row r="1157" spans="1:40" x14ac:dyDescent="0.3">
      <c r="A1157" t="s">
        <v>166</v>
      </c>
      <c r="B1157" t="s">
        <v>3162</v>
      </c>
      <c r="C1157" t="s">
        <v>3162</v>
      </c>
      <c r="D1157" s="4">
        <v>46050</v>
      </c>
      <c r="E1157">
        <v>65000</v>
      </c>
      <c r="F1157" t="s">
        <v>3163</v>
      </c>
      <c r="G1157" t="s">
        <v>233</v>
      </c>
      <c r="H1157" t="s">
        <v>94</v>
      </c>
      <c r="I1157" t="s">
        <v>234</v>
      </c>
      <c r="J1157" t="s">
        <v>235</v>
      </c>
      <c r="K1157" t="s">
        <v>3164</v>
      </c>
      <c r="L1157" t="s">
        <v>44</v>
      </c>
      <c r="M1157" t="s">
        <v>3165</v>
      </c>
      <c r="N1157">
        <v>72100</v>
      </c>
      <c r="O1157" t="s">
        <v>45</v>
      </c>
      <c r="P1157" t="s">
        <v>54</v>
      </c>
      <c r="Q1157" t="s">
        <v>85</v>
      </c>
      <c r="R1157">
        <v>0</v>
      </c>
      <c r="S1157">
        <v>35.06</v>
      </c>
      <c r="T1157">
        <v>0</v>
      </c>
      <c r="U1157">
        <v>0</v>
      </c>
      <c r="V1157" t="s">
        <v>3166</v>
      </c>
      <c r="W1157">
        <v>43457720</v>
      </c>
      <c r="X1157" t="s">
        <v>86</v>
      </c>
      <c r="Y1157" t="s">
        <v>3167</v>
      </c>
      <c r="Z1157" t="b">
        <v>0</v>
      </c>
      <c r="AA1157">
        <v>1853.964632059327</v>
      </c>
      <c r="AN1157" t="e">
        <f>100*(1-E1157/AL1157)</f>
        <v>#DIV/0!</v>
      </c>
    </row>
    <row r="1158" spans="1:40" x14ac:dyDescent="0.3">
      <c r="A1158" t="s">
        <v>71</v>
      </c>
      <c r="B1158" t="s">
        <v>3175</v>
      </c>
      <c r="C1158" t="s">
        <v>3175</v>
      </c>
      <c r="D1158" s="4">
        <v>46050</v>
      </c>
      <c r="E1158">
        <v>18000</v>
      </c>
      <c r="F1158" t="s">
        <v>3176</v>
      </c>
      <c r="G1158" t="s">
        <v>3177</v>
      </c>
      <c r="H1158" t="s">
        <v>111</v>
      </c>
      <c r="I1158" t="s">
        <v>112</v>
      </c>
      <c r="J1158" t="s">
        <v>113</v>
      </c>
      <c r="K1158" t="s">
        <v>3178</v>
      </c>
      <c r="L1158" t="s">
        <v>44</v>
      </c>
      <c r="M1158" t="s">
        <v>3179</v>
      </c>
      <c r="N1158">
        <v>35016</v>
      </c>
      <c r="O1158" t="s">
        <v>45</v>
      </c>
      <c r="P1158" t="s">
        <v>81</v>
      </c>
      <c r="Q1158" t="s">
        <v>52</v>
      </c>
      <c r="R1158">
        <v>0</v>
      </c>
      <c r="S1158">
        <v>45.25</v>
      </c>
      <c r="T1158">
        <v>0</v>
      </c>
      <c r="U1158">
        <v>0</v>
      </c>
      <c r="V1158" t="s">
        <v>3180</v>
      </c>
      <c r="W1158">
        <v>44832698</v>
      </c>
      <c r="X1158" t="s">
        <v>86</v>
      </c>
      <c r="Y1158" t="s">
        <v>3181</v>
      </c>
      <c r="Z1158" t="b">
        <v>0</v>
      </c>
      <c r="AA1158">
        <v>397.79005524861878</v>
      </c>
      <c r="AN1158" t="e">
        <f>100*(1-E1158/AL1158)</f>
        <v>#DIV/0!</v>
      </c>
    </row>
    <row r="1159" spans="1:40" x14ac:dyDescent="0.3">
      <c r="A1159" t="s">
        <v>411</v>
      </c>
      <c r="B1159" t="s">
        <v>3182</v>
      </c>
      <c r="C1159" t="s">
        <v>3182</v>
      </c>
      <c r="D1159" s="4">
        <v>46050</v>
      </c>
      <c r="E1159">
        <v>185000</v>
      </c>
      <c r="F1159" t="s">
        <v>82</v>
      </c>
      <c r="G1159" t="s">
        <v>281</v>
      </c>
      <c r="H1159" t="s">
        <v>67</v>
      </c>
      <c r="I1159" t="s">
        <v>282</v>
      </c>
      <c r="J1159" t="s">
        <v>67</v>
      </c>
      <c r="K1159" t="s">
        <v>3183</v>
      </c>
      <c r="L1159" t="s">
        <v>44</v>
      </c>
      <c r="M1159" t="s">
        <v>3184</v>
      </c>
      <c r="N1159">
        <v>15231</v>
      </c>
      <c r="O1159" t="s">
        <v>45</v>
      </c>
      <c r="P1159" t="s">
        <v>54</v>
      </c>
      <c r="Q1159" t="s">
        <v>55</v>
      </c>
      <c r="R1159">
        <v>0</v>
      </c>
      <c r="S1159">
        <v>102</v>
      </c>
      <c r="T1159">
        <v>0</v>
      </c>
      <c r="U1159">
        <v>0</v>
      </c>
      <c r="V1159" t="s">
        <v>3185</v>
      </c>
      <c r="W1159">
        <v>37964865</v>
      </c>
      <c r="X1159" t="s">
        <v>86</v>
      </c>
      <c r="Y1159" t="s">
        <v>3186</v>
      </c>
      <c r="Z1159" t="b">
        <v>0</v>
      </c>
      <c r="AA1159">
        <v>1813.725490196078</v>
      </c>
      <c r="AN1159" t="e">
        <f>100*(1-E1159/AL1159)</f>
        <v>#DIV/0!</v>
      </c>
    </row>
    <row r="1160" spans="1:40" x14ac:dyDescent="0.3">
      <c r="A1160" t="s">
        <v>278</v>
      </c>
      <c r="B1160" t="s">
        <v>3520</v>
      </c>
      <c r="C1160" t="s">
        <v>3520</v>
      </c>
      <c r="D1160" s="4">
        <v>46050</v>
      </c>
      <c r="E1160">
        <v>19820</v>
      </c>
      <c r="F1160" t="s">
        <v>3521</v>
      </c>
      <c r="G1160" t="s">
        <v>238</v>
      </c>
      <c r="H1160" t="s">
        <v>62</v>
      </c>
      <c r="I1160" t="s">
        <v>238</v>
      </c>
      <c r="J1160" t="s">
        <v>238</v>
      </c>
      <c r="K1160" t="s">
        <v>3522</v>
      </c>
      <c r="L1160" t="s">
        <v>44</v>
      </c>
      <c r="M1160" t="s">
        <v>3523</v>
      </c>
      <c r="N1160">
        <v>61100</v>
      </c>
      <c r="O1160" t="s">
        <v>50</v>
      </c>
      <c r="P1160" t="s">
        <v>51</v>
      </c>
      <c r="Q1160" t="s">
        <v>52</v>
      </c>
      <c r="R1160">
        <v>1959</v>
      </c>
      <c r="S1160">
        <v>44</v>
      </c>
      <c r="T1160" t="s">
        <v>161</v>
      </c>
      <c r="U1160">
        <v>100</v>
      </c>
      <c r="V1160" t="s">
        <v>3524</v>
      </c>
      <c r="W1160">
        <v>28525729</v>
      </c>
      <c r="X1160" t="s">
        <v>86</v>
      </c>
      <c r="Y1160" t="s">
        <v>3525</v>
      </c>
      <c r="Z1160" t="b">
        <v>0</v>
      </c>
      <c r="AA1160">
        <v>450.45454545454538</v>
      </c>
      <c r="AN1160" t="e">
        <f>100*(1-E1160/AL1160)</f>
        <v>#DIV/0!</v>
      </c>
    </row>
    <row r="1161" spans="1:40" x14ac:dyDescent="0.3">
      <c r="A1161" t="s">
        <v>166</v>
      </c>
      <c r="B1161" t="s">
        <v>3644</v>
      </c>
      <c r="C1161" t="s">
        <v>3644</v>
      </c>
      <c r="D1161" s="4">
        <v>46050</v>
      </c>
      <c r="E1161">
        <v>104000</v>
      </c>
      <c r="F1161" t="s">
        <v>287</v>
      </c>
      <c r="G1161" t="s">
        <v>248</v>
      </c>
      <c r="H1161" t="s">
        <v>67</v>
      </c>
      <c r="I1161" t="s">
        <v>249</v>
      </c>
      <c r="J1161" t="s">
        <v>67</v>
      </c>
      <c r="K1161" t="s">
        <v>3645</v>
      </c>
      <c r="L1161" t="s">
        <v>44</v>
      </c>
      <c r="M1161" t="s">
        <v>3646</v>
      </c>
      <c r="N1161">
        <v>12462</v>
      </c>
      <c r="O1161" t="s">
        <v>45</v>
      </c>
      <c r="P1161" t="s">
        <v>54</v>
      </c>
      <c r="Q1161" t="s">
        <v>52</v>
      </c>
      <c r="R1161">
        <v>1965</v>
      </c>
      <c r="S1161">
        <v>90</v>
      </c>
      <c r="T1161">
        <v>0</v>
      </c>
      <c r="U1161">
        <v>0</v>
      </c>
      <c r="V1161" t="s">
        <v>3647</v>
      </c>
      <c r="W1161">
        <v>36517441</v>
      </c>
      <c r="X1161" t="s">
        <v>86</v>
      </c>
      <c r="Y1161" t="s">
        <v>3648</v>
      </c>
      <c r="Z1161" t="b">
        <v>0</v>
      </c>
      <c r="AA1161">
        <v>1155.5555555555561</v>
      </c>
      <c r="AN1161" t="e">
        <f>100*(1-E1161/AL1161)</f>
        <v>#DIV/0!</v>
      </c>
    </row>
    <row r="1162" spans="1:40" x14ac:dyDescent="0.3">
      <c r="A1162" t="s">
        <v>166</v>
      </c>
      <c r="B1162" t="s">
        <v>4137</v>
      </c>
      <c r="C1162" t="s">
        <v>4137</v>
      </c>
      <c r="D1162" s="4">
        <v>46050</v>
      </c>
      <c r="E1162">
        <v>73000</v>
      </c>
      <c r="F1162" t="s">
        <v>4138</v>
      </c>
      <c r="G1162" t="s">
        <v>459</v>
      </c>
      <c r="H1162" t="s">
        <v>94</v>
      </c>
      <c r="I1162" t="s">
        <v>460</v>
      </c>
      <c r="J1162" t="s">
        <v>449</v>
      </c>
      <c r="K1162" t="s">
        <v>4139</v>
      </c>
      <c r="L1162" t="s">
        <v>44</v>
      </c>
      <c r="M1162" t="s">
        <v>4140</v>
      </c>
      <c r="N1162">
        <v>74132</v>
      </c>
      <c r="O1162" t="s">
        <v>45</v>
      </c>
      <c r="P1162" t="s">
        <v>54</v>
      </c>
      <c r="Q1162" t="s">
        <v>52</v>
      </c>
      <c r="R1162">
        <v>1975</v>
      </c>
      <c r="S1162">
        <v>107.9</v>
      </c>
      <c r="T1162" t="s">
        <v>48</v>
      </c>
      <c r="U1162">
        <v>50</v>
      </c>
      <c r="V1162" t="s">
        <v>4141</v>
      </c>
      <c r="W1162">
        <v>62762651</v>
      </c>
      <c r="X1162" t="s">
        <v>86</v>
      </c>
      <c r="Y1162" t="s">
        <v>4142</v>
      </c>
      <c r="Z1162" t="b">
        <v>0</v>
      </c>
      <c r="AA1162">
        <v>676.55236329935121</v>
      </c>
      <c r="AN1162" t="e">
        <f>100*(1-E1162/AL1162)</f>
        <v>#DIV/0!</v>
      </c>
    </row>
    <row r="1163" spans="1:40" x14ac:dyDescent="0.3">
      <c r="A1163" t="s">
        <v>278</v>
      </c>
      <c r="B1163" t="s">
        <v>4321</v>
      </c>
      <c r="C1163" t="s">
        <v>4321</v>
      </c>
      <c r="D1163" s="4">
        <v>46050</v>
      </c>
      <c r="E1163">
        <v>86000</v>
      </c>
      <c r="F1163" t="s">
        <v>4322</v>
      </c>
      <c r="G1163" t="s">
        <v>889</v>
      </c>
      <c r="H1163" t="s">
        <v>62</v>
      </c>
      <c r="I1163" t="s">
        <v>890</v>
      </c>
      <c r="J1163" t="s">
        <v>63</v>
      </c>
      <c r="K1163" t="s">
        <v>4323</v>
      </c>
      <c r="L1163" t="s">
        <v>44</v>
      </c>
      <c r="M1163" t="s">
        <v>4324</v>
      </c>
      <c r="N1163">
        <v>56728</v>
      </c>
      <c r="O1163" t="s">
        <v>50</v>
      </c>
      <c r="P1163" t="s">
        <v>51</v>
      </c>
      <c r="Q1163" t="s">
        <v>52</v>
      </c>
      <c r="R1163">
        <v>1979</v>
      </c>
      <c r="S1163">
        <v>47</v>
      </c>
      <c r="T1163">
        <v>0</v>
      </c>
      <c r="U1163">
        <v>0</v>
      </c>
      <c r="V1163" t="s">
        <v>4325</v>
      </c>
      <c r="W1163">
        <v>25133452</v>
      </c>
      <c r="X1163" t="s">
        <v>86</v>
      </c>
      <c r="Y1163" t="s">
        <v>4326</v>
      </c>
      <c r="Z1163" t="b">
        <v>0</v>
      </c>
      <c r="AA1163">
        <v>1829.7872340425531</v>
      </c>
      <c r="AN1163" t="e">
        <f>100*(1-E1163/AL1163)</f>
        <v>#DIV/0!</v>
      </c>
    </row>
    <row r="1164" spans="1:40" x14ac:dyDescent="0.3">
      <c r="A1164" t="s">
        <v>139</v>
      </c>
      <c r="B1164" t="s">
        <v>4522</v>
      </c>
      <c r="C1164" t="s">
        <v>4522</v>
      </c>
      <c r="D1164" s="4">
        <v>46050</v>
      </c>
      <c r="E1164">
        <v>70500</v>
      </c>
      <c r="F1164" t="s">
        <v>436</v>
      </c>
      <c r="G1164" t="s">
        <v>462</v>
      </c>
      <c r="H1164" t="s">
        <v>230</v>
      </c>
      <c r="I1164" t="s">
        <v>463</v>
      </c>
      <c r="J1164" t="s">
        <v>464</v>
      </c>
      <c r="K1164" t="s">
        <v>4523</v>
      </c>
      <c r="L1164" t="s">
        <v>44</v>
      </c>
      <c r="M1164" t="s">
        <v>4524</v>
      </c>
      <c r="N1164">
        <v>68100</v>
      </c>
      <c r="O1164" t="s">
        <v>45</v>
      </c>
      <c r="P1164" t="s">
        <v>54</v>
      </c>
      <c r="Q1164" t="s">
        <v>52</v>
      </c>
      <c r="R1164">
        <v>1980</v>
      </c>
      <c r="S1164">
        <v>70.489999999999995</v>
      </c>
      <c r="T1164">
        <v>0</v>
      </c>
      <c r="U1164">
        <v>0</v>
      </c>
      <c r="V1164" t="s">
        <v>4525</v>
      </c>
      <c r="W1164" t="s">
        <v>4526</v>
      </c>
      <c r="X1164" t="s">
        <v>86</v>
      </c>
      <c r="Y1164" t="s">
        <v>4527</v>
      </c>
      <c r="Z1164" t="b">
        <v>0</v>
      </c>
      <c r="AA1164">
        <v>1000.141864094198</v>
      </c>
      <c r="AN1164" t="e">
        <f>100*(1-E1164/AL1164)</f>
        <v>#DIV/0!</v>
      </c>
    </row>
    <row r="1165" spans="1:40" x14ac:dyDescent="0.3">
      <c r="A1165" t="s">
        <v>59</v>
      </c>
      <c r="B1165" t="s">
        <v>4528</v>
      </c>
      <c r="C1165" t="s">
        <v>4528</v>
      </c>
      <c r="D1165" s="4">
        <v>46050</v>
      </c>
      <c r="E1165">
        <v>54000</v>
      </c>
      <c r="F1165" t="s">
        <v>4529</v>
      </c>
      <c r="G1165" t="s">
        <v>2488</v>
      </c>
      <c r="H1165" t="s">
        <v>136</v>
      </c>
      <c r="I1165" t="s">
        <v>2489</v>
      </c>
      <c r="J1165" t="s">
        <v>149</v>
      </c>
      <c r="K1165" t="s">
        <v>4530</v>
      </c>
      <c r="L1165" t="s">
        <v>44</v>
      </c>
      <c r="M1165" t="s">
        <v>481</v>
      </c>
      <c r="N1165">
        <v>40300</v>
      </c>
      <c r="O1165" t="s">
        <v>45</v>
      </c>
      <c r="P1165" t="s">
        <v>54</v>
      </c>
      <c r="Q1165" t="s">
        <v>55</v>
      </c>
      <c r="R1165">
        <v>1980</v>
      </c>
      <c r="S1165">
        <v>104</v>
      </c>
      <c r="T1165">
        <v>0</v>
      </c>
      <c r="U1165">
        <v>0</v>
      </c>
      <c r="V1165" t="s">
        <v>4531</v>
      </c>
      <c r="W1165">
        <v>39179926</v>
      </c>
      <c r="X1165" t="s">
        <v>86</v>
      </c>
      <c r="Y1165" t="s">
        <v>4532</v>
      </c>
      <c r="Z1165" t="b">
        <v>0</v>
      </c>
      <c r="AA1165">
        <v>519.23076923076928</v>
      </c>
      <c r="AN1165" t="e">
        <f>100*(1-E1165/AL1165)</f>
        <v>#DIV/0!</v>
      </c>
    </row>
    <row r="1166" spans="1:40" x14ac:dyDescent="0.3">
      <c r="A1166" t="s">
        <v>215</v>
      </c>
      <c r="B1166" t="s">
        <v>4599</v>
      </c>
      <c r="C1166" t="s">
        <v>4599</v>
      </c>
      <c r="D1166" s="4">
        <v>46050</v>
      </c>
      <c r="E1166">
        <v>312000</v>
      </c>
      <c r="F1166" t="s">
        <v>4600</v>
      </c>
      <c r="G1166" t="s">
        <v>281</v>
      </c>
      <c r="H1166" t="s">
        <v>67</v>
      </c>
      <c r="I1166" t="s">
        <v>282</v>
      </c>
      <c r="J1166" t="s">
        <v>67</v>
      </c>
      <c r="K1166" t="s">
        <v>4601</v>
      </c>
      <c r="L1166" t="s">
        <v>44</v>
      </c>
      <c r="M1166" t="s">
        <v>4602</v>
      </c>
      <c r="N1166">
        <v>15233</v>
      </c>
      <c r="O1166" t="s">
        <v>45</v>
      </c>
      <c r="P1166" t="s">
        <v>288</v>
      </c>
      <c r="Q1166" t="s">
        <v>100</v>
      </c>
      <c r="R1166">
        <v>1981</v>
      </c>
      <c r="S1166">
        <v>163</v>
      </c>
      <c r="T1166">
        <v>0</v>
      </c>
      <c r="U1166">
        <v>0</v>
      </c>
      <c r="V1166" t="s">
        <v>4603</v>
      </c>
      <c r="W1166">
        <v>19334177</v>
      </c>
      <c r="X1166" t="s">
        <v>49</v>
      </c>
      <c r="Y1166" t="s">
        <v>4604</v>
      </c>
      <c r="Z1166" t="b">
        <v>0</v>
      </c>
      <c r="AA1166">
        <v>1914.110429447853</v>
      </c>
      <c r="AN1166" t="e">
        <f>100*(1-E1166/AL1166)</f>
        <v>#DIV/0!</v>
      </c>
    </row>
    <row r="1167" spans="1:40" x14ac:dyDescent="0.3">
      <c r="A1167" t="s">
        <v>150</v>
      </c>
      <c r="B1167" t="s">
        <v>5303</v>
      </c>
      <c r="C1167" t="s">
        <v>5303</v>
      </c>
      <c r="D1167" s="4">
        <v>46050</v>
      </c>
      <c r="E1167">
        <v>130392</v>
      </c>
      <c r="F1167" t="s">
        <v>2652</v>
      </c>
      <c r="G1167" t="s">
        <v>2814</v>
      </c>
      <c r="H1167" t="s">
        <v>230</v>
      </c>
      <c r="I1167" t="s">
        <v>2815</v>
      </c>
      <c r="J1167" t="s">
        <v>631</v>
      </c>
      <c r="K1167" t="s">
        <v>5304</v>
      </c>
      <c r="L1167" t="s">
        <v>44</v>
      </c>
      <c r="M1167" t="s">
        <v>5305</v>
      </c>
      <c r="N1167">
        <v>69100</v>
      </c>
      <c r="O1167" t="s">
        <v>45</v>
      </c>
      <c r="P1167" t="s">
        <v>54</v>
      </c>
      <c r="Q1167" t="s">
        <v>85</v>
      </c>
      <c r="R1167">
        <v>1994</v>
      </c>
      <c r="S1167">
        <v>116.96</v>
      </c>
      <c r="T1167">
        <v>0</v>
      </c>
      <c r="U1167">
        <v>0</v>
      </c>
      <c r="V1167" t="s">
        <v>5306</v>
      </c>
      <c r="W1167" t="s">
        <v>5307</v>
      </c>
      <c r="X1167" t="s">
        <v>86</v>
      </c>
      <c r="Y1167" t="s">
        <v>5308</v>
      </c>
      <c r="Z1167" t="b">
        <v>0</v>
      </c>
      <c r="AA1167">
        <v>1114.8426812585501</v>
      </c>
      <c r="AN1167" t="e">
        <f>100*(1-E1167/AL1167)</f>
        <v>#DIV/0!</v>
      </c>
    </row>
    <row r="1168" spans="1:40" x14ac:dyDescent="0.3">
      <c r="A1168" t="s">
        <v>150</v>
      </c>
      <c r="B1168" t="s">
        <v>5303</v>
      </c>
      <c r="C1168" t="s">
        <v>5303</v>
      </c>
      <c r="D1168" s="4">
        <v>46050</v>
      </c>
      <c r="E1168">
        <v>130392</v>
      </c>
      <c r="F1168" t="s">
        <v>2652</v>
      </c>
      <c r="G1168" t="s">
        <v>2814</v>
      </c>
      <c r="H1168" t="s">
        <v>230</v>
      </c>
      <c r="I1168" t="s">
        <v>2815</v>
      </c>
      <c r="J1168" t="s">
        <v>631</v>
      </c>
      <c r="K1168" t="s">
        <v>5304</v>
      </c>
      <c r="L1168" t="s">
        <v>44</v>
      </c>
      <c r="M1168" t="s">
        <v>5305</v>
      </c>
      <c r="N1168">
        <v>69100</v>
      </c>
      <c r="O1168" t="s">
        <v>45</v>
      </c>
      <c r="P1168" t="s">
        <v>54</v>
      </c>
      <c r="Q1168" t="s">
        <v>85</v>
      </c>
      <c r="R1168">
        <v>1994</v>
      </c>
      <c r="S1168">
        <v>116.96</v>
      </c>
      <c r="T1168">
        <v>0</v>
      </c>
      <c r="U1168">
        <v>0</v>
      </c>
      <c r="V1168" t="s">
        <v>5306</v>
      </c>
      <c r="W1168" t="s">
        <v>5307</v>
      </c>
      <c r="X1168" t="s">
        <v>86</v>
      </c>
      <c r="Y1168" t="s">
        <v>5308</v>
      </c>
      <c r="Z1168" t="b">
        <v>0</v>
      </c>
      <c r="AA1168">
        <v>1114.8426812585501</v>
      </c>
      <c r="AN1168" t="e">
        <f>100*(1-E1168/AL1168)</f>
        <v>#DIV/0!</v>
      </c>
    </row>
    <row r="1169" spans="1:40" x14ac:dyDescent="0.3">
      <c r="A1169" t="s">
        <v>59</v>
      </c>
      <c r="B1169" t="s">
        <v>3187</v>
      </c>
      <c r="C1169" t="s">
        <v>3187</v>
      </c>
      <c r="D1169" s="4">
        <v>46051</v>
      </c>
      <c r="E1169">
        <v>175000</v>
      </c>
      <c r="F1169" t="s">
        <v>3188</v>
      </c>
      <c r="G1169" t="s">
        <v>3189</v>
      </c>
      <c r="H1169" t="s">
        <v>196</v>
      </c>
      <c r="I1169" t="s">
        <v>197</v>
      </c>
      <c r="J1169" t="s">
        <v>198</v>
      </c>
      <c r="K1169" t="s">
        <v>3190</v>
      </c>
      <c r="L1169" t="s">
        <v>80</v>
      </c>
      <c r="M1169" t="s">
        <v>3191</v>
      </c>
      <c r="N1169">
        <v>84501</v>
      </c>
      <c r="O1169" t="s">
        <v>45</v>
      </c>
      <c r="P1169" t="s">
        <v>288</v>
      </c>
      <c r="Q1169">
        <v>0</v>
      </c>
      <c r="R1169">
        <v>0</v>
      </c>
      <c r="S1169">
        <v>79.25</v>
      </c>
      <c r="T1169">
        <v>0</v>
      </c>
      <c r="U1169">
        <v>0</v>
      </c>
      <c r="V1169" t="s">
        <v>3192</v>
      </c>
      <c r="W1169">
        <v>74598143</v>
      </c>
      <c r="X1169" t="s">
        <v>86</v>
      </c>
      <c r="Y1169">
        <v>0</v>
      </c>
      <c r="Z1169" t="b">
        <v>0</v>
      </c>
      <c r="AA1169">
        <v>2208.2018927444801</v>
      </c>
      <c r="AN1169" t="e">
        <f>100*(1-E1169/AL1169)</f>
        <v>#DIV/0!</v>
      </c>
    </row>
    <row r="1170" spans="1:40" x14ac:dyDescent="0.3">
      <c r="A1170" t="s">
        <v>71</v>
      </c>
      <c r="B1170" t="s">
        <v>3193</v>
      </c>
      <c r="C1170" t="s">
        <v>3193</v>
      </c>
      <c r="D1170" s="4">
        <v>46057</v>
      </c>
      <c r="E1170">
        <v>92700</v>
      </c>
      <c r="F1170" t="s">
        <v>3194</v>
      </c>
      <c r="G1170" t="s">
        <v>2294</v>
      </c>
      <c r="H1170" t="s">
        <v>225</v>
      </c>
      <c r="I1170" t="s">
        <v>2295</v>
      </c>
      <c r="J1170" t="s">
        <v>2295</v>
      </c>
      <c r="K1170" t="s">
        <v>3195</v>
      </c>
      <c r="L1170" t="s">
        <v>44</v>
      </c>
      <c r="M1170" t="s">
        <v>3196</v>
      </c>
      <c r="N1170">
        <v>81100</v>
      </c>
      <c r="O1170" t="s">
        <v>45</v>
      </c>
      <c r="P1170" t="s">
        <v>81</v>
      </c>
      <c r="Q1170" t="s">
        <v>55</v>
      </c>
      <c r="R1170">
        <v>0</v>
      </c>
      <c r="S1170">
        <v>110.33</v>
      </c>
      <c r="T1170">
        <v>0</v>
      </c>
      <c r="U1170">
        <v>0</v>
      </c>
      <c r="V1170" t="s">
        <v>3197</v>
      </c>
      <c r="W1170">
        <v>55795655</v>
      </c>
      <c r="X1170" t="s">
        <v>86</v>
      </c>
      <c r="Y1170" t="s">
        <v>3198</v>
      </c>
      <c r="Z1170" t="b">
        <v>0</v>
      </c>
      <c r="AA1170">
        <v>840.2066527689658</v>
      </c>
      <c r="AN1170" t="e">
        <f>100*(1-E1170/AL1170)</f>
        <v>#DIV/0!</v>
      </c>
    </row>
    <row r="1171" spans="1:40" x14ac:dyDescent="0.3">
      <c r="A1171" t="s">
        <v>59</v>
      </c>
      <c r="B1171" t="s">
        <v>3199</v>
      </c>
      <c r="C1171" t="s">
        <v>3199</v>
      </c>
      <c r="D1171" s="4">
        <v>46057</v>
      </c>
      <c r="E1171">
        <v>101800</v>
      </c>
      <c r="F1171" t="s">
        <v>167</v>
      </c>
      <c r="G1171" t="s">
        <v>390</v>
      </c>
      <c r="H1171" t="s">
        <v>62</v>
      </c>
      <c r="I1171" t="s">
        <v>391</v>
      </c>
      <c r="J1171" t="s">
        <v>63</v>
      </c>
      <c r="K1171" t="s">
        <v>3200</v>
      </c>
      <c r="L1171" t="s">
        <v>44</v>
      </c>
      <c r="M1171" t="s">
        <v>3201</v>
      </c>
      <c r="N1171">
        <v>56532</v>
      </c>
      <c r="O1171" t="s">
        <v>45</v>
      </c>
      <c r="P1171" t="s">
        <v>54</v>
      </c>
      <c r="Q1171" t="s">
        <v>55</v>
      </c>
      <c r="R1171">
        <v>0</v>
      </c>
      <c r="S1171">
        <v>80.14</v>
      </c>
      <c r="T1171">
        <v>0</v>
      </c>
      <c r="U1171">
        <v>0</v>
      </c>
      <c r="V1171" t="s">
        <v>3202</v>
      </c>
      <c r="W1171">
        <v>38718639</v>
      </c>
      <c r="X1171" t="s">
        <v>86</v>
      </c>
      <c r="Y1171" t="s">
        <v>3203</v>
      </c>
      <c r="Z1171" t="b">
        <v>0</v>
      </c>
      <c r="AA1171">
        <v>1270.2770152233591</v>
      </c>
      <c r="AN1171" t="e">
        <f>100*(1-E1171/AL1171)</f>
        <v>#DIV/0!</v>
      </c>
    </row>
    <row r="1172" spans="1:40" x14ac:dyDescent="0.3">
      <c r="A1172" t="s">
        <v>59</v>
      </c>
      <c r="B1172" t="s">
        <v>3204</v>
      </c>
      <c r="C1172" t="s">
        <v>3204</v>
      </c>
      <c r="D1172" s="4">
        <v>46057</v>
      </c>
      <c r="E1172">
        <v>170000</v>
      </c>
      <c r="F1172" t="s">
        <v>3205</v>
      </c>
      <c r="G1172" t="s">
        <v>378</v>
      </c>
      <c r="H1172" t="s">
        <v>67</v>
      </c>
      <c r="I1172" t="s">
        <v>379</v>
      </c>
      <c r="J1172" t="s">
        <v>67</v>
      </c>
      <c r="K1172" t="s">
        <v>3206</v>
      </c>
      <c r="L1172" t="s">
        <v>44</v>
      </c>
      <c r="M1172" t="s">
        <v>3207</v>
      </c>
      <c r="N1172">
        <v>19500</v>
      </c>
      <c r="O1172" t="s">
        <v>45</v>
      </c>
      <c r="P1172" t="s">
        <v>288</v>
      </c>
      <c r="Q1172" t="s">
        <v>55</v>
      </c>
      <c r="R1172">
        <v>0</v>
      </c>
      <c r="S1172">
        <v>124.85</v>
      </c>
      <c r="T1172">
        <v>0</v>
      </c>
      <c r="U1172">
        <v>0</v>
      </c>
      <c r="V1172" t="s">
        <v>3208</v>
      </c>
      <c r="W1172">
        <v>125428583</v>
      </c>
      <c r="X1172" t="s">
        <v>86</v>
      </c>
      <c r="Y1172" t="s">
        <v>3209</v>
      </c>
      <c r="Z1172" t="b">
        <v>0</v>
      </c>
      <c r="AA1172">
        <v>1361.633960752903</v>
      </c>
      <c r="AN1172" t="e">
        <f>100*(1-E1172/AL1172)</f>
        <v>#DIV/0!</v>
      </c>
    </row>
    <row r="1173" spans="1:40" x14ac:dyDescent="0.3">
      <c r="A1173" t="s">
        <v>166</v>
      </c>
      <c r="B1173" t="s">
        <v>3210</v>
      </c>
      <c r="C1173" t="s">
        <v>3210</v>
      </c>
      <c r="D1173" s="4">
        <v>46057</v>
      </c>
      <c r="E1173">
        <v>52000</v>
      </c>
      <c r="F1173" t="s">
        <v>3211</v>
      </c>
      <c r="G1173" t="s">
        <v>381</v>
      </c>
      <c r="H1173" t="s">
        <v>124</v>
      </c>
      <c r="I1173" t="s">
        <v>334</v>
      </c>
      <c r="J1173" t="s">
        <v>126</v>
      </c>
      <c r="K1173" t="s">
        <v>3212</v>
      </c>
      <c r="L1173" t="s">
        <v>44</v>
      </c>
      <c r="M1173" t="s">
        <v>3213</v>
      </c>
      <c r="N1173">
        <v>25100</v>
      </c>
      <c r="O1173" t="s">
        <v>50</v>
      </c>
      <c r="P1173" t="s">
        <v>176</v>
      </c>
      <c r="Q1173" t="s">
        <v>55</v>
      </c>
      <c r="R1173">
        <v>0</v>
      </c>
      <c r="S1173">
        <v>60</v>
      </c>
      <c r="T1173">
        <v>0</v>
      </c>
      <c r="U1173">
        <v>0</v>
      </c>
      <c r="V1173" t="s">
        <v>3214</v>
      </c>
      <c r="W1173">
        <v>45764413</v>
      </c>
      <c r="X1173" t="s">
        <v>49</v>
      </c>
      <c r="Y1173" t="s">
        <v>3215</v>
      </c>
      <c r="Z1173" t="b">
        <v>0</v>
      </c>
      <c r="AA1173">
        <v>866.66666666666663</v>
      </c>
      <c r="AN1173" t="e">
        <f>100*(1-E1173/AL1173)</f>
        <v>#DIV/0!</v>
      </c>
    </row>
    <row r="1174" spans="1:40" x14ac:dyDescent="0.3">
      <c r="A1174" t="s">
        <v>150</v>
      </c>
      <c r="B1174" t="s">
        <v>3216</v>
      </c>
      <c r="C1174" t="s">
        <v>3217</v>
      </c>
      <c r="D1174" s="4">
        <v>46057</v>
      </c>
      <c r="E1174">
        <v>4500</v>
      </c>
      <c r="F1174" t="s">
        <v>243</v>
      </c>
      <c r="G1174" t="s">
        <v>101</v>
      </c>
      <c r="H1174" t="s">
        <v>102</v>
      </c>
      <c r="I1174" t="s">
        <v>103</v>
      </c>
      <c r="J1174" t="s">
        <v>103</v>
      </c>
      <c r="K1174" t="s">
        <v>3218</v>
      </c>
      <c r="L1174" t="s">
        <v>44</v>
      </c>
      <c r="M1174" t="s">
        <v>3219</v>
      </c>
      <c r="N1174">
        <v>50100</v>
      </c>
      <c r="O1174" t="s">
        <v>45</v>
      </c>
      <c r="P1174" t="s">
        <v>46</v>
      </c>
      <c r="Q1174" t="s">
        <v>47</v>
      </c>
      <c r="R1174">
        <v>0</v>
      </c>
      <c r="S1174">
        <v>8.66</v>
      </c>
      <c r="T1174">
        <v>0</v>
      </c>
      <c r="U1174">
        <v>0</v>
      </c>
      <c r="V1174" t="s">
        <v>3220</v>
      </c>
      <c r="W1174" t="s">
        <v>3221</v>
      </c>
      <c r="X1174" t="s">
        <v>49</v>
      </c>
      <c r="Y1174" t="s">
        <v>3222</v>
      </c>
      <c r="Z1174" t="b">
        <v>0</v>
      </c>
      <c r="AA1174">
        <v>519.63048498845262</v>
      </c>
      <c r="AN1174" t="e">
        <f>100*(1-E1174/AL1174)</f>
        <v>#DIV/0!</v>
      </c>
    </row>
    <row r="1175" spans="1:40" x14ac:dyDescent="0.3">
      <c r="A1175" t="s">
        <v>150</v>
      </c>
      <c r="B1175" t="s">
        <v>3223</v>
      </c>
      <c r="C1175" t="s">
        <v>3217</v>
      </c>
      <c r="D1175" s="4">
        <v>46057</v>
      </c>
      <c r="E1175">
        <v>138000</v>
      </c>
      <c r="F1175" t="s">
        <v>468</v>
      </c>
      <c r="G1175" t="s">
        <v>101</v>
      </c>
      <c r="H1175" t="s">
        <v>102</v>
      </c>
      <c r="I1175" t="s">
        <v>103</v>
      </c>
      <c r="J1175" t="s">
        <v>103</v>
      </c>
      <c r="K1175" t="s">
        <v>3218</v>
      </c>
      <c r="L1175" t="s">
        <v>44</v>
      </c>
      <c r="M1175" t="s">
        <v>3219</v>
      </c>
      <c r="N1175">
        <v>50100</v>
      </c>
      <c r="O1175" t="s">
        <v>45</v>
      </c>
      <c r="P1175" t="s">
        <v>54</v>
      </c>
      <c r="Q1175" t="s">
        <v>100</v>
      </c>
      <c r="R1175">
        <v>0</v>
      </c>
      <c r="S1175">
        <v>90.75</v>
      </c>
      <c r="T1175">
        <v>0</v>
      </c>
      <c r="U1175">
        <v>0</v>
      </c>
      <c r="V1175" t="s">
        <v>3220</v>
      </c>
      <c r="W1175" t="s">
        <v>3221</v>
      </c>
      <c r="X1175" t="s">
        <v>49</v>
      </c>
      <c r="Y1175" t="s">
        <v>3224</v>
      </c>
      <c r="Z1175" t="b">
        <v>0</v>
      </c>
      <c r="AA1175">
        <v>1520.6611570247931</v>
      </c>
      <c r="AN1175" t="e">
        <f>100*(1-E1175/AL1175)</f>
        <v>#DIV/0!</v>
      </c>
    </row>
    <row r="1176" spans="1:40" x14ac:dyDescent="0.3">
      <c r="A1176" t="s">
        <v>59</v>
      </c>
      <c r="B1176" t="s">
        <v>3225</v>
      </c>
      <c r="C1176" t="s">
        <v>3225</v>
      </c>
      <c r="D1176" s="4">
        <v>46057</v>
      </c>
      <c r="E1176">
        <v>86000</v>
      </c>
      <c r="F1176" t="s">
        <v>3226</v>
      </c>
      <c r="G1176" t="s">
        <v>3227</v>
      </c>
      <c r="H1176" t="s">
        <v>225</v>
      </c>
      <c r="I1176" t="s">
        <v>3228</v>
      </c>
      <c r="J1176" t="s">
        <v>3228</v>
      </c>
      <c r="K1176" t="s">
        <v>3229</v>
      </c>
      <c r="L1176" t="s">
        <v>80</v>
      </c>
      <c r="M1176" t="s">
        <v>3230</v>
      </c>
      <c r="N1176">
        <v>83100</v>
      </c>
      <c r="O1176" t="s">
        <v>331</v>
      </c>
      <c r="P1176" t="s">
        <v>331</v>
      </c>
      <c r="Q1176" t="s">
        <v>52</v>
      </c>
      <c r="R1176">
        <v>0</v>
      </c>
      <c r="S1176">
        <v>109.64</v>
      </c>
      <c r="T1176">
        <v>0</v>
      </c>
      <c r="U1176">
        <v>0</v>
      </c>
      <c r="V1176" t="s">
        <v>3231</v>
      </c>
      <c r="W1176">
        <v>71984626</v>
      </c>
      <c r="X1176" t="s">
        <v>86</v>
      </c>
      <c r="Y1176">
        <v>0</v>
      </c>
      <c r="Z1176" t="b">
        <v>0</v>
      </c>
      <c r="AA1176">
        <v>784.38526085370302</v>
      </c>
      <c r="AN1176" t="e">
        <f>100*(1-E1176/AL1176)</f>
        <v>#DIV/0!</v>
      </c>
    </row>
    <row r="1177" spans="1:40" x14ac:dyDescent="0.3">
      <c r="A1177" t="s">
        <v>59</v>
      </c>
      <c r="B1177" t="s">
        <v>3225</v>
      </c>
      <c r="C1177" t="s">
        <v>3225</v>
      </c>
      <c r="D1177" s="4">
        <v>46057</v>
      </c>
      <c r="E1177">
        <v>86000</v>
      </c>
      <c r="F1177" t="s">
        <v>3226</v>
      </c>
      <c r="G1177" t="s">
        <v>3227</v>
      </c>
      <c r="H1177" t="s">
        <v>225</v>
      </c>
      <c r="I1177" t="s">
        <v>3228</v>
      </c>
      <c r="J1177" t="s">
        <v>3228</v>
      </c>
      <c r="K1177" t="s">
        <v>3229</v>
      </c>
      <c r="L1177" t="s">
        <v>80</v>
      </c>
      <c r="M1177" t="s">
        <v>3230</v>
      </c>
      <c r="N1177">
        <v>83100</v>
      </c>
      <c r="O1177" t="s">
        <v>331</v>
      </c>
      <c r="P1177" t="s">
        <v>331</v>
      </c>
      <c r="Q1177" t="s">
        <v>52</v>
      </c>
      <c r="R1177">
        <v>0</v>
      </c>
      <c r="S1177">
        <v>109.64</v>
      </c>
      <c r="T1177">
        <v>0</v>
      </c>
      <c r="U1177">
        <v>0</v>
      </c>
      <c r="V1177" t="s">
        <v>3231</v>
      </c>
      <c r="W1177">
        <v>71984626</v>
      </c>
      <c r="X1177" t="s">
        <v>86</v>
      </c>
      <c r="Y1177">
        <v>0</v>
      </c>
      <c r="Z1177" t="b">
        <v>0</v>
      </c>
      <c r="AA1177">
        <v>784.38526085370302</v>
      </c>
      <c r="AN1177" t="e">
        <f>100*(1-E1177/AL1177)</f>
        <v>#DIV/0!</v>
      </c>
    </row>
    <row r="1178" spans="1:40" x14ac:dyDescent="0.3">
      <c r="A1178" t="s">
        <v>71</v>
      </c>
      <c r="B1178" t="s">
        <v>3232</v>
      </c>
      <c r="C1178" t="s">
        <v>3233</v>
      </c>
      <c r="D1178" s="4">
        <v>46057</v>
      </c>
      <c r="E1178">
        <v>6500</v>
      </c>
      <c r="F1178" t="s">
        <v>3234</v>
      </c>
      <c r="G1178" t="s">
        <v>238</v>
      </c>
      <c r="H1178" t="s">
        <v>62</v>
      </c>
      <c r="I1178" t="s">
        <v>238</v>
      </c>
      <c r="J1178" t="s">
        <v>238</v>
      </c>
      <c r="K1178" t="s">
        <v>3235</v>
      </c>
      <c r="L1178" t="s">
        <v>44</v>
      </c>
      <c r="M1178" t="s">
        <v>3236</v>
      </c>
      <c r="N1178">
        <v>61100</v>
      </c>
      <c r="O1178" t="s">
        <v>97</v>
      </c>
      <c r="P1178" t="s">
        <v>118</v>
      </c>
      <c r="Q1178">
        <v>0</v>
      </c>
      <c r="R1178">
        <v>0</v>
      </c>
      <c r="S1178">
        <v>6263</v>
      </c>
      <c r="T1178">
        <v>0</v>
      </c>
      <c r="U1178">
        <v>0</v>
      </c>
      <c r="V1178" t="s">
        <v>3237</v>
      </c>
      <c r="W1178">
        <v>54386573</v>
      </c>
      <c r="X1178" t="s">
        <v>49</v>
      </c>
      <c r="Y1178" t="s">
        <v>3238</v>
      </c>
      <c r="Z1178" t="b">
        <v>0</v>
      </c>
      <c r="AA1178">
        <v>1.037841290116557</v>
      </c>
      <c r="AN1178" t="e">
        <f>100*(1-E1178/AL1178)</f>
        <v>#DIV/0!</v>
      </c>
    </row>
    <row r="1179" spans="1:40" x14ac:dyDescent="0.3">
      <c r="A1179" t="s">
        <v>71</v>
      </c>
      <c r="B1179" t="s">
        <v>3239</v>
      </c>
      <c r="C1179" t="s">
        <v>3233</v>
      </c>
      <c r="D1179" s="4">
        <v>46057</v>
      </c>
      <c r="E1179">
        <v>18000</v>
      </c>
      <c r="F1179" t="s">
        <v>3240</v>
      </c>
      <c r="G1179" t="s">
        <v>238</v>
      </c>
      <c r="H1179" t="s">
        <v>62</v>
      </c>
      <c r="I1179" t="s">
        <v>238</v>
      </c>
      <c r="J1179" t="s">
        <v>238</v>
      </c>
      <c r="K1179" t="s">
        <v>3241</v>
      </c>
      <c r="L1179" t="s">
        <v>44</v>
      </c>
      <c r="M1179" t="s">
        <v>3236</v>
      </c>
      <c r="N1179">
        <v>61100</v>
      </c>
      <c r="O1179" t="s">
        <v>97</v>
      </c>
      <c r="P1179" t="s">
        <v>118</v>
      </c>
      <c r="Q1179">
        <v>0</v>
      </c>
      <c r="R1179">
        <v>0</v>
      </c>
      <c r="S1179">
        <v>8911</v>
      </c>
      <c r="T1179">
        <v>0</v>
      </c>
      <c r="U1179">
        <v>0</v>
      </c>
      <c r="V1179" t="s">
        <v>3237</v>
      </c>
      <c r="W1179">
        <v>54386573</v>
      </c>
      <c r="X1179" t="s">
        <v>49</v>
      </c>
      <c r="Y1179" t="s">
        <v>3242</v>
      </c>
      <c r="Z1179" t="b">
        <v>0</v>
      </c>
      <c r="AA1179">
        <v>2.01997531141286</v>
      </c>
      <c r="AN1179" t="e">
        <f>100*(1-E1179/AL1179)</f>
        <v>#DIV/0!</v>
      </c>
    </row>
    <row r="1180" spans="1:40" x14ac:dyDescent="0.3">
      <c r="A1180" t="s">
        <v>71</v>
      </c>
      <c r="B1180" t="s">
        <v>3243</v>
      </c>
      <c r="C1180" t="s">
        <v>3233</v>
      </c>
      <c r="D1180" s="4">
        <v>46057</v>
      </c>
      <c r="E1180">
        <v>15000</v>
      </c>
      <c r="F1180" t="s">
        <v>3244</v>
      </c>
      <c r="G1180" t="s">
        <v>238</v>
      </c>
      <c r="H1180" t="s">
        <v>62</v>
      </c>
      <c r="I1180" t="s">
        <v>238</v>
      </c>
      <c r="J1180" t="s">
        <v>238</v>
      </c>
      <c r="K1180" t="s">
        <v>3245</v>
      </c>
      <c r="L1180" t="s">
        <v>44</v>
      </c>
      <c r="M1180" t="s">
        <v>3236</v>
      </c>
      <c r="N1180">
        <v>61100</v>
      </c>
      <c r="O1180" t="s">
        <v>97</v>
      </c>
      <c r="P1180" t="s">
        <v>118</v>
      </c>
      <c r="Q1180">
        <v>0</v>
      </c>
      <c r="R1180">
        <v>0</v>
      </c>
      <c r="S1180">
        <v>6774</v>
      </c>
      <c r="T1180">
        <v>0</v>
      </c>
      <c r="U1180">
        <v>0</v>
      </c>
      <c r="V1180" t="s">
        <v>3237</v>
      </c>
      <c r="W1180">
        <v>54386573</v>
      </c>
      <c r="X1180" t="s">
        <v>49</v>
      </c>
      <c r="Y1180" t="s">
        <v>3246</v>
      </c>
      <c r="Z1180" t="b">
        <v>0</v>
      </c>
      <c r="AA1180">
        <v>2.214348981399469</v>
      </c>
      <c r="AN1180" t="e">
        <f>100*(1-E1180/AL1180)</f>
        <v>#DIV/0!</v>
      </c>
    </row>
    <row r="1181" spans="1:40" x14ac:dyDescent="0.3">
      <c r="A1181" t="s">
        <v>71</v>
      </c>
      <c r="B1181" t="s">
        <v>3243</v>
      </c>
      <c r="C1181" t="s">
        <v>3233</v>
      </c>
      <c r="D1181" s="4">
        <v>46057</v>
      </c>
      <c r="E1181">
        <v>15000</v>
      </c>
      <c r="F1181" t="s">
        <v>3244</v>
      </c>
      <c r="G1181" t="s">
        <v>238</v>
      </c>
      <c r="H1181" t="s">
        <v>62</v>
      </c>
      <c r="I1181" t="s">
        <v>238</v>
      </c>
      <c r="J1181" t="s">
        <v>238</v>
      </c>
      <c r="K1181" t="s">
        <v>3245</v>
      </c>
      <c r="L1181" t="s">
        <v>44</v>
      </c>
      <c r="M1181" t="s">
        <v>3236</v>
      </c>
      <c r="N1181">
        <v>61100</v>
      </c>
      <c r="O1181" t="s">
        <v>97</v>
      </c>
      <c r="P1181" t="s">
        <v>118</v>
      </c>
      <c r="Q1181">
        <v>0</v>
      </c>
      <c r="R1181">
        <v>0</v>
      </c>
      <c r="S1181">
        <v>6774</v>
      </c>
      <c r="T1181">
        <v>0</v>
      </c>
      <c r="U1181">
        <v>0</v>
      </c>
      <c r="V1181" t="s">
        <v>3237</v>
      </c>
      <c r="W1181">
        <v>54386573</v>
      </c>
      <c r="X1181" t="s">
        <v>49</v>
      </c>
      <c r="Y1181" t="s">
        <v>3246</v>
      </c>
      <c r="Z1181" t="b">
        <v>0</v>
      </c>
      <c r="AA1181">
        <v>2.214348981399469</v>
      </c>
      <c r="AN1181" t="e">
        <f>100*(1-E1181/AL1181)</f>
        <v>#DIV/0!</v>
      </c>
    </row>
    <row r="1182" spans="1:40" x14ac:dyDescent="0.3">
      <c r="A1182" t="s">
        <v>71</v>
      </c>
      <c r="B1182" t="s">
        <v>3232</v>
      </c>
      <c r="C1182" t="s">
        <v>3233</v>
      </c>
      <c r="D1182" s="4">
        <v>46057</v>
      </c>
      <c r="E1182">
        <v>6500</v>
      </c>
      <c r="F1182" t="s">
        <v>3234</v>
      </c>
      <c r="G1182" t="s">
        <v>238</v>
      </c>
      <c r="H1182" t="s">
        <v>62</v>
      </c>
      <c r="I1182" t="s">
        <v>238</v>
      </c>
      <c r="J1182" t="s">
        <v>238</v>
      </c>
      <c r="K1182" t="s">
        <v>3235</v>
      </c>
      <c r="L1182" t="s">
        <v>44</v>
      </c>
      <c r="M1182" t="s">
        <v>3236</v>
      </c>
      <c r="N1182">
        <v>61100</v>
      </c>
      <c r="O1182" t="s">
        <v>97</v>
      </c>
      <c r="P1182" t="s">
        <v>118</v>
      </c>
      <c r="Q1182">
        <v>0</v>
      </c>
      <c r="R1182">
        <v>0</v>
      </c>
      <c r="S1182">
        <v>6263</v>
      </c>
      <c r="T1182">
        <v>0</v>
      </c>
      <c r="U1182">
        <v>0</v>
      </c>
      <c r="V1182" t="s">
        <v>3237</v>
      </c>
      <c r="W1182">
        <v>54386573</v>
      </c>
      <c r="X1182" t="s">
        <v>49</v>
      </c>
      <c r="Y1182" t="s">
        <v>3238</v>
      </c>
      <c r="Z1182" t="b">
        <v>0</v>
      </c>
      <c r="AA1182">
        <v>1.037841290116557</v>
      </c>
      <c r="AN1182" t="e">
        <f>100*(1-E1182/AL1182)</f>
        <v>#DIV/0!</v>
      </c>
    </row>
    <row r="1183" spans="1:40" x14ac:dyDescent="0.3">
      <c r="A1183" t="s">
        <v>71</v>
      </c>
      <c r="B1183" t="s">
        <v>3239</v>
      </c>
      <c r="C1183" t="s">
        <v>3233</v>
      </c>
      <c r="D1183" s="4">
        <v>46057</v>
      </c>
      <c r="E1183">
        <v>18000</v>
      </c>
      <c r="F1183" t="s">
        <v>3240</v>
      </c>
      <c r="G1183" t="s">
        <v>238</v>
      </c>
      <c r="H1183" t="s">
        <v>62</v>
      </c>
      <c r="I1183" t="s">
        <v>238</v>
      </c>
      <c r="J1183" t="s">
        <v>238</v>
      </c>
      <c r="K1183" t="s">
        <v>3241</v>
      </c>
      <c r="L1183" t="s">
        <v>44</v>
      </c>
      <c r="M1183" t="s">
        <v>3236</v>
      </c>
      <c r="N1183">
        <v>61100</v>
      </c>
      <c r="O1183" t="s">
        <v>97</v>
      </c>
      <c r="P1183" t="s">
        <v>118</v>
      </c>
      <c r="Q1183">
        <v>0</v>
      </c>
      <c r="R1183">
        <v>0</v>
      </c>
      <c r="S1183">
        <v>8911</v>
      </c>
      <c r="T1183">
        <v>0</v>
      </c>
      <c r="U1183">
        <v>0</v>
      </c>
      <c r="V1183" t="s">
        <v>3237</v>
      </c>
      <c r="W1183">
        <v>54386573</v>
      </c>
      <c r="X1183" t="s">
        <v>49</v>
      </c>
      <c r="Y1183" t="s">
        <v>3242</v>
      </c>
      <c r="Z1183" t="b">
        <v>0</v>
      </c>
      <c r="AA1183">
        <v>2.01997531141286</v>
      </c>
      <c r="AN1183" t="e">
        <f>100*(1-E1183/AL1183)</f>
        <v>#DIV/0!</v>
      </c>
    </row>
    <row r="1184" spans="1:40" x14ac:dyDescent="0.3">
      <c r="A1184" t="s">
        <v>59</v>
      </c>
      <c r="B1184" t="s">
        <v>4735</v>
      </c>
      <c r="C1184" t="s">
        <v>4735</v>
      </c>
      <c r="D1184" s="4">
        <v>46057</v>
      </c>
      <c r="E1184">
        <v>64000</v>
      </c>
      <c r="F1184" t="s">
        <v>3743</v>
      </c>
      <c r="G1184" t="s">
        <v>4736</v>
      </c>
      <c r="H1184" t="s">
        <v>225</v>
      </c>
      <c r="I1184" t="s">
        <v>2295</v>
      </c>
      <c r="J1184" t="s">
        <v>2295</v>
      </c>
      <c r="K1184" t="s">
        <v>4737</v>
      </c>
      <c r="L1184" t="s">
        <v>80</v>
      </c>
      <c r="M1184" t="s">
        <v>4736</v>
      </c>
      <c r="N1184">
        <v>81103</v>
      </c>
      <c r="O1184" t="s">
        <v>45</v>
      </c>
      <c r="P1184" t="s">
        <v>81</v>
      </c>
      <c r="Q1184" t="s">
        <v>55</v>
      </c>
      <c r="R1184">
        <v>1984</v>
      </c>
      <c r="S1184">
        <v>82.17</v>
      </c>
      <c r="T1184">
        <v>0</v>
      </c>
      <c r="U1184">
        <v>0</v>
      </c>
      <c r="V1184" t="s">
        <v>4738</v>
      </c>
      <c r="W1184">
        <v>31212853</v>
      </c>
      <c r="X1184" t="s">
        <v>86</v>
      </c>
      <c r="Y1184">
        <v>0</v>
      </c>
      <c r="Z1184" t="b">
        <v>0</v>
      </c>
      <c r="AA1184">
        <v>778.87306802969454</v>
      </c>
      <c r="AN1184" t="e">
        <f>100*(1-E1184/AL1184)</f>
        <v>#DIV/0!</v>
      </c>
    </row>
    <row r="1185" spans="1:40" x14ac:dyDescent="0.3">
      <c r="A1185" t="s">
        <v>71</v>
      </c>
      <c r="B1185" t="s">
        <v>4886</v>
      </c>
      <c r="C1185" t="s">
        <v>4886</v>
      </c>
      <c r="D1185" s="4">
        <v>46057</v>
      </c>
      <c r="E1185">
        <v>117000</v>
      </c>
      <c r="F1185" t="s">
        <v>4887</v>
      </c>
      <c r="G1185" t="s">
        <v>1239</v>
      </c>
      <c r="H1185" t="s">
        <v>67</v>
      </c>
      <c r="I1185" t="s">
        <v>295</v>
      </c>
      <c r="J1185" t="s">
        <v>67</v>
      </c>
      <c r="K1185" t="s">
        <v>4888</v>
      </c>
      <c r="L1185" t="s">
        <v>44</v>
      </c>
      <c r="M1185" t="s">
        <v>4889</v>
      </c>
      <c r="N1185">
        <v>19011</v>
      </c>
      <c r="O1185" t="s">
        <v>45</v>
      </c>
      <c r="P1185" t="s">
        <v>81</v>
      </c>
      <c r="Q1185" t="s">
        <v>52</v>
      </c>
      <c r="R1185">
        <v>1987</v>
      </c>
      <c r="S1185">
        <v>70</v>
      </c>
      <c r="T1185">
        <v>0</v>
      </c>
      <c r="U1185">
        <v>0</v>
      </c>
      <c r="V1185" t="s">
        <v>4890</v>
      </c>
      <c r="W1185">
        <v>51398818</v>
      </c>
      <c r="X1185" t="s">
        <v>86</v>
      </c>
      <c r="Y1185" t="s">
        <v>4891</v>
      </c>
      <c r="Z1185" t="b">
        <v>0</v>
      </c>
      <c r="AA1185">
        <v>1671.4285714285711</v>
      </c>
      <c r="AN1185" t="e">
        <f>100*(1-E1185/AL1185)</f>
        <v>#DIV/0!</v>
      </c>
    </row>
    <row r="1186" spans="1:40" x14ac:dyDescent="0.3">
      <c r="A1186" t="s">
        <v>71</v>
      </c>
      <c r="B1186" t="s">
        <v>5101</v>
      </c>
      <c r="C1186" t="s">
        <v>5101</v>
      </c>
      <c r="D1186" s="4">
        <v>46057</v>
      </c>
      <c r="E1186">
        <v>147000</v>
      </c>
      <c r="F1186" t="s">
        <v>860</v>
      </c>
      <c r="G1186" t="s">
        <v>600</v>
      </c>
      <c r="H1186" t="s">
        <v>152</v>
      </c>
      <c r="I1186" t="s">
        <v>601</v>
      </c>
      <c r="J1186" t="s">
        <v>221</v>
      </c>
      <c r="K1186" t="s">
        <v>5102</v>
      </c>
      <c r="L1186" t="s">
        <v>44</v>
      </c>
      <c r="M1186" t="s">
        <v>5103</v>
      </c>
      <c r="N1186">
        <v>20200</v>
      </c>
      <c r="O1186" t="s">
        <v>50</v>
      </c>
      <c r="P1186" t="s">
        <v>51</v>
      </c>
      <c r="Q1186" t="s">
        <v>52</v>
      </c>
      <c r="R1186">
        <v>1990</v>
      </c>
      <c r="S1186">
        <v>109.8</v>
      </c>
      <c r="T1186">
        <v>0</v>
      </c>
      <c r="U1186">
        <v>0</v>
      </c>
      <c r="V1186" t="s">
        <v>5104</v>
      </c>
      <c r="W1186">
        <v>75251157</v>
      </c>
      <c r="X1186" t="s">
        <v>49</v>
      </c>
      <c r="Y1186" t="s">
        <v>5105</v>
      </c>
      <c r="Z1186" t="b">
        <v>0</v>
      </c>
      <c r="AA1186">
        <v>1338.7978142076499</v>
      </c>
      <c r="AN1186" t="e">
        <f>100*(1-E1186/AL1186)</f>
        <v>#DIV/0!</v>
      </c>
    </row>
    <row r="1187" spans="1:40" x14ac:dyDescent="0.3">
      <c r="A1187" t="s">
        <v>3356</v>
      </c>
      <c r="B1187" t="s">
        <v>5231</v>
      </c>
      <c r="C1187" t="s">
        <v>5231</v>
      </c>
      <c r="D1187" s="4">
        <v>46057</v>
      </c>
      <c r="E1187">
        <v>545000</v>
      </c>
      <c r="F1187" t="s">
        <v>5232</v>
      </c>
      <c r="G1187" t="s">
        <v>456</v>
      </c>
      <c r="H1187" t="s">
        <v>62</v>
      </c>
      <c r="I1187" t="s">
        <v>457</v>
      </c>
      <c r="J1187" t="s">
        <v>63</v>
      </c>
      <c r="K1187" t="s">
        <v>5233</v>
      </c>
      <c r="L1187" t="s">
        <v>44</v>
      </c>
      <c r="M1187" t="s">
        <v>5234</v>
      </c>
      <c r="N1187">
        <v>57200</v>
      </c>
      <c r="O1187" t="s">
        <v>50</v>
      </c>
      <c r="P1187" t="s">
        <v>186</v>
      </c>
      <c r="Q1187">
        <v>0</v>
      </c>
      <c r="R1187">
        <v>1992</v>
      </c>
      <c r="S1187">
        <v>1861.61</v>
      </c>
      <c r="T1187">
        <v>0</v>
      </c>
      <c r="U1187">
        <v>0</v>
      </c>
      <c r="V1187" t="s">
        <v>5235</v>
      </c>
      <c r="W1187" t="s">
        <v>5236</v>
      </c>
      <c r="X1187" t="s">
        <v>86</v>
      </c>
      <c r="Y1187" t="s">
        <v>5237</v>
      </c>
      <c r="Z1187" t="b">
        <v>0</v>
      </c>
      <c r="AA1187">
        <v>292.75734444915958</v>
      </c>
      <c r="AN1187" t="e">
        <f>100*(1-E1187/AL1187)</f>
        <v>#DIV/0!</v>
      </c>
    </row>
    <row r="1188" spans="1:40" x14ac:dyDescent="0.3">
      <c r="A1188" t="s">
        <v>59</v>
      </c>
      <c r="B1188" t="s">
        <v>5431</v>
      </c>
      <c r="C1188" t="s">
        <v>5431</v>
      </c>
      <c r="D1188" s="4">
        <v>46057</v>
      </c>
      <c r="E1188">
        <v>144000</v>
      </c>
      <c r="F1188" t="s">
        <v>1300</v>
      </c>
      <c r="G1188" t="s">
        <v>123</v>
      </c>
      <c r="H1188" t="s">
        <v>124</v>
      </c>
      <c r="I1188" t="s">
        <v>125</v>
      </c>
      <c r="J1188" t="s">
        <v>126</v>
      </c>
      <c r="K1188" t="s">
        <v>5432</v>
      </c>
      <c r="L1188" t="s">
        <v>44</v>
      </c>
      <c r="M1188" t="s">
        <v>5433</v>
      </c>
      <c r="N1188">
        <v>25200</v>
      </c>
      <c r="O1188" t="s">
        <v>45</v>
      </c>
      <c r="P1188" t="s">
        <v>54</v>
      </c>
      <c r="Q1188" t="s">
        <v>85</v>
      </c>
      <c r="R1188">
        <v>1997</v>
      </c>
      <c r="S1188">
        <v>136.5</v>
      </c>
      <c r="T1188">
        <v>0</v>
      </c>
      <c r="U1188">
        <v>0</v>
      </c>
      <c r="V1188" t="s">
        <v>5434</v>
      </c>
      <c r="W1188">
        <v>53694930</v>
      </c>
      <c r="X1188" t="s">
        <v>49</v>
      </c>
      <c r="Y1188" t="s">
        <v>5435</v>
      </c>
      <c r="Z1188" t="b">
        <v>0</v>
      </c>
      <c r="AA1188">
        <v>1054.9450549450551</v>
      </c>
      <c r="AN1188" t="e">
        <f>100*(1-E1188/AL1188)</f>
        <v>#DIV/0!</v>
      </c>
    </row>
    <row r="1189" spans="1:40" x14ac:dyDescent="0.3">
      <c r="A1189" t="s">
        <v>213</v>
      </c>
      <c r="B1189" t="s">
        <v>6149</v>
      </c>
      <c r="C1189" t="s">
        <v>6149</v>
      </c>
      <c r="D1189" s="4">
        <v>46057</v>
      </c>
      <c r="E1189">
        <v>75000</v>
      </c>
      <c r="F1189" t="s">
        <v>6150</v>
      </c>
      <c r="G1189" t="s">
        <v>404</v>
      </c>
      <c r="H1189" t="s">
        <v>124</v>
      </c>
      <c r="I1189" t="s">
        <v>405</v>
      </c>
      <c r="J1189" t="s">
        <v>126</v>
      </c>
      <c r="K1189" t="s">
        <v>6151</v>
      </c>
      <c r="L1189" t="s">
        <v>44</v>
      </c>
      <c r="M1189" t="s">
        <v>6152</v>
      </c>
      <c r="N1189">
        <v>26335</v>
      </c>
      <c r="O1189" t="s">
        <v>45</v>
      </c>
      <c r="P1189" t="s">
        <v>54</v>
      </c>
      <c r="Q1189" t="s">
        <v>291</v>
      </c>
      <c r="R1189">
        <v>2005</v>
      </c>
      <c r="S1189">
        <v>107.4</v>
      </c>
      <c r="T1189" t="s">
        <v>48</v>
      </c>
      <c r="U1189">
        <v>50</v>
      </c>
      <c r="V1189" t="s">
        <v>6153</v>
      </c>
      <c r="W1189">
        <v>51180633</v>
      </c>
      <c r="X1189" t="s">
        <v>49</v>
      </c>
      <c r="Y1189" t="s">
        <v>6154</v>
      </c>
      <c r="Z1189" t="b">
        <v>0</v>
      </c>
      <c r="AA1189">
        <v>698.32402234636868</v>
      </c>
      <c r="AN1189" t="e">
        <f>100*(1-E1189/AL1189)</f>
        <v>#DIV/0!</v>
      </c>
    </row>
    <row r="1190" spans="1:40" x14ac:dyDescent="0.3">
      <c r="A1190" t="s">
        <v>59</v>
      </c>
      <c r="B1190" t="s">
        <v>6394</v>
      </c>
      <c r="C1190" t="s">
        <v>6394</v>
      </c>
      <c r="D1190" s="4">
        <v>46057</v>
      </c>
      <c r="E1190">
        <v>203000</v>
      </c>
      <c r="F1190" t="s">
        <v>6395</v>
      </c>
      <c r="G1190" t="s">
        <v>1276</v>
      </c>
      <c r="H1190" t="s">
        <v>62</v>
      </c>
      <c r="I1190" t="s">
        <v>73</v>
      </c>
      <c r="J1190" t="s">
        <v>63</v>
      </c>
      <c r="K1190" t="s">
        <v>6396</v>
      </c>
      <c r="L1190" t="s">
        <v>44</v>
      </c>
      <c r="M1190" t="s">
        <v>6397</v>
      </c>
      <c r="N1190">
        <v>55535</v>
      </c>
      <c r="O1190" t="s">
        <v>45</v>
      </c>
      <c r="P1190" t="s">
        <v>182</v>
      </c>
      <c r="Q1190" t="s">
        <v>85</v>
      </c>
      <c r="R1190">
        <v>2007</v>
      </c>
      <c r="S1190">
        <v>192.81</v>
      </c>
      <c r="T1190">
        <v>0</v>
      </c>
      <c r="U1190">
        <v>0</v>
      </c>
      <c r="V1190" t="s">
        <v>6398</v>
      </c>
      <c r="W1190" t="s">
        <v>6399</v>
      </c>
      <c r="X1190" t="s">
        <v>86</v>
      </c>
      <c r="Y1190" t="s">
        <v>6400</v>
      </c>
      <c r="Z1190" t="b">
        <v>0</v>
      </c>
      <c r="AA1190">
        <v>1052.8499559151501</v>
      </c>
      <c r="AN1190" t="e">
        <f>100*(1-E1190/AL1190)</f>
        <v>#DIV/0!</v>
      </c>
    </row>
    <row r="1191" spans="1:40" x14ac:dyDescent="0.3">
      <c r="A1191" t="s">
        <v>150</v>
      </c>
      <c r="B1191" t="s">
        <v>6401</v>
      </c>
      <c r="C1191" t="s">
        <v>3217</v>
      </c>
      <c r="D1191" s="4">
        <v>46057</v>
      </c>
      <c r="E1191">
        <v>167000</v>
      </c>
      <c r="F1191" t="s">
        <v>6402</v>
      </c>
      <c r="G1191" t="s">
        <v>101</v>
      </c>
      <c r="H1191" t="s">
        <v>102</v>
      </c>
      <c r="I1191" t="s">
        <v>103</v>
      </c>
      <c r="J1191" t="s">
        <v>103</v>
      </c>
      <c r="K1191" t="s">
        <v>6403</v>
      </c>
      <c r="L1191" t="s">
        <v>44</v>
      </c>
      <c r="M1191" t="s">
        <v>6404</v>
      </c>
      <c r="N1191">
        <v>50100</v>
      </c>
      <c r="O1191" t="s">
        <v>45</v>
      </c>
      <c r="P1191" t="s">
        <v>81</v>
      </c>
      <c r="Q1191" t="s">
        <v>52</v>
      </c>
      <c r="R1191">
        <v>2007</v>
      </c>
      <c r="S1191">
        <v>212.52</v>
      </c>
      <c r="T1191">
        <v>0</v>
      </c>
      <c r="U1191">
        <v>0</v>
      </c>
      <c r="V1191" t="s">
        <v>3220</v>
      </c>
      <c r="W1191" t="s">
        <v>3221</v>
      </c>
      <c r="X1191" t="s">
        <v>49</v>
      </c>
      <c r="Y1191" t="s">
        <v>6405</v>
      </c>
      <c r="Z1191" t="b">
        <v>0</v>
      </c>
      <c r="AA1191">
        <v>785.80839450404665</v>
      </c>
      <c r="AN1191" t="e">
        <f>100*(1-E1191/AL1191)</f>
        <v>#DIV/0!</v>
      </c>
    </row>
    <row r="1192" spans="1:40" x14ac:dyDescent="0.3">
      <c r="A1192" t="s">
        <v>139</v>
      </c>
      <c r="B1192" t="s">
        <v>6637</v>
      </c>
      <c r="C1192" t="s">
        <v>6638</v>
      </c>
      <c r="D1192" s="4">
        <v>46057</v>
      </c>
      <c r="E1192">
        <v>212000</v>
      </c>
      <c r="F1192" t="s">
        <v>403</v>
      </c>
      <c r="G1192" t="s">
        <v>3849</v>
      </c>
      <c r="H1192" t="s">
        <v>156</v>
      </c>
      <c r="I1192" t="s">
        <v>3702</v>
      </c>
      <c r="J1192" t="s">
        <v>3702</v>
      </c>
      <c r="K1192" t="s">
        <v>6639</v>
      </c>
      <c r="L1192" t="s">
        <v>44</v>
      </c>
      <c r="M1192" t="s">
        <v>6640</v>
      </c>
      <c r="N1192">
        <v>29100</v>
      </c>
      <c r="O1192" t="s">
        <v>50</v>
      </c>
      <c r="P1192" t="s">
        <v>54</v>
      </c>
      <c r="Q1192" t="s">
        <v>52</v>
      </c>
      <c r="R1192">
        <v>2011</v>
      </c>
      <c r="S1192">
        <v>111.62</v>
      </c>
      <c r="T1192">
        <v>0</v>
      </c>
      <c r="U1192">
        <v>0</v>
      </c>
      <c r="V1192" t="s">
        <v>6641</v>
      </c>
      <c r="W1192">
        <v>127379440</v>
      </c>
      <c r="X1192" t="s">
        <v>49</v>
      </c>
      <c r="Y1192" t="s">
        <v>6642</v>
      </c>
      <c r="Z1192" t="b">
        <v>0</v>
      </c>
      <c r="AA1192">
        <v>1899.3012005017019</v>
      </c>
      <c r="AN1192" t="e">
        <f>100*(1-E1192/AL1192)</f>
        <v>#DIV/0!</v>
      </c>
    </row>
    <row r="1193" spans="1:40" x14ac:dyDescent="0.3">
      <c r="A1193" t="s">
        <v>139</v>
      </c>
      <c r="B1193" t="s">
        <v>6643</v>
      </c>
      <c r="C1193" t="s">
        <v>6638</v>
      </c>
      <c r="D1193" s="4">
        <v>46057</v>
      </c>
      <c r="E1193">
        <v>179000</v>
      </c>
      <c r="F1193" t="s">
        <v>297</v>
      </c>
      <c r="G1193" t="s">
        <v>3849</v>
      </c>
      <c r="H1193" t="s">
        <v>156</v>
      </c>
      <c r="I1193" t="s">
        <v>3702</v>
      </c>
      <c r="J1193" t="s">
        <v>3702</v>
      </c>
      <c r="K1193" t="s">
        <v>6639</v>
      </c>
      <c r="L1193" t="s">
        <v>44</v>
      </c>
      <c r="M1193" t="s">
        <v>6640</v>
      </c>
      <c r="N1193">
        <v>29100</v>
      </c>
      <c r="O1193" t="s">
        <v>50</v>
      </c>
      <c r="P1193" t="s">
        <v>54</v>
      </c>
      <c r="Q1193" t="s">
        <v>55</v>
      </c>
      <c r="R1193">
        <v>2011</v>
      </c>
      <c r="S1193">
        <v>82.12</v>
      </c>
      <c r="T1193">
        <v>0</v>
      </c>
      <c r="U1193">
        <v>0</v>
      </c>
      <c r="V1193" t="s">
        <v>6641</v>
      </c>
      <c r="W1193">
        <v>127379440</v>
      </c>
      <c r="X1193" t="s">
        <v>49</v>
      </c>
      <c r="Y1193" t="s">
        <v>6642</v>
      </c>
      <c r="Z1193" t="b">
        <v>0</v>
      </c>
      <c r="AA1193">
        <v>2179.7369702873839</v>
      </c>
      <c r="AN1193" t="e">
        <f>100*(1-E1193/AL1193)</f>
        <v>#DIV/0!</v>
      </c>
    </row>
    <row r="1194" spans="1:40" x14ac:dyDescent="0.3">
      <c r="A1194" t="s">
        <v>150</v>
      </c>
      <c r="B1194" t="s">
        <v>3247</v>
      </c>
      <c r="C1194" t="s">
        <v>3247</v>
      </c>
      <c r="D1194" s="4">
        <v>46058</v>
      </c>
      <c r="E1194">
        <v>65500</v>
      </c>
      <c r="F1194" t="s">
        <v>1251</v>
      </c>
      <c r="G1194" t="s">
        <v>298</v>
      </c>
      <c r="H1194" t="s">
        <v>67</v>
      </c>
      <c r="I1194" t="s">
        <v>299</v>
      </c>
      <c r="J1194" t="s">
        <v>67</v>
      </c>
      <c r="K1194" t="s">
        <v>3248</v>
      </c>
      <c r="L1194" t="s">
        <v>44</v>
      </c>
      <c r="M1194" t="s">
        <v>3249</v>
      </c>
      <c r="N1194">
        <v>13123</v>
      </c>
      <c r="O1194" t="s">
        <v>45</v>
      </c>
      <c r="P1194" t="s">
        <v>54</v>
      </c>
      <c r="Q1194" t="s">
        <v>52</v>
      </c>
      <c r="R1194">
        <v>0</v>
      </c>
      <c r="S1194">
        <v>42.57</v>
      </c>
      <c r="T1194">
        <v>0</v>
      </c>
      <c r="U1194">
        <v>0</v>
      </c>
      <c r="V1194" t="s">
        <v>3250</v>
      </c>
      <c r="W1194">
        <v>78111406</v>
      </c>
      <c r="X1194" t="s">
        <v>86</v>
      </c>
      <c r="Y1194" t="s">
        <v>3251</v>
      </c>
      <c r="Z1194" t="b">
        <v>0</v>
      </c>
      <c r="AA1194">
        <v>1538.642236316655</v>
      </c>
      <c r="AN1194" t="e">
        <f>100*(1-E1194/AL1194)</f>
        <v>#DIV/0!</v>
      </c>
    </row>
    <row r="1195" spans="1:40" x14ac:dyDescent="0.3">
      <c r="A1195" t="s">
        <v>150</v>
      </c>
      <c r="B1195" t="s">
        <v>3247</v>
      </c>
      <c r="C1195" t="s">
        <v>3247</v>
      </c>
      <c r="D1195" s="4">
        <v>46058</v>
      </c>
      <c r="E1195">
        <v>65500</v>
      </c>
      <c r="F1195" t="s">
        <v>1251</v>
      </c>
      <c r="G1195" t="s">
        <v>298</v>
      </c>
      <c r="H1195" t="s">
        <v>67</v>
      </c>
      <c r="I1195" t="s">
        <v>299</v>
      </c>
      <c r="J1195" t="s">
        <v>67</v>
      </c>
      <c r="K1195" t="s">
        <v>3248</v>
      </c>
      <c r="L1195" t="s">
        <v>44</v>
      </c>
      <c r="M1195" t="s">
        <v>3249</v>
      </c>
      <c r="N1195">
        <v>13123</v>
      </c>
      <c r="O1195" t="s">
        <v>45</v>
      </c>
      <c r="P1195" t="s">
        <v>54</v>
      </c>
      <c r="Q1195" t="s">
        <v>52</v>
      </c>
      <c r="R1195">
        <v>0</v>
      </c>
      <c r="S1195">
        <v>42.57</v>
      </c>
      <c r="T1195">
        <v>0</v>
      </c>
      <c r="U1195">
        <v>0</v>
      </c>
      <c r="V1195" t="s">
        <v>3250</v>
      </c>
      <c r="W1195">
        <v>78111406</v>
      </c>
      <c r="X1195" t="s">
        <v>86</v>
      </c>
      <c r="Y1195" t="s">
        <v>3251</v>
      </c>
      <c r="Z1195" t="b">
        <v>0</v>
      </c>
      <c r="AA1195">
        <v>1538.642236316655</v>
      </c>
      <c r="AN1195" t="e">
        <f>100*(1-E1195/AL1195)</f>
        <v>#DIV/0!</v>
      </c>
    </row>
    <row r="1196" spans="1:40" x14ac:dyDescent="0.3">
      <c r="A1196" t="s">
        <v>150</v>
      </c>
      <c r="B1196" t="s">
        <v>3247</v>
      </c>
      <c r="C1196" t="s">
        <v>3247</v>
      </c>
      <c r="D1196" s="4">
        <v>46058</v>
      </c>
      <c r="E1196">
        <v>65500</v>
      </c>
      <c r="F1196" t="s">
        <v>1251</v>
      </c>
      <c r="G1196" t="s">
        <v>298</v>
      </c>
      <c r="H1196" t="s">
        <v>67</v>
      </c>
      <c r="I1196" t="s">
        <v>299</v>
      </c>
      <c r="J1196" t="s">
        <v>67</v>
      </c>
      <c r="K1196" t="s">
        <v>3248</v>
      </c>
      <c r="L1196" t="s">
        <v>44</v>
      </c>
      <c r="M1196" t="s">
        <v>3249</v>
      </c>
      <c r="N1196">
        <v>13123</v>
      </c>
      <c r="O1196" t="s">
        <v>45</v>
      </c>
      <c r="P1196" t="s">
        <v>54</v>
      </c>
      <c r="Q1196" t="s">
        <v>52</v>
      </c>
      <c r="R1196">
        <v>0</v>
      </c>
      <c r="S1196">
        <v>42.57</v>
      </c>
      <c r="T1196">
        <v>0</v>
      </c>
      <c r="U1196">
        <v>0</v>
      </c>
      <c r="V1196" t="s">
        <v>3250</v>
      </c>
      <c r="W1196">
        <v>78111406</v>
      </c>
      <c r="X1196" t="s">
        <v>86</v>
      </c>
      <c r="Y1196" t="s">
        <v>3251</v>
      </c>
      <c r="Z1196" t="b">
        <v>0</v>
      </c>
      <c r="AA1196">
        <v>1538.642236316655</v>
      </c>
      <c r="AN1196" t="e">
        <f>100*(1-E1196/AL1196)</f>
        <v>#DIV/0!</v>
      </c>
    </row>
    <row r="1197" spans="1:40" x14ac:dyDescent="0.3">
      <c r="A1197" t="s">
        <v>150</v>
      </c>
      <c r="B1197" t="s">
        <v>3247</v>
      </c>
      <c r="C1197" t="s">
        <v>3247</v>
      </c>
      <c r="D1197" s="4">
        <v>46058</v>
      </c>
      <c r="E1197">
        <v>65500</v>
      </c>
      <c r="F1197" t="s">
        <v>1251</v>
      </c>
      <c r="G1197" t="s">
        <v>298</v>
      </c>
      <c r="H1197" t="s">
        <v>67</v>
      </c>
      <c r="I1197" t="s">
        <v>299</v>
      </c>
      <c r="J1197" t="s">
        <v>67</v>
      </c>
      <c r="K1197" t="s">
        <v>3248</v>
      </c>
      <c r="L1197" t="s">
        <v>44</v>
      </c>
      <c r="M1197" t="s">
        <v>3249</v>
      </c>
      <c r="N1197">
        <v>13123</v>
      </c>
      <c r="O1197" t="s">
        <v>45</v>
      </c>
      <c r="P1197" t="s">
        <v>54</v>
      </c>
      <c r="Q1197" t="s">
        <v>52</v>
      </c>
      <c r="R1197">
        <v>0</v>
      </c>
      <c r="S1197">
        <v>42.57</v>
      </c>
      <c r="T1197">
        <v>0</v>
      </c>
      <c r="U1197">
        <v>0</v>
      </c>
      <c r="V1197" t="s">
        <v>3250</v>
      </c>
      <c r="W1197">
        <v>78111406</v>
      </c>
      <c r="X1197" t="s">
        <v>86</v>
      </c>
      <c r="Y1197" t="s">
        <v>3251</v>
      </c>
      <c r="Z1197" t="b">
        <v>0</v>
      </c>
      <c r="AA1197">
        <v>1538.642236316655</v>
      </c>
      <c r="AN1197" t="e">
        <f>100*(1-E1197/AL1197)</f>
        <v>#DIV/0!</v>
      </c>
    </row>
    <row r="1198" spans="1:40" x14ac:dyDescent="0.3">
      <c r="A1198" t="s">
        <v>215</v>
      </c>
      <c r="B1198" t="s">
        <v>3252</v>
      </c>
      <c r="C1198" t="s">
        <v>3252</v>
      </c>
      <c r="D1198" s="4">
        <v>46059</v>
      </c>
      <c r="E1198">
        <v>63000</v>
      </c>
      <c r="F1198" t="s">
        <v>3253</v>
      </c>
      <c r="G1198" t="s">
        <v>3254</v>
      </c>
      <c r="H1198" t="s">
        <v>67</v>
      </c>
      <c r="I1198" t="s">
        <v>3255</v>
      </c>
      <c r="J1198" t="s">
        <v>67</v>
      </c>
      <c r="K1198" t="s">
        <v>3256</v>
      </c>
      <c r="L1198" t="s">
        <v>44</v>
      </c>
      <c r="M1198" t="s">
        <v>3257</v>
      </c>
      <c r="N1198">
        <v>19009</v>
      </c>
      <c r="O1198" t="s">
        <v>50</v>
      </c>
      <c r="P1198" t="s">
        <v>51</v>
      </c>
      <c r="Q1198" t="s">
        <v>52</v>
      </c>
      <c r="R1198">
        <v>0</v>
      </c>
      <c r="S1198">
        <v>59.2</v>
      </c>
      <c r="T1198">
        <v>0</v>
      </c>
      <c r="U1198">
        <v>0</v>
      </c>
      <c r="V1198" t="s">
        <v>3258</v>
      </c>
      <c r="W1198">
        <v>56509247</v>
      </c>
      <c r="X1198" t="s">
        <v>86</v>
      </c>
      <c r="Y1198" t="s">
        <v>3259</v>
      </c>
      <c r="Z1198" t="b">
        <v>0</v>
      </c>
      <c r="AA1198">
        <v>1064.1891891891889</v>
      </c>
      <c r="AN1198" t="e">
        <f>100*(1-E1198/AL1198)</f>
        <v>#DIV/0!</v>
      </c>
    </row>
    <row r="1199" spans="1:40" x14ac:dyDescent="0.3">
      <c r="A1199" t="s">
        <v>215</v>
      </c>
      <c r="B1199" t="s">
        <v>3252</v>
      </c>
      <c r="C1199" t="s">
        <v>3252</v>
      </c>
      <c r="D1199" s="4">
        <v>46059</v>
      </c>
      <c r="E1199">
        <v>63000</v>
      </c>
      <c r="F1199" t="s">
        <v>3253</v>
      </c>
      <c r="G1199" t="s">
        <v>3254</v>
      </c>
      <c r="H1199" t="s">
        <v>67</v>
      </c>
      <c r="I1199" t="s">
        <v>3255</v>
      </c>
      <c r="J1199" t="s">
        <v>67</v>
      </c>
      <c r="K1199" t="s">
        <v>3256</v>
      </c>
      <c r="L1199" t="s">
        <v>44</v>
      </c>
      <c r="M1199" t="s">
        <v>3257</v>
      </c>
      <c r="N1199">
        <v>19009</v>
      </c>
      <c r="O1199" t="s">
        <v>50</v>
      </c>
      <c r="P1199" t="s">
        <v>51</v>
      </c>
      <c r="Q1199" t="s">
        <v>52</v>
      </c>
      <c r="R1199">
        <v>0</v>
      </c>
      <c r="S1199">
        <v>59.2</v>
      </c>
      <c r="T1199">
        <v>0</v>
      </c>
      <c r="U1199">
        <v>0</v>
      </c>
      <c r="V1199" t="s">
        <v>3258</v>
      </c>
      <c r="W1199">
        <v>56509247</v>
      </c>
      <c r="X1199" t="s">
        <v>86</v>
      </c>
      <c r="Y1199" t="s">
        <v>3259</v>
      </c>
      <c r="Z1199" t="b">
        <v>0</v>
      </c>
      <c r="AA1199">
        <v>1064.1891891891889</v>
      </c>
      <c r="AN1199" t="e">
        <f>100*(1-E1199/AL1199)</f>
        <v>#DIV/0!</v>
      </c>
    </row>
    <row r="1200" spans="1:40" x14ac:dyDescent="0.3">
      <c r="A1200" t="s">
        <v>215</v>
      </c>
      <c r="B1200" t="s">
        <v>3252</v>
      </c>
      <c r="C1200" t="s">
        <v>3252</v>
      </c>
      <c r="D1200" s="4">
        <v>46059</v>
      </c>
      <c r="E1200">
        <v>63000</v>
      </c>
      <c r="F1200" t="s">
        <v>3253</v>
      </c>
      <c r="G1200" t="s">
        <v>3254</v>
      </c>
      <c r="H1200" t="s">
        <v>67</v>
      </c>
      <c r="I1200" t="s">
        <v>3255</v>
      </c>
      <c r="J1200" t="s">
        <v>67</v>
      </c>
      <c r="K1200" t="s">
        <v>3256</v>
      </c>
      <c r="L1200" t="s">
        <v>44</v>
      </c>
      <c r="M1200" t="s">
        <v>3257</v>
      </c>
      <c r="N1200">
        <v>19009</v>
      </c>
      <c r="O1200" t="s">
        <v>50</v>
      </c>
      <c r="P1200" t="s">
        <v>51</v>
      </c>
      <c r="Q1200" t="s">
        <v>52</v>
      </c>
      <c r="R1200">
        <v>0</v>
      </c>
      <c r="S1200">
        <v>59.2</v>
      </c>
      <c r="T1200">
        <v>0</v>
      </c>
      <c r="U1200">
        <v>0</v>
      </c>
      <c r="V1200" t="s">
        <v>3258</v>
      </c>
      <c r="W1200">
        <v>56509247</v>
      </c>
      <c r="X1200" t="s">
        <v>86</v>
      </c>
      <c r="Y1200" t="s">
        <v>3259</v>
      </c>
      <c r="Z1200" t="b">
        <v>0</v>
      </c>
      <c r="AA1200">
        <v>1064.1891891891889</v>
      </c>
      <c r="AN1200" t="e">
        <f>100*(1-E1200/AL1200)</f>
        <v>#DIV/0!</v>
      </c>
    </row>
    <row r="1201" spans="1:40" x14ac:dyDescent="0.3">
      <c r="A1201" t="s">
        <v>215</v>
      </c>
      <c r="B1201" t="s">
        <v>3252</v>
      </c>
      <c r="C1201" t="s">
        <v>3252</v>
      </c>
      <c r="D1201" s="4">
        <v>46059</v>
      </c>
      <c r="E1201">
        <v>63000</v>
      </c>
      <c r="F1201" t="s">
        <v>3253</v>
      </c>
      <c r="G1201" t="s">
        <v>3254</v>
      </c>
      <c r="H1201" t="s">
        <v>67</v>
      </c>
      <c r="I1201" t="s">
        <v>3255</v>
      </c>
      <c r="J1201" t="s">
        <v>67</v>
      </c>
      <c r="K1201" t="s">
        <v>3256</v>
      </c>
      <c r="L1201" t="s">
        <v>44</v>
      </c>
      <c r="M1201" t="s">
        <v>3257</v>
      </c>
      <c r="N1201">
        <v>19009</v>
      </c>
      <c r="O1201" t="s">
        <v>50</v>
      </c>
      <c r="P1201" t="s">
        <v>51</v>
      </c>
      <c r="Q1201" t="s">
        <v>52</v>
      </c>
      <c r="R1201">
        <v>0</v>
      </c>
      <c r="S1201">
        <v>59.2</v>
      </c>
      <c r="T1201">
        <v>0</v>
      </c>
      <c r="U1201">
        <v>0</v>
      </c>
      <c r="V1201" t="s">
        <v>3258</v>
      </c>
      <c r="W1201">
        <v>56509247</v>
      </c>
      <c r="X1201" t="s">
        <v>86</v>
      </c>
      <c r="Y1201" t="s">
        <v>3259</v>
      </c>
      <c r="Z1201" t="b">
        <v>0</v>
      </c>
      <c r="AA1201">
        <v>1064.1891891891889</v>
      </c>
      <c r="AN1201" t="e">
        <f>100*(1-E1201/AL1201)</f>
        <v>#DIV/0!</v>
      </c>
    </row>
    <row r="1202" spans="1:40" x14ac:dyDescent="0.3">
      <c r="A1202" t="s">
        <v>215</v>
      </c>
      <c r="B1202" t="s">
        <v>3252</v>
      </c>
      <c r="C1202" t="s">
        <v>3252</v>
      </c>
      <c r="D1202" s="4">
        <v>46059</v>
      </c>
      <c r="E1202">
        <v>63000</v>
      </c>
      <c r="F1202" t="s">
        <v>3253</v>
      </c>
      <c r="G1202" t="s">
        <v>3254</v>
      </c>
      <c r="H1202" t="s">
        <v>67</v>
      </c>
      <c r="I1202" t="s">
        <v>3255</v>
      </c>
      <c r="J1202" t="s">
        <v>67</v>
      </c>
      <c r="K1202" t="s">
        <v>3256</v>
      </c>
      <c r="L1202" t="s">
        <v>44</v>
      </c>
      <c r="M1202" t="s">
        <v>3257</v>
      </c>
      <c r="N1202">
        <v>19009</v>
      </c>
      <c r="O1202" t="s">
        <v>50</v>
      </c>
      <c r="P1202" t="s">
        <v>51</v>
      </c>
      <c r="Q1202" t="s">
        <v>52</v>
      </c>
      <c r="R1202">
        <v>0</v>
      </c>
      <c r="S1202">
        <v>59.2</v>
      </c>
      <c r="T1202">
        <v>0</v>
      </c>
      <c r="U1202">
        <v>0</v>
      </c>
      <c r="V1202" t="s">
        <v>3258</v>
      </c>
      <c r="W1202">
        <v>56509247</v>
      </c>
      <c r="X1202" t="s">
        <v>86</v>
      </c>
      <c r="Y1202" t="s">
        <v>3259</v>
      </c>
      <c r="Z1202" t="b">
        <v>0</v>
      </c>
      <c r="AA1202">
        <v>1064.1891891891889</v>
      </c>
      <c r="AN1202" t="e">
        <f>100*(1-E1202/AL1202)</f>
        <v>#DIV/0!</v>
      </c>
    </row>
    <row r="1203" spans="1:40" x14ac:dyDescent="0.3">
      <c r="A1203" t="s">
        <v>215</v>
      </c>
      <c r="B1203" t="s">
        <v>3252</v>
      </c>
      <c r="C1203" t="s">
        <v>3252</v>
      </c>
      <c r="D1203" s="4">
        <v>46059</v>
      </c>
      <c r="E1203">
        <v>63000</v>
      </c>
      <c r="F1203" t="s">
        <v>3253</v>
      </c>
      <c r="G1203" t="s">
        <v>3254</v>
      </c>
      <c r="H1203" t="s">
        <v>67</v>
      </c>
      <c r="I1203" t="s">
        <v>3255</v>
      </c>
      <c r="J1203" t="s">
        <v>67</v>
      </c>
      <c r="K1203" t="s">
        <v>3256</v>
      </c>
      <c r="L1203" t="s">
        <v>44</v>
      </c>
      <c r="M1203" t="s">
        <v>3257</v>
      </c>
      <c r="N1203">
        <v>19009</v>
      </c>
      <c r="O1203" t="s">
        <v>50</v>
      </c>
      <c r="P1203" t="s">
        <v>51</v>
      </c>
      <c r="Q1203" t="s">
        <v>52</v>
      </c>
      <c r="R1203">
        <v>0</v>
      </c>
      <c r="S1203">
        <v>59.2</v>
      </c>
      <c r="T1203">
        <v>0</v>
      </c>
      <c r="U1203">
        <v>0</v>
      </c>
      <c r="V1203" t="s">
        <v>3258</v>
      </c>
      <c r="W1203">
        <v>56509247</v>
      </c>
      <c r="X1203" t="s">
        <v>86</v>
      </c>
      <c r="Y1203" t="s">
        <v>3259</v>
      </c>
      <c r="Z1203" t="b">
        <v>0</v>
      </c>
      <c r="AA1203">
        <v>1064.1891891891889</v>
      </c>
      <c r="AN1203" t="e">
        <f>100*(1-E1203/AL1203)</f>
        <v>#DIV/0!</v>
      </c>
    </row>
    <row r="1204" spans="1:40" x14ac:dyDescent="0.3">
      <c r="A1204" t="s">
        <v>215</v>
      </c>
      <c r="B1204" t="s">
        <v>3252</v>
      </c>
      <c r="C1204" t="s">
        <v>3252</v>
      </c>
      <c r="D1204" s="4">
        <v>46059</v>
      </c>
      <c r="E1204">
        <v>63000</v>
      </c>
      <c r="F1204" t="s">
        <v>3253</v>
      </c>
      <c r="G1204" t="s">
        <v>3254</v>
      </c>
      <c r="H1204" t="s">
        <v>67</v>
      </c>
      <c r="I1204" t="s">
        <v>3255</v>
      </c>
      <c r="J1204" t="s">
        <v>67</v>
      </c>
      <c r="K1204" t="s">
        <v>3256</v>
      </c>
      <c r="L1204" t="s">
        <v>44</v>
      </c>
      <c r="M1204" t="s">
        <v>3257</v>
      </c>
      <c r="N1204">
        <v>19009</v>
      </c>
      <c r="O1204" t="s">
        <v>50</v>
      </c>
      <c r="P1204" t="s">
        <v>51</v>
      </c>
      <c r="Q1204" t="s">
        <v>52</v>
      </c>
      <c r="R1204">
        <v>0</v>
      </c>
      <c r="S1204">
        <v>59.2</v>
      </c>
      <c r="T1204">
        <v>0</v>
      </c>
      <c r="U1204">
        <v>0</v>
      </c>
      <c r="V1204" t="s">
        <v>3258</v>
      </c>
      <c r="W1204">
        <v>56509247</v>
      </c>
      <c r="X1204" t="s">
        <v>86</v>
      </c>
      <c r="Y1204" t="s">
        <v>3259</v>
      </c>
      <c r="Z1204" t="b">
        <v>0</v>
      </c>
      <c r="AA1204">
        <v>1064.1891891891889</v>
      </c>
      <c r="AN1204" t="e">
        <f>100*(1-E1204/AL1204)</f>
        <v>#DIV/0!</v>
      </c>
    </row>
    <row r="1205" spans="1:40" x14ac:dyDescent="0.3">
      <c r="A1205" t="s">
        <v>150</v>
      </c>
      <c r="B1205" t="s">
        <v>3260</v>
      </c>
      <c r="C1205" t="s">
        <v>3261</v>
      </c>
      <c r="D1205" s="4">
        <v>46064</v>
      </c>
      <c r="E1205">
        <v>64400</v>
      </c>
      <c r="F1205" t="s">
        <v>3262</v>
      </c>
      <c r="G1205" t="s">
        <v>374</v>
      </c>
      <c r="H1205" t="s">
        <v>67</v>
      </c>
      <c r="I1205" t="s">
        <v>375</v>
      </c>
      <c r="J1205" t="s">
        <v>67</v>
      </c>
      <c r="K1205" t="s">
        <v>3263</v>
      </c>
      <c r="L1205" t="s">
        <v>44</v>
      </c>
      <c r="M1205" t="s">
        <v>3264</v>
      </c>
      <c r="N1205">
        <v>16346</v>
      </c>
      <c r="O1205" t="s">
        <v>45</v>
      </c>
      <c r="P1205" t="s">
        <v>54</v>
      </c>
      <c r="Q1205" t="s">
        <v>55</v>
      </c>
      <c r="R1205">
        <v>0</v>
      </c>
      <c r="S1205">
        <v>31</v>
      </c>
      <c r="T1205">
        <v>0</v>
      </c>
      <c r="U1205">
        <v>0</v>
      </c>
      <c r="V1205" t="s">
        <v>3265</v>
      </c>
      <c r="W1205">
        <v>56504657</v>
      </c>
      <c r="X1205" t="s">
        <v>49</v>
      </c>
      <c r="Y1205" t="s">
        <v>3266</v>
      </c>
      <c r="Z1205" t="b">
        <v>0</v>
      </c>
      <c r="AA1205">
        <v>2077.4193548387102</v>
      </c>
      <c r="AN1205" t="e">
        <f>100*(1-E1205/AL1205)</f>
        <v>#DIV/0!</v>
      </c>
    </row>
    <row r="1206" spans="1:40" x14ac:dyDescent="0.3">
      <c r="A1206" t="s">
        <v>150</v>
      </c>
      <c r="B1206" t="s">
        <v>3267</v>
      </c>
      <c r="C1206" t="s">
        <v>3261</v>
      </c>
      <c r="D1206" s="4">
        <v>46064</v>
      </c>
      <c r="E1206">
        <v>140400</v>
      </c>
      <c r="F1206" t="s">
        <v>60</v>
      </c>
      <c r="G1206" t="s">
        <v>374</v>
      </c>
      <c r="H1206" t="s">
        <v>67</v>
      </c>
      <c r="I1206" t="s">
        <v>375</v>
      </c>
      <c r="J1206" t="s">
        <v>67</v>
      </c>
      <c r="K1206" t="s">
        <v>3263</v>
      </c>
      <c r="L1206" t="s">
        <v>44</v>
      </c>
      <c r="M1206" t="s">
        <v>3264</v>
      </c>
      <c r="N1206">
        <v>16346</v>
      </c>
      <c r="O1206" t="s">
        <v>45</v>
      </c>
      <c r="P1206" t="s">
        <v>54</v>
      </c>
      <c r="Q1206" t="s">
        <v>85</v>
      </c>
      <c r="R1206">
        <v>0</v>
      </c>
      <c r="S1206">
        <v>72.5</v>
      </c>
      <c r="T1206">
        <v>0</v>
      </c>
      <c r="U1206">
        <v>0</v>
      </c>
      <c r="V1206" t="s">
        <v>3265</v>
      </c>
      <c r="W1206">
        <v>56504657</v>
      </c>
      <c r="X1206" t="s">
        <v>49</v>
      </c>
      <c r="Y1206" t="s">
        <v>3268</v>
      </c>
      <c r="Z1206" t="b">
        <v>0</v>
      </c>
      <c r="AA1206">
        <v>1936.5517241379309</v>
      </c>
      <c r="AN1206" t="e">
        <f>100*(1-E1206/AL1206)</f>
        <v>#DIV/0!</v>
      </c>
    </row>
    <row r="1207" spans="1:40" x14ac:dyDescent="0.3">
      <c r="A1207" t="s">
        <v>150</v>
      </c>
      <c r="B1207" t="s">
        <v>3269</v>
      </c>
      <c r="C1207" t="s">
        <v>3269</v>
      </c>
      <c r="D1207" s="4">
        <v>46064</v>
      </c>
      <c r="E1207">
        <v>2200</v>
      </c>
      <c r="F1207" t="s">
        <v>489</v>
      </c>
      <c r="G1207" t="s">
        <v>425</v>
      </c>
      <c r="H1207" t="s">
        <v>230</v>
      </c>
      <c r="I1207" t="s">
        <v>426</v>
      </c>
      <c r="J1207" t="s">
        <v>426</v>
      </c>
      <c r="K1207" t="s">
        <v>3270</v>
      </c>
      <c r="L1207" t="s">
        <v>44</v>
      </c>
      <c r="M1207" t="s">
        <v>3271</v>
      </c>
      <c r="N1207">
        <v>67100</v>
      </c>
      <c r="O1207" t="s">
        <v>45</v>
      </c>
      <c r="P1207" t="s">
        <v>46</v>
      </c>
      <c r="Q1207" t="s">
        <v>47</v>
      </c>
      <c r="R1207">
        <v>0</v>
      </c>
      <c r="S1207">
        <v>7.46</v>
      </c>
      <c r="T1207">
        <v>0</v>
      </c>
      <c r="U1207">
        <v>0</v>
      </c>
      <c r="V1207" t="s">
        <v>3272</v>
      </c>
      <c r="W1207">
        <v>50313092</v>
      </c>
      <c r="X1207" t="s">
        <v>86</v>
      </c>
      <c r="Y1207" t="s">
        <v>3273</v>
      </c>
      <c r="Z1207" t="b">
        <v>0</v>
      </c>
      <c r="AA1207">
        <v>294.90616621983912</v>
      </c>
      <c r="AN1207" t="e">
        <f>100*(1-E1207/AL1207)</f>
        <v>#DIV/0!</v>
      </c>
    </row>
    <row r="1208" spans="1:40" x14ac:dyDescent="0.3">
      <c r="A1208" t="s">
        <v>150</v>
      </c>
      <c r="B1208" t="s">
        <v>3269</v>
      </c>
      <c r="C1208" t="s">
        <v>3269</v>
      </c>
      <c r="D1208" s="4">
        <v>46064</v>
      </c>
      <c r="E1208">
        <v>2200</v>
      </c>
      <c r="F1208" t="s">
        <v>489</v>
      </c>
      <c r="G1208" t="s">
        <v>425</v>
      </c>
      <c r="H1208" t="s">
        <v>230</v>
      </c>
      <c r="I1208" t="s">
        <v>426</v>
      </c>
      <c r="J1208" t="s">
        <v>426</v>
      </c>
      <c r="K1208" t="s">
        <v>3270</v>
      </c>
      <c r="L1208" t="s">
        <v>44</v>
      </c>
      <c r="M1208" t="s">
        <v>3271</v>
      </c>
      <c r="N1208">
        <v>67100</v>
      </c>
      <c r="O1208" t="s">
        <v>45</v>
      </c>
      <c r="P1208" t="s">
        <v>46</v>
      </c>
      <c r="Q1208" t="s">
        <v>47</v>
      </c>
      <c r="R1208">
        <v>0</v>
      </c>
      <c r="S1208">
        <v>7.46</v>
      </c>
      <c r="T1208">
        <v>0</v>
      </c>
      <c r="U1208">
        <v>0</v>
      </c>
      <c r="V1208" t="s">
        <v>3272</v>
      </c>
      <c r="W1208">
        <v>50313092</v>
      </c>
      <c r="X1208" t="s">
        <v>86</v>
      </c>
      <c r="Y1208" t="s">
        <v>3273</v>
      </c>
      <c r="Z1208" t="b">
        <v>0</v>
      </c>
      <c r="AA1208">
        <v>294.90616621983912</v>
      </c>
      <c r="AN1208" t="e">
        <f>100*(1-E1208/AL1208)</f>
        <v>#DIV/0!</v>
      </c>
    </row>
    <row r="1209" spans="1:40" x14ac:dyDescent="0.3">
      <c r="A1209" t="s">
        <v>150</v>
      </c>
      <c r="B1209" t="s">
        <v>3269</v>
      </c>
      <c r="C1209" t="s">
        <v>3269</v>
      </c>
      <c r="D1209" s="4">
        <v>46064</v>
      </c>
      <c r="E1209">
        <v>2200</v>
      </c>
      <c r="F1209" t="s">
        <v>489</v>
      </c>
      <c r="G1209" t="s">
        <v>425</v>
      </c>
      <c r="H1209" t="s">
        <v>230</v>
      </c>
      <c r="I1209" t="s">
        <v>426</v>
      </c>
      <c r="J1209" t="s">
        <v>426</v>
      </c>
      <c r="K1209" t="s">
        <v>3270</v>
      </c>
      <c r="L1209" t="s">
        <v>44</v>
      </c>
      <c r="M1209" t="s">
        <v>3271</v>
      </c>
      <c r="N1209">
        <v>67100</v>
      </c>
      <c r="O1209" t="s">
        <v>45</v>
      </c>
      <c r="P1209" t="s">
        <v>46</v>
      </c>
      <c r="Q1209" t="s">
        <v>47</v>
      </c>
      <c r="R1209">
        <v>0</v>
      </c>
      <c r="S1209">
        <v>7.46</v>
      </c>
      <c r="T1209">
        <v>0</v>
      </c>
      <c r="U1209">
        <v>0</v>
      </c>
      <c r="V1209" t="s">
        <v>3272</v>
      </c>
      <c r="W1209">
        <v>50313092</v>
      </c>
      <c r="X1209" t="s">
        <v>86</v>
      </c>
      <c r="Y1209" t="s">
        <v>3273</v>
      </c>
      <c r="Z1209" t="b">
        <v>0</v>
      </c>
      <c r="AA1209">
        <v>294.90616621983912</v>
      </c>
      <c r="AN1209" t="e">
        <f>100*(1-E1209/AL1209)</f>
        <v>#DIV/0!</v>
      </c>
    </row>
    <row r="1210" spans="1:40" x14ac:dyDescent="0.3">
      <c r="A1210" t="s">
        <v>166</v>
      </c>
      <c r="B1210" t="s">
        <v>3274</v>
      </c>
      <c r="C1210" t="s">
        <v>3274</v>
      </c>
      <c r="D1210" s="4">
        <v>46064</v>
      </c>
      <c r="E1210">
        <v>120933</v>
      </c>
      <c r="F1210" t="s">
        <v>3275</v>
      </c>
      <c r="G1210" t="s">
        <v>3276</v>
      </c>
      <c r="H1210" t="s">
        <v>196</v>
      </c>
      <c r="I1210" t="s">
        <v>808</v>
      </c>
      <c r="J1210" t="s">
        <v>198</v>
      </c>
      <c r="K1210" t="s">
        <v>3277</v>
      </c>
      <c r="L1210" t="s">
        <v>44</v>
      </c>
      <c r="M1210" t="s">
        <v>3278</v>
      </c>
      <c r="N1210">
        <v>84100</v>
      </c>
      <c r="O1210" t="s">
        <v>45</v>
      </c>
      <c r="P1210" t="s">
        <v>54</v>
      </c>
      <c r="Q1210" t="s">
        <v>52</v>
      </c>
      <c r="R1210">
        <v>0</v>
      </c>
      <c r="S1210">
        <v>89.09</v>
      </c>
      <c r="T1210" t="s">
        <v>3279</v>
      </c>
      <c r="U1210" t="s">
        <v>1950</v>
      </c>
      <c r="V1210" t="s">
        <v>3280</v>
      </c>
      <c r="W1210">
        <v>71837731</v>
      </c>
      <c r="X1210" t="s">
        <v>86</v>
      </c>
      <c r="Y1210" t="s">
        <v>3281</v>
      </c>
      <c r="Z1210" t="b">
        <v>0</v>
      </c>
      <c r="AA1210">
        <v>1357.4250757660791</v>
      </c>
      <c r="AN1210" t="e">
        <f>100*(1-E1210/AL1210)</f>
        <v>#DIV/0!</v>
      </c>
    </row>
    <row r="1211" spans="1:40" x14ac:dyDescent="0.3">
      <c r="A1211" t="s">
        <v>71</v>
      </c>
      <c r="B1211" t="s">
        <v>3282</v>
      </c>
      <c r="C1211" t="s">
        <v>3282</v>
      </c>
      <c r="D1211" s="4">
        <v>46064</v>
      </c>
      <c r="E1211">
        <v>101000</v>
      </c>
      <c r="F1211" t="s">
        <v>3283</v>
      </c>
      <c r="G1211" t="s">
        <v>143</v>
      </c>
      <c r="H1211" t="s">
        <v>41</v>
      </c>
      <c r="I1211" t="s">
        <v>144</v>
      </c>
      <c r="J1211" t="s">
        <v>145</v>
      </c>
      <c r="K1211" t="s">
        <v>3284</v>
      </c>
      <c r="L1211" t="s">
        <v>44</v>
      </c>
      <c r="M1211" t="s">
        <v>3285</v>
      </c>
      <c r="N1211">
        <v>45332</v>
      </c>
      <c r="O1211" t="s">
        <v>45</v>
      </c>
      <c r="P1211" t="s">
        <v>54</v>
      </c>
      <c r="Q1211" t="s">
        <v>52</v>
      </c>
      <c r="R1211">
        <v>0</v>
      </c>
      <c r="S1211">
        <v>62</v>
      </c>
      <c r="T1211">
        <v>0</v>
      </c>
      <c r="U1211">
        <v>0</v>
      </c>
      <c r="V1211" t="s">
        <v>3286</v>
      </c>
      <c r="W1211">
        <v>45830088</v>
      </c>
      <c r="X1211" t="s">
        <v>86</v>
      </c>
      <c r="Y1211" t="s">
        <v>3287</v>
      </c>
      <c r="Z1211" t="b">
        <v>0</v>
      </c>
      <c r="AA1211">
        <v>1629.0322580645161</v>
      </c>
      <c r="AN1211" t="e">
        <f>100*(1-E1211/AL1211)</f>
        <v>#DIV/0!</v>
      </c>
    </row>
    <row r="1212" spans="1:40" x14ac:dyDescent="0.3">
      <c r="A1212" t="s">
        <v>39</v>
      </c>
      <c r="B1212" t="s">
        <v>3288</v>
      </c>
      <c r="C1212" t="s">
        <v>3288</v>
      </c>
      <c r="D1212" s="4">
        <v>46064</v>
      </c>
      <c r="E1212">
        <v>49000</v>
      </c>
      <c r="F1212" t="s">
        <v>3289</v>
      </c>
      <c r="G1212" t="s">
        <v>406</v>
      </c>
      <c r="H1212" t="s">
        <v>124</v>
      </c>
      <c r="I1212" t="s">
        <v>364</v>
      </c>
      <c r="J1212" t="s">
        <v>256</v>
      </c>
      <c r="K1212" t="s">
        <v>3290</v>
      </c>
      <c r="L1212" t="s">
        <v>44</v>
      </c>
      <c r="M1212" t="s">
        <v>3291</v>
      </c>
      <c r="N1212">
        <v>30200</v>
      </c>
      <c r="O1212" t="s">
        <v>50</v>
      </c>
      <c r="P1212" t="s">
        <v>51</v>
      </c>
      <c r="Q1212" t="s">
        <v>52</v>
      </c>
      <c r="R1212">
        <v>0</v>
      </c>
      <c r="S1212">
        <v>45</v>
      </c>
      <c r="T1212">
        <v>0</v>
      </c>
      <c r="U1212">
        <v>0</v>
      </c>
      <c r="V1212" t="s">
        <v>3292</v>
      </c>
      <c r="W1212">
        <v>28605601</v>
      </c>
      <c r="X1212" t="s">
        <v>86</v>
      </c>
      <c r="Y1212" t="s">
        <v>3293</v>
      </c>
      <c r="Z1212" t="b">
        <v>0</v>
      </c>
      <c r="AA1212">
        <v>1088.8888888888889</v>
      </c>
      <c r="AN1212" t="e">
        <f>100*(1-E1212/AL1212)</f>
        <v>#DIV/0!</v>
      </c>
    </row>
    <row r="1213" spans="1:40" x14ac:dyDescent="0.3">
      <c r="A1213" t="s">
        <v>39</v>
      </c>
      <c r="B1213" t="s">
        <v>3294</v>
      </c>
      <c r="C1213" t="s">
        <v>3294</v>
      </c>
      <c r="D1213" s="4">
        <v>46064</v>
      </c>
      <c r="E1213">
        <v>92450</v>
      </c>
      <c r="F1213" t="s">
        <v>739</v>
      </c>
      <c r="G1213" t="s">
        <v>497</v>
      </c>
      <c r="H1213" t="s">
        <v>62</v>
      </c>
      <c r="I1213" t="s">
        <v>498</v>
      </c>
      <c r="J1213" t="s">
        <v>63</v>
      </c>
      <c r="K1213" t="s">
        <v>3295</v>
      </c>
      <c r="L1213" t="s">
        <v>44</v>
      </c>
      <c r="M1213" t="s">
        <v>3296</v>
      </c>
      <c r="N1213">
        <v>56123</v>
      </c>
      <c r="O1213" t="s">
        <v>45</v>
      </c>
      <c r="P1213" t="s">
        <v>54</v>
      </c>
      <c r="Q1213" t="s">
        <v>291</v>
      </c>
      <c r="R1213">
        <v>0</v>
      </c>
      <c r="S1213">
        <v>52.73</v>
      </c>
      <c r="T1213">
        <v>0</v>
      </c>
      <c r="U1213">
        <v>0</v>
      </c>
      <c r="V1213" t="s">
        <v>3297</v>
      </c>
      <c r="W1213">
        <v>72301621</v>
      </c>
      <c r="X1213" t="s">
        <v>86</v>
      </c>
      <c r="Y1213" t="s">
        <v>3298</v>
      </c>
      <c r="Z1213" t="b">
        <v>0</v>
      </c>
      <c r="AA1213">
        <v>1753.271382514698</v>
      </c>
      <c r="AN1213" t="e">
        <f>100*(1-E1213/AL1213)</f>
        <v>#DIV/0!</v>
      </c>
    </row>
    <row r="1214" spans="1:40" x14ac:dyDescent="0.3">
      <c r="A1214" t="s">
        <v>71</v>
      </c>
      <c r="B1214" t="s">
        <v>3299</v>
      </c>
      <c r="C1214" t="s">
        <v>3299</v>
      </c>
      <c r="D1214" s="4">
        <v>46064</v>
      </c>
      <c r="E1214">
        <v>90000</v>
      </c>
      <c r="F1214" t="s">
        <v>3300</v>
      </c>
      <c r="G1214" t="s">
        <v>3301</v>
      </c>
      <c r="H1214" t="s">
        <v>94</v>
      </c>
      <c r="I1214" t="s">
        <v>3302</v>
      </c>
      <c r="J1214" t="s">
        <v>96</v>
      </c>
      <c r="K1214" t="s">
        <v>3303</v>
      </c>
      <c r="L1214" t="s">
        <v>80</v>
      </c>
      <c r="M1214" t="s">
        <v>3304</v>
      </c>
      <c r="N1214">
        <v>71500</v>
      </c>
      <c r="O1214" t="s">
        <v>45</v>
      </c>
      <c r="P1214" t="s">
        <v>81</v>
      </c>
      <c r="Q1214" t="s">
        <v>52</v>
      </c>
      <c r="R1214">
        <v>0</v>
      </c>
      <c r="S1214">
        <v>192.2</v>
      </c>
      <c r="T1214">
        <v>0</v>
      </c>
      <c r="U1214">
        <v>0</v>
      </c>
      <c r="V1214" t="s">
        <v>3305</v>
      </c>
      <c r="W1214">
        <v>57461301</v>
      </c>
      <c r="X1214" t="s">
        <v>49</v>
      </c>
      <c r="Y1214">
        <v>0</v>
      </c>
      <c r="Z1214" t="b">
        <v>0</v>
      </c>
      <c r="AA1214">
        <v>468.26222684703441</v>
      </c>
      <c r="AN1214" t="e">
        <f>100*(1-E1214/AL1214)</f>
        <v>#DIV/0!</v>
      </c>
    </row>
    <row r="1215" spans="1:40" x14ac:dyDescent="0.3">
      <c r="A1215" t="s">
        <v>59</v>
      </c>
      <c r="B1215" t="s">
        <v>3649</v>
      </c>
      <c r="C1215" t="s">
        <v>3649</v>
      </c>
      <c r="D1215" s="4">
        <v>46064</v>
      </c>
      <c r="E1215">
        <v>98400</v>
      </c>
      <c r="F1215" t="s">
        <v>2913</v>
      </c>
      <c r="G1215" t="s">
        <v>298</v>
      </c>
      <c r="H1215" t="s">
        <v>67</v>
      </c>
      <c r="I1215" t="s">
        <v>299</v>
      </c>
      <c r="J1215" t="s">
        <v>67</v>
      </c>
      <c r="K1215" t="s">
        <v>3650</v>
      </c>
      <c r="L1215" t="s">
        <v>44</v>
      </c>
      <c r="M1215" t="s">
        <v>3651</v>
      </c>
      <c r="N1215">
        <v>13122</v>
      </c>
      <c r="O1215" t="s">
        <v>45</v>
      </c>
      <c r="P1215" t="s">
        <v>54</v>
      </c>
      <c r="Q1215" t="s">
        <v>52</v>
      </c>
      <c r="R1215">
        <v>1965</v>
      </c>
      <c r="S1215">
        <v>108.1</v>
      </c>
      <c r="T1215">
        <v>0</v>
      </c>
      <c r="U1215">
        <v>0</v>
      </c>
      <c r="V1215" t="s">
        <v>3652</v>
      </c>
      <c r="W1215">
        <v>128218376</v>
      </c>
      <c r="X1215" t="s">
        <v>86</v>
      </c>
      <c r="Y1215" t="s">
        <v>3653</v>
      </c>
      <c r="Z1215" t="b">
        <v>0</v>
      </c>
      <c r="AA1215">
        <v>910.2682701202591</v>
      </c>
      <c r="AN1215" t="e">
        <f>100*(1-E1215/AL1215)</f>
        <v>#DIV/0!</v>
      </c>
    </row>
    <row r="1216" spans="1:40" x14ac:dyDescent="0.3">
      <c r="A1216" t="s">
        <v>39</v>
      </c>
      <c r="B1216" t="s">
        <v>4267</v>
      </c>
      <c r="C1216" t="s">
        <v>4267</v>
      </c>
      <c r="D1216" s="4">
        <v>46064</v>
      </c>
      <c r="E1216">
        <v>66000</v>
      </c>
      <c r="F1216" t="s">
        <v>4268</v>
      </c>
      <c r="G1216" t="s">
        <v>2026</v>
      </c>
      <c r="H1216" t="s">
        <v>94</v>
      </c>
      <c r="I1216" t="s">
        <v>2027</v>
      </c>
      <c r="J1216" t="s">
        <v>96</v>
      </c>
      <c r="K1216" t="s">
        <v>4269</v>
      </c>
      <c r="L1216" t="s">
        <v>44</v>
      </c>
      <c r="M1216" t="s">
        <v>4270</v>
      </c>
      <c r="N1216">
        <v>71201</v>
      </c>
      <c r="O1216" t="s">
        <v>50</v>
      </c>
      <c r="P1216" t="s">
        <v>176</v>
      </c>
      <c r="Q1216" t="s">
        <v>85</v>
      </c>
      <c r="R1216">
        <v>1978</v>
      </c>
      <c r="S1216">
        <v>38</v>
      </c>
      <c r="T1216">
        <v>0</v>
      </c>
      <c r="U1216">
        <v>0</v>
      </c>
      <c r="V1216" t="s">
        <v>4271</v>
      </c>
      <c r="W1216">
        <v>3151723</v>
      </c>
      <c r="X1216" t="s">
        <v>49</v>
      </c>
      <c r="Y1216" t="s">
        <v>4272</v>
      </c>
      <c r="Z1216" t="b">
        <v>0</v>
      </c>
      <c r="AA1216">
        <v>1736.8421052631579</v>
      </c>
      <c r="AN1216" t="e">
        <f>100*(1-E1216/AL1216)</f>
        <v>#DIV/0!</v>
      </c>
    </row>
    <row r="1217" spans="1:40" x14ac:dyDescent="0.3">
      <c r="A1217" t="s">
        <v>278</v>
      </c>
      <c r="B1217" t="s">
        <v>4644</v>
      </c>
      <c r="C1217" t="s">
        <v>4644</v>
      </c>
      <c r="D1217" s="4">
        <v>46064</v>
      </c>
      <c r="E1217">
        <v>300000</v>
      </c>
      <c r="F1217" t="s">
        <v>4645</v>
      </c>
      <c r="G1217" t="s">
        <v>372</v>
      </c>
      <c r="H1217" t="s">
        <v>152</v>
      </c>
      <c r="I1217" t="s">
        <v>373</v>
      </c>
      <c r="J1217" t="s">
        <v>172</v>
      </c>
      <c r="K1217" t="s">
        <v>4646</v>
      </c>
      <c r="L1217" t="s">
        <v>44</v>
      </c>
      <c r="M1217" t="s">
        <v>4647</v>
      </c>
      <c r="N1217">
        <v>21300</v>
      </c>
      <c r="O1217" t="s">
        <v>50</v>
      </c>
      <c r="P1217" t="s">
        <v>186</v>
      </c>
      <c r="Q1217">
        <v>0</v>
      </c>
      <c r="R1217">
        <v>1982</v>
      </c>
      <c r="S1217">
        <v>514</v>
      </c>
      <c r="T1217">
        <v>0</v>
      </c>
      <c r="U1217">
        <v>0</v>
      </c>
      <c r="V1217" t="s">
        <v>4648</v>
      </c>
      <c r="W1217">
        <v>108367587</v>
      </c>
      <c r="X1217" t="s">
        <v>86</v>
      </c>
      <c r="Y1217" t="s">
        <v>4649</v>
      </c>
      <c r="Z1217" t="b">
        <v>0</v>
      </c>
      <c r="AA1217">
        <v>583.65758754863816</v>
      </c>
      <c r="AN1217" t="e">
        <f>100*(1-E1217/AL1217)</f>
        <v>#DIV/0!</v>
      </c>
    </row>
    <row r="1218" spans="1:40" x14ac:dyDescent="0.3">
      <c r="A1218" t="s">
        <v>59</v>
      </c>
      <c r="B1218" t="s">
        <v>4710</v>
      </c>
      <c r="C1218" t="s">
        <v>4710</v>
      </c>
      <c r="D1218" s="4">
        <v>46064</v>
      </c>
      <c r="E1218">
        <v>80000</v>
      </c>
      <c r="F1218" t="s">
        <v>82</v>
      </c>
      <c r="G1218" t="s">
        <v>147</v>
      </c>
      <c r="H1218" t="s">
        <v>136</v>
      </c>
      <c r="I1218" t="s">
        <v>148</v>
      </c>
      <c r="J1218" t="s">
        <v>149</v>
      </c>
      <c r="K1218" t="s">
        <v>4711</v>
      </c>
      <c r="L1218" t="s">
        <v>44</v>
      </c>
      <c r="M1218" t="s">
        <v>4712</v>
      </c>
      <c r="N1218">
        <v>41334</v>
      </c>
      <c r="O1218" t="s">
        <v>45</v>
      </c>
      <c r="P1218" t="s">
        <v>54</v>
      </c>
      <c r="Q1218" t="s">
        <v>52</v>
      </c>
      <c r="R1218">
        <v>1983</v>
      </c>
      <c r="S1218">
        <v>102.35</v>
      </c>
      <c r="T1218">
        <v>0</v>
      </c>
      <c r="U1218">
        <v>0</v>
      </c>
      <c r="V1218" t="s">
        <v>4713</v>
      </c>
      <c r="W1218" t="s">
        <v>4714</v>
      </c>
      <c r="X1218" t="s">
        <v>49</v>
      </c>
      <c r="Y1218" t="s">
        <v>4715</v>
      </c>
      <c r="Z1218" t="b">
        <v>0</v>
      </c>
      <c r="AA1218">
        <v>781.63165608207134</v>
      </c>
      <c r="AN1218" t="e">
        <f>100*(1-E1218/AL1218)</f>
        <v>#DIV/0!</v>
      </c>
    </row>
    <row r="1219" spans="1:40" x14ac:dyDescent="0.3">
      <c r="A1219" t="s">
        <v>59</v>
      </c>
      <c r="B1219" t="s">
        <v>5186</v>
      </c>
      <c r="C1219" t="s">
        <v>5186</v>
      </c>
      <c r="D1219" s="4">
        <v>46064</v>
      </c>
      <c r="E1219">
        <v>79000</v>
      </c>
      <c r="F1219" t="s">
        <v>3283</v>
      </c>
      <c r="G1219" t="s">
        <v>1452</v>
      </c>
      <c r="H1219" t="s">
        <v>62</v>
      </c>
      <c r="I1219" t="s">
        <v>890</v>
      </c>
      <c r="J1219" t="s">
        <v>63</v>
      </c>
      <c r="K1219" t="s">
        <v>5187</v>
      </c>
      <c r="L1219" t="s">
        <v>44</v>
      </c>
      <c r="M1219" t="s">
        <v>5188</v>
      </c>
      <c r="N1219">
        <v>56625</v>
      </c>
      <c r="O1219" t="s">
        <v>45</v>
      </c>
      <c r="P1219" t="s">
        <v>54</v>
      </c>
      <c r="Q1219" t="s">
        <v>52</v>
      </c>
      <c r="R1219">
        <v>1991</v>
      </c>
      <c r="S1219">
        <v>61.79</v>
      </c>
      <c r="T1219">
        <v>0</v>
      </c>
      <c r="U1219">
        <v>0</v>
      </c>
      <c r="V1219" t="s">
        <v>5189</v>
      </c>
      <c r="W1219" t="s">
        <v>5190</v>
      </c>
      <c r="X1219" t="s">
        <v>86</v>
      </c>
      <c r="Y1219" t="s">
        <v>5191</v>
      </c>
      <c r="Z1219" t="b">
        <v>0</v>
      </c>
      <c r="AA1219">
        <v>1278.5240330150509</v>
      </c>
      <c r="AN1219" t="e">
        <f>100*(1-E1219/AL1219)</f>
        <v>#DIV/0!</v>
      </c>
    </row>
    <row r="1220" spans="1:40" x14ac:dyDescent="0.3">
      <c r="A1220" t="s">
        <v>166</v>
      </c>
      <c r="B1220" t="s">
        <v>5894</v>
      </c>
      <c r="C1220" t="s">
        <v>5894</v>
      </c>
      <c r="D1220" s="4">
        <v>46064</v>
      </c>
      <c r="E1220">
        <v>191000</v>
      </c>
      <c r="F1220" t="s">
        <v>5895</v>
      </c>
      <c r="G1220" t="s">
        <v>5896</v>
      </c>
      <c r="H1220" t="s">
        <v>136</v>
      </c>
      <c r="I1220" t="s">
        <v>269</v>
      </c>
      <c r="J1220" t="s">
        <v>149</v>
      </c>
      <c r="K1220" t="s">
        <v>5897</v>
      </c>
      <c r="L1220" t="s">
        <v>44</v>
      </c>
      <c r="M1220" t="s">
        <v>5898</v>
      </c>
      <c r="N1220">
        <v>40009</v>
      </c>
      <c r="O1220" t="s">
        <v>50</v>
      </c>
      <c r="P1220" t="s">
        <v>186</v>
      </c>
      <c r="Q1220">
        <v>0</v>
      </c>
      <c r="R1220">
        <v>2003</v>
      </c>
      <c r="S1220">
        <v>660</v>
      </c>
      <c r="T1220">
        <v>0</v>
      </c>
      <c r="U1220">
        <v>0</v>
      </c>
      <c r="V1220" t="s">
        <v>5899</v>
      </c>
      <c r="W1220">
        <v>39099698</v>
      </c>
      <c r="X1220" t="s">
        <v>49</v>
      </c>
      <c r="Y1220" t="s">
        <v>5900</v>
      </c>
      <c r="Z1220" t="b">
        <v>0</v>
      </c>
      <c r="AA1220">
        <v>289.39393939393938</v>
      </c>
      <c r="AN1220" t="e">
        <f>100*(1-E1220/AL1220)</f>
        <v>#DIV/0!</v>
      </c>
    </row>
    <row r="1221" spans="1:40" x14ac:dyDescent="0.3">
      <c r="A1221" t="s">
        <v>39</v>
      </c>
      <c r="B1221" t="s">
        <v>5992</v>
      </c>
      <c r="C1221" t="s">
        <v>5992</v>
      </c>
      <c r="D1221" s="4">
        <v>46064</v>
      </c>
      <c r="E1221">
        <v>110000</v>
      </c>
      <c r="F1221" t="s">
        <v>214</v>
      </c>
      <c r="G1221" t="s">
        <v>816</v>
      </c>
      <c r="H1221" t="s">
        <v>41</v>
      </c>
      <c r="I1221" t="s">
        <v>201</v>
      </c>
      <c r="J1221" t="s">
        <v>199</v>
      </c>
      <c r="K1221" t="s">
        <v>5993</v>
      </c>
      <c r="L1221" t="s">
        <v>44</v>
      </c>
      <c r="M1221" t="s">
        <v>5994</v>
      </c>
      <c r="N1221">
        <v>47100</v>
      </c>
      <c r="O1221" t="s">
        <v>45</v>
      </c>
      <c r="P1221" t="s">
        <v>54</v>
      </c>
      <c r="Q1221" t="s">
        <v>100</v>
      </c>
      <c r="R1221">
        <v>2004</v>
      </c>
      <c r="S1221">
        <v>82.86</v>
      </c>
      <c r="T1221">
        <v>0</v>
      </c>
      <c r="U1221">
        <v>0</v>
      </c>
      <c r="V1221" t="s">
        <v>5995</v>
      </c>
      <c r="W1221">
        <v>70918477</v>
      </c>
      <c r="X1221" t="s">
        <v>49</v>
      </c>
      <c r="Y1221" t="s">
        <v>5996</v>
      </c>
      <c r="Z1221" t="b">
        <v>0</v>
      </c>
      <c r="AA1221">
        <v>1327.5404296403569</v>
      </c>
      <c r="AN1221" t="e">
        <f>100*(1-E1221/AL1221)</f>
        <v>#DIV/0!</v>
      </c>
    </row>
    <row r="1222" spans="1:40" x14ac:dyDescent="0.3">
      <c r="A1222" t="s">
        <v>39</v>
      </c>
      <c r="B1222" t="s">
        <v>6155</v>
      </c>
      <c r="C1222" t="s">
        <v>6155</v>
      </c>
      <c r="D1222" s="4">
        <v>46064</v>
      </c>
      <c r="E1222">
        <v>323000</v>
      </c>
      <c r="F1222" t="s">
        <v>6156</v>
      </c>
      <c r="G1222" t="s">
        <v>6157</v>
      </c>
      <c r="H1222" t="s">
        <v>111</v>
      </c>
      <c r="I1222" t="s">
        <v>2475</v>
      </c>
      <c r="J1222" t="s">
        <v>165</v>
      </c>
      <c r="K1222" t="s">
        <v>6158</v>
      </c>
      <c r="L1222" t="s">
        <v>44</v>
      </c>
      <c r="M1222" t="s">
        <v>6159</v>
      </c>
      <c r="N1222">
        <v>32005</v>
      </c>
      <c r="O1222" t="s">
        <v>331</v>
      </c>
      <c r="P1222" t="s">
        <v>331</v>
      </c>
      <c r="Q1222" t="s">
        <v>55</v>
      </c>
      <c r="R1222">
        <v>2005</v>
      </c>
      <c r="S1222">
        <v>505.43</v>
      </c>
      <c r="T1222">
        <v>0</v>
      </c>
      <c r="U1222">
        <v>0</v>
      </c>
      <c r="V1222" t="s">
        <v>6160</v>
      </c>
      <c r="W1222">
        <v>52303893</v>
      </c>
      <c r="X1222" t="s">
        <v>86</v>
      </c>
      <c r="Y1222" t="s">
        <v>6161</v>
      </c>
      <c r="Z1222" t="b">
        <v>0</v>
      </c>
      <c r="AA1222">
        <v>639.05981045842157</v>
      </c>
      <c r="AN1222" t="e">
        <f>100*(1-E1222/AL1222)</f>
        <v>#DIV/0!</v>
      </c>
    </row>
    <row r="1223" spans="1:40" x14ac:dyDescent="0.3">
      <c r="A1223" t="s">
        <v>39</v>
      </c>
      <c r="B1223" t="s">
        <v>6280</v>
      </c>
      <c r="C1223" t="s">
        <v>6280</v>
      </c>
      <c r="D1223" s="4">
        <v>46064</v>
      </c>
      <c r="E1223">
        <v>150000</v>
      </c>
      <c r="F1223" t="s">
        <v>6281</v>
      </c>
      <c r="G1223" t="s">
        <v>6162</v>
      </c>
      <c r="H1223" t="s">
        <v>62</v>
      </c>
      <c r="I1223" t="s">
        <v>477</v>
      </c>
      <c r="J1223" t="s">
        <v>63</v>
      </c>
      <c r="K1223" t="s">
        <v>6282</v>
      </c>
      <c r="L1223" t="s">
        <v>44</v>
      </c>
      <c r="M1223" t="s">
        <v>6283</v>
      </c>
      <c r="N1223">
        <v>57500</v>
      </c>
      <c r="O1223" t="s">
        <v>45</v>
      </c>
      <c r="P1223" t="s">
        <v>81</v>
      </c>
      <c r="Q1223" t="s">
        <v>55</v>
      </c>
      <c r="R1223">
        <v>2006</v>
      </c>
      <c r="S1223">
        <v>154.76</v>
      </c>
      <c r="T1223">
        <v>0</v>
      </c>
      <c r="U1223">
        <v>0</v>
      </c>
      <c r="V1223" t="s">
        <v>6284</v>
      </c>
      <c r="W1223">
        <v>34622884</v>
      </c>
      <c r="X1223" t="s">
        <v>86</v>
      </c>
      <c r="Y1223" t="s">
        <v>6285</v>
      </c>
      <c r="Z1223" t="b">
        <v>0</v>
      </c>
      <c r="AA1223">
        <v>969.2426983716723</v>
      </c>
      <c r="AN1223" t="e">
        <f>100*(1-E1223/AL1223)</f>
        <v>#DIV/0!</v>
      </c>
    </row>
    <row r="1224" spans="1:40" x14ac:dyDescent="0.3">
      <c r="A1224" t="s">
        <v>71</v>
      </c>
      <c r="B1224" t="s">
        <v>3306</v>
      </c>
      <c r="C1224" t="s">
        <v>3307</v>
      </c>
      <c r="D1224" s="4">
        <v>46071</v>
      </c>
      <c r="E1224">
        <v>122000</v>
      </c>
      <c r="F1224" t="s">
        <v>3308</v>
      </c>
      <c r="G1224" t="s">
        <v>90</v>
      </c>
      <c r="H1224" t="s">
        <v>67</v>
      </c>
      <c r="I1224" t="s">
        <v>91</v>
      </c>
      <c r="J1224" t="s">
        <v>67</v>
      </c>
      <c r="K1224" t="s">
        <v>3309</v>
      </c>
      <c r="L1224" t="s">
        <v>44</v>
      </c>
      <c r="M1224" t="s">
        <v>3310</v>
      </c>
      <c r="N1224">
        <v>17675</v>
      </c>
      <c r="O1224" t="s">
        <v>50</v>
      </c>
      <c r="P1224" t="s">
        <v>232</v>
      </c>
      <c r="Q1224" t="s">
        <v>47</v>
      </c>
      <c r="R1224">
        <v>0</v>
      </c>
      <c r="S1224">
        <v>255.85</v>
      </c>
      <c r="T1224">
        <v>0</v>
      </c>
      <c r="U1224">
        <v>0</v>
      </c>
      <c r="V1224" t="s">
        <v>3311</v>
      </c>
      <c r="W1224">
        <v>18285052</v>
      </c>
      <c r="X1224" t="s">
        <v>49</v>
      </c>
      <c r="Y1224" t="s">
        <v>3312</v>
      </c>
      <c r="Z1224" t="b">
        <v>0</v>
      </c>
      <c r="AA1224">
        <v>476.84189955051789</v>
      </c>
      <c r="AN1224" t="e">
        <f>100*(1-E1224/AL1224)</f>
        <v>#DIV/0!</v>
      </c>
    </row>
    <row r="1225" spans="1:40" x14ac:dyDescent="0.3">
      <c r="A1225" t="s">
        <v>71</v>
      </c>
      <c r="B1225" t="s">
        <v>3313</v>
      </c>
      <c r="C1225" t="s">
        <v>3307</v>
      </c>
      <c r="D1225" s="4">
        <v>46071</v>
      </c>
      <c r="E1225">
        <v>185000</v>
      </c>
      <c r="F1225" t="s">
        <v>3314</v>
      </c>
      <c r="G1225" t="s">
        <v>90</v>
      </c>
      <c r="H1225" t="s">
        <v>67</v>
      </c>
      <c r="I1225" t="s">
        <v>91</v>
      </c>
      <c r="J1225" t="s">
        <v>67</v>
      </c>
      <c r="K1225" t="s">
        <v>3309</v>
      </c>
      <c r="L1225" t="s">
        <v>44</v>
      </c>
      <c r="M1225" t="s">
        <v>3310</v>
      </c>
      <c r="N1225">
        <v>17675</v>
      </c>
      <c r="O1225" t="s">
        <v>50</v>
      </c>
      <c r="P1225" t="s">
        <v>232</v>
      </c>
      <c r="Q1225" t="s">
        <v>55</v>
      </c>
      <c r="R1225">
        <v>0</v>
      </c>
      <c r="S1225">
        <v>172.95</v>
      </c>
      <c r="T1225">
        <v>0</v>
      </c>
      <c r="U1225">
        <v>0</v>
      </c>
      <c r="V1225" t="s">
        <v>3311</v>
      </c>
      <c r="W1225">
        <v>18285052</v>
      </c>
      <c r="X1225" t="s">
        <v>49</v>
      </c>
      <c r="Y1225" t="s">
        <v>3315</v>
      </c>
      <c r="Z1225" t="b">
        <v>0</v>
      </c>
      <c r="AA1225">
        <v>1069.6733159872799</v>
      </c>
      <c r="AN1225" t="e">
        <f>100*(1-E1225/AL1225)</f>
        <v>#DIV/0!</v>
      </c>
    </row>
    <row r="1226" spans="1:40" x14ac:dyDescent="0.3">
      <c r="A1226" t="s">
        <v>278</v>
      </c>
      <c r="B1226" t="s">
        <v>3316</v>
      </c>
      <c r="C1226" t="s">
        <v>3316</v>
      </c>
      <c r="D1226" s="4">
        <v>46071</v>
      </c>
      <c r="E1226">
        <v>12000</v>
      </c>
      <c r="F1226" t="s">
        <v>3317</v>
      </c>
      <c r="G1226" t="s">
        <v>238</v>
      </c>
      <c r="H1226" t="s">
        <v>62</v>
      </c>
      <c r="I1226" t="s">
        <v>238</v>
      </c>
      <c r="J1226" t="s">
        <v>238</v>
      </c>
      <c r="K1226" t="s">
        <v>3318</v>
      </c>
      <c r="L1226" t="s">
        <v>44</v>
      </c>
      <c r="M1226" t="s">
        <v>3319</v>
      </c>
      <c r="N1226">
        <v>61100</v>
      </c>
      <c r="O1226" t="s">
        <v>97</v>
      </c>
      <c r="P1226" t="s">
        <v>98</v>
      </c>
      <c r="Q1226">
        <v>0</v>
      </c>
      <c r="R1226">
        <v>0</v>
      </c>
      <c r="S1226">
        <v>98</v>
      </c>
      <c r="T1226">
        <v>0</v>
      </c>
      <c r="U1226">
        <v>0</v>
      </c>
      <c r="V1226" t="s">
        <v>3320</v>
      </c>
      <c r="W1226">
        <v>43838158</v>
      </c>
      <c r="X1226" t="s">
        <v>86</v>
      </c>
      <c r="Y1226" t="s">
        <v>3321</v>
      </c>
      <c r="Z1226" t="b">
        <v>0</v>
      </c>
      <c r="AA1226">
        <v>122.4489795918367</v>
      </c>
      <c r="AN1226" t="e">
        <f>100*(1-E1226/AL1226)</f>
        <v>#DIV/0!</v>
      </c>
    </row>
    <row r="1227" spans="1:40" x14ac:dyDescent="0.3">
      <c r="A1227" t="s">
        <v>71</v>
      </c>
      <c r="B1227" t="s">
        <v>3322</v>
      </c>
      <c r="C1227" t="s">
        <v>3322</v>
      </c>
      <c r="D1227" s="4">
        <v>46071</v>
      </c>
      <c r="E1227">
        <v>2000</v>
      </c>
      <c r="F1227" t="s">
        <v>345</v>
      </c>
      <c r="G1227" t="s">
        <v>263</v>
      </c>
      <c r="H1227" t="s">
        <v>67</v>
      </c>
      <c r="I1227" t="s">
        <v>264</v>
      </c>
      <c r="J1227" t="s">
        <v>67</v>
      </c>
      <c r="K1227" t="s">
        <v>3323</v>
      </c>
      <c r="L1227" t="s">
        <v>44</v>
      </c>
      <c r="M1227" t="s">
        <v>3324</v>
      </c>
      <c r="N1227">
        <v>15126</v>
      </c>
      <c r="O1227" t="s">
        <v>45</v>
      </c>
      <c r="P1227" t="s">
        <v>46</v>
      </c>
      <c r="Q1227" t="s">
        <v>47</v>
      </c>
      <c r="R1227">
        <v>0</v>
      </c>
      <c r="S1227">
        <v>5.5</v>
      </c>
      <c r="T1227">
        <v>0</v>
      </c>
      <c r="U1227">
        <v>0</v>
      </c>
      <c r="V1227" t="s">
        <v>3325</v>
      </c>
      <c r="W1227">
        <v>69218389</v>
      </c>
      <c r="X1227" t="s">
        <v>86</v>
      </c>
      <c r="Y1227" t="s">
        <v>3326</v>
      </c>
      <c r="Z1227" t="b">
        <v>0</v>
      </c>
      <c r="AA1227">
        <v>363.63636363636363</v>
      </c>
      <c r="AN1227" t="e">
        <f>100*(1-E1227/AL1227)</f>
        <v>#DIV/0!</v>
      </c>
    </row>
    <row r="1228" spans="1:40" x14ac:dyDescent="0.3">
      <c r="A1228" t="s">
        <v>71</v>
      </c>
      <c r="B1228" t="s">
        <v>3322</v>
      </c>
      <c r="C1228" t="s">
        <v>3322</v>
      </c>
      <c r="D1228" s="4">
        <v>46071</v>
      </c>
      <c r="E1228">
        <v>2000</v>
      </c>
      <c r="F1228" t="s">
        <v>345</v>
      </c>
      <c r="G1228" t="s">
        <v>263</v>
      </c>
      <c r="H1228" t="s">
        <v>67</v>
      </c>
      <c r="I1228" t="s">
        <v>264</v>
      </c>
      <c r="J1228" t="s">
        <v>67</v>
      </c>
      <c r="K1228" t="s">
        <v>3323</v>
      </c>
      <c r="L1228" t="s">
        <v>44</v>
      </c>
      <c r="M1228" t="s">
        <v>3324</v>
      </c>
      <c r="N1228">
        <v>15126</v>
      </c>
      <c r="O1228" t="s">
        <v>45</v>
      </c>
      <c r="P1228" t="s">
        <v>46</v>
      </c>
      <c r="Q1228" t="s">
        <v>47</v>
      </c>
      <c r="R1228">
        <v>0</v>
      </c>
      <c r="S1228">
        <v>5.5</v>
      </c>
      <c r="T1228">
        <v>0</v>
      </c>
      <c r="U1228">
        <v>0</v>
      </c>
      <c r="V1228" t="s">
        <v>3325</v>
      </c>
      <c r="W1228">
        <v>69218389</v>
      </c>
      <c r="X1228" t="s">
        <v>86</v>
      </c>
      <c r="Y1228" t="s">
        <v>3326</v>
      </c>
      <c r="Z1228" t="b">
        <v>0</v>
      </c>
      <c r="AA1228">
        <v>363.63636363636363</v>
      </c>
      <c r="AN1228" t="e">
        <f>100*(1-E1228/AL1228)</f>
        <v>#DIV/0!</v>
      </c>
    </row>
    <row r="1229" spans="1:40" x14ac:dyDescent="0.3">
      <c r="A1229" t="s">
        <v>59</v>
      </c>
      <c r="B1229" t="s">
        <v>3327</v>
      </c>
      <c r="C1229" t="s">
        <v>3327</v>
      </c>
      <c r="D1229" s="4">
        <v>46071</v>
      </c>
      <c r="E1229">
        <v>12000</v>
      </c>
      <c r="F1229" t="s">
        <v>130</v>
      </c>
      <c r="G1229" t="s">
        <v>115</v>
      </c>
      <c r="H1229" t="s">
        <v>67</v>
      </c>
      <c r="I1229" t="s">
        <v>116</v>
      </c>
      <c r="J1229" t="s">
        <v>67</v>
      </c>
      <c r="K1229" t="s">
        <v>3328</v>
      </c>
      <c r="L1229" t="s">
        <v>44</v>
      </c>
      <c r="M1229" t="s">
        <v>3329</v>
      </c>
      <c r="N1229">
        <v>11743</v>
      </c>
      <c r="O1229" t="s">
        <v>76</v>
      </c>
      <c r="P1229" t="s">
        <v>133</v>
      </c>
      <c r="Q1229">
        <v>0</v>
      </c>
      <c r="R1229">
        <v>0</v>
      </c>
      <c r="S1229">
        <v>13</v>
      </c>
      <c r="T1229">
        <v>0</v>
      </c>
      <c r="U1229">
        <v>0</v>
      </c>
      <c r="V1229" t="s">
        <v>3330</v>
      </c>
      <c r="W1229" t="s">
        <v>3331</v>
      </c>
      <c r="X1229" t="s">
        <v>86</v>
      </c>
      <c r="Y1229" t="s">
        <v>3332</v>
      </c>
      <c r="Z1229" t="b">
        <v>0</v>
      </c>
      <c r="AA1229">
        <v>923.07692307692309</v>
      </c>
      <c r="AN1229" t="e">
        <f>100*(1-E1229/AL1229)</f>
        <v>#DIV/0!</v>
      </c>
    </row>
    <row r="1230" spans="1:40" x14ac:dyDescent="0.3">
      <c r="A1230" t="s">
        <v>59</v>
      </c>
      <c r="B1230" t="s">
        <v>3327</v>
      </c>
      <c r="C1230" t="s">
        <v>3327</v>
      </c>
      <c r="D1230" s="4">
        <v>46071</v>
      </c>
      <c r="E1230">
        <v>12000</v>
      </c>
      <c r="F1230" t="s">
        <v>130</v>
      </c>
      <c r="G1230" t="s">
        <v>115</v>
      </c>
      <c r="H1230" t="s">
        <v>67</v>
      </c>
      <c r="I1230" t="s">
        <v>116</v>
      </c>
      <c r="J1230" t="s">
        <v>67</v>
      </c>
      <c r="K1230" t="s">
        <v>3328</v>
      </c>
      <c r="L1230" t="s">
        <v>44</v>
      </c>
      <c r="M1230" t="s">
        <v>3329</v>
      </c>
      <c r="N1230">
        <v>11743</v>
      </c>
      <c r="O1230" t="s">
        <v>76</v>
      </c>
      <c r="P1230" t="s">
        <v>133</v>
      </c>
      <c r="Q1230">
        <v>0</v>
      </c>
      <c r="R1230">
        <v>0</v>
      </c>
      <c r="S1230">
        <v>13</v>
      </c>
      <c r="T1230">
        <v>0</v>
      </c>
      <c r="U1230">
        <v>0</v>
      </c>
      <c r="V1230" t="s">
        <v>3330</v>
      </c>
      <c r="W1230" t="s">
        <v>3331</v>
      </c>
      <c r="X1230" t="s">
        <v>86</v>
      </c>
      <c r="Y1230" t="s">
        <v>3332</v>
      </c>
      <c r="Z1230" t="b">
        <v>0</v>
      </c>
      <c r="AA1230">
        <v>923.07692307692309</v>
      </c>
      <c r="AN1230" t="e">
        <f>100*(1-E1230/AL1230)</f>
        <v>#DIV/0!</v>
      </c>
    </row>
    <row r="1231" spans="1:40" x14ac:dyDescent="0.3">
      <c r="A1231" t="s">
        <v>59</v>
      </c>
      <c r="B1231" t="s">
        <v>3333</v>
      </c>
      <c r="C1231" t="s">
        <v>3333</v>
      </c>
      <c r="D1231" s="4">
        <v>46071</v>
      </c>
      <c r="E1231">
        <v>30000</v>
      </c>
      <c r="F1231" t="s">
        <v>3334</v>
      </c>
      <c r="G1231" t="s">
        <v>440</v>
      </c>
      <c r="H1231" t="s">
        <v>111</v>
      </c>
      <c r="I1231" t="s">
        <v>377</v>
      </c>
      <c r="J1231" t="s">
        <v>113</v>
      </c>
      <c r="K1231" t="s">
        <v>3335</v>
      </c>
      <c r="L1231" t="s">
        <v>44</v>
      </c>
      <c r="M1231" t="s">
        <v>440</v>
      </c>
      <c r="N1231">
        <v>35001</v>
      </c>
      <c r="O1231" t="s">
        <v>97</v>
      </c>
      <c r="P1231" t="s">
        <v>98</v>
      </c>
      <c r="Q1231">
        <v>0</v>
      </c>
      <c r="R1231">
        <v>0</v>
      </c>
      <c r="S1231">
        <v>1019</v>
      </c>
      <c r="T1231">
        <v>0</v>
      </c>
      <c r="U1231">
        <v>0</v>
      </c>
      <c r="V1231" t="s">
        <v>3336</v>
      </c>
      <c r="W1231">
        <v>52791073</v>
      </c>
      <c r="X1231" t="s">
        <v>86</v>
      </c>
      <c r="Y1231" t="s">
        <v>3337</v>
      </c>
      <c r="Z1231" t="b">
        <v>0</v>
      </c>
      <c r="AA1231">
        <v>29.440628066732089</v>
      </c>
      <c r="AN1231" t="e">
        <f>100*(1-E1231/AL1231)</f>
        <v>#DIV/0!</v>
      </c>
    </row>
    <row r="1232" spans="1:40" x14ac:dyDescent="0.3">
      <c r="A1232" t="s">
        <v>39</v>
      </c>
      <c r="B1232" t="s">
        <v>3338</v>
      </c>
      <c r="C1232" t="s">
        <v>3339</v>
      </c>
      <c r="D1232" s="4">
        <v>46071</v>
      </c>
      <c r="E1232">
        <v>7395</v>
      </c>
      <c r="F1232" t="s">
        <v>3340</v>
      </c>
      <c r="G1232" t="s">
        <v>147</v>
      </c>
      <c r="H1232" t="s">
        <v>136</v>
      </c>
      <c r="I1232" t="s">
        <v>148</v>
      </c>
      <c r="J1232" t="s">
        <v>149</v>
      </c>
      <c r="K1232" t="s">
        <v>3341</v>
      </c>
      <c r="L1232" t="s">
        <v>44</v>
      </c>
      <c r="M1232" t="s">
        <v>3342</v>
      </c>
      <c r="N1232">
        <v>41221</v>
      </c>
      <c r="O1232" t="s">
        <v>76</v>
      </c>
      <c r="P1232" t="s">
        <v>133</v>
      </c>
      <c r="Q1232">
        <v>0</v>
      </c>
      <c r="R1232">
        <v>0</v>
      </c>
      <c r="S1232">
        <v>10.130000000000001</v>
      </c>
      <c r="T1232">
        <v>0</v>
      </c>
      <c r="U1232">
        <v>0</v>
      </c>
      <c r="V1232" t="s">
        <v>3343</v>
      </c>
      <c r="W1232">
        <v>76829885</v>
      </c>
      <c r="X1232" t="s">
        <v>49</v>
      </c>
      <c r="Y1232" t="s">
        <v>3344</v>
      </c>
      <c r="Z1232" t="b">
        <v>0</v>
      </c>
      <c r="AA1232">
        <v>730.00987166831192</v>
      </c>
      <c r="AN1232" t="e">
        <f>100*(1-E1232/AL1232)</f>
        <v>#DIV/0!</v>
      </c>
    </row>
    <row r="1233" spans="1:40" x14ac:dyDescent="0.3">
      <c r="A1233" t="s">
        <v>166</v>
      </c>
      <c r="B1233" t="s">
        <v>3345</v>
      </c>
      <c r="C1233" t="s">
        <v>3345</v>
      </c>
      <c r="D1233" s="4">
        <v>46071</v>
      </c>
      <c r="E1233">
        <v>68000</v>
      </c>
      <c r="F1233" t="s">
        <v>212</v>
      </c>
      <c r="G1233" t="s">
        <v>147</v>
      </c>
      <c r="H1233" t="s">
        <v>136</v>
      </c>
      <c r="I1233" t="s">
        <v>148</v>
      </c>
      <c r="J1233" t="s">
        <v>149</v>
      </c>
      <c r="K1233" t="s">
        <v>3346</v>
      </c>
      <c r="L1233" t="s">
        <v>44</v>
      </c>
      <c r="M1233" t="s">
        <v>3347</v>
      </c>
      <c r="N1233">
        <v>41221</v>
      </c>
      <c r="O1233" t="s">
        <v>45</v>
      </c>
      <c r="P1233" t="s">
        <v>54</v>
      </c>
      <c r="Q1233" t="s">
        <v>55</v>
      </c>
      <c r="R1233">
        <v>0</v>
      </c>
      <c r="S1233">
        <v>63.76</v>
      </c>
      <c r="T1233">
        <v>0</v>
      </c>
      <c r="U1233">
        <v>0</v>
      </c>
      <c r="V1233" t="s">
        <v>3348</v>
      </c>
      <c r="W1233">
        <v>111452180</v>
      </c>
      <c r="X1233" t="s">
        <v>49</v>
      </c>
      <c r="Y1233" t="s">
        <v>3349</v>
      </c>
      <c r="Z1233" t="b">
        <v>0</v>
      </c>
      <c r="AA1233">
        <v>1066.4993726474279</v>
      </c>
      <c r="AN1233" t="e">
        <f>100*(1-E1233/AL1233)</f>
        <v>#DIV/0!</v>
      </c>
    </row>
    <row r="1234" spans="1:40" x14ac:dyDescent="0.3">
      <c r="A1234" t="s">
        <v>166</v>
      </c>
      <c r="B1234" t="s">
        <v>4178</v>
      </c>
      <c r="C1234" t="s">
        <v>4178</v>
      </c>
      <c r="D1234" s="4">
        <v>46071</v>
      </c>
      <c r="E1234">
        <v>67000</v>
      </c>
      <c r="F1234" t="s">
        <v>367</v>
      </c>
      <c r="G1234" t="s">
        <v>4179</v>
      </c>
      <c r="H1234" t="s">
        <v>94</v>
      </c>
      <c r="I1234" t="s">
        <v>2027</v>
      </c>
      <c r="J1234" t="s">
        <v>96</v>
      </c>
      <c r="K1234" t="s">
        <v>4180</v>
      </c>
      <c r="L1234" t="s">
        <v>44</v>
      </c>
      <c r="M1234" t="s">
        <v>4181</v>
      </c>
      <c r="N1234">
        <v>71307</v>
      </c>
      <c r="O1234" t="s">
        <v>45</v>
      </c>
      <c r="P1234" t="s">
        <v>54</v>
      </c>
      <c r="Q1234" t="s">
        <v>85</v>
      </c>
      <c r="R1234">
        <v>1976</v>
      </c>
      <c r="S1234">
        <v>48.52</v>
      </c>
      <c r="T1234">
        <v>0</v>
      </c>
      <c r="U1234">
        <v>0</v>
      </c>
      <c r="V1234" t="s">
        <v>4182</v>
      </c>
      <c r="W1234">
        <v>65119243</v>
      </c>
      <c r="X1234" t="s">
        <v>49</v>
      </c>
      <c r="Y1234" t="s">
        <v>4183</v>
      </c>
      <c r="Z1234" t="b">
        <v>0</v>
      </c>
      <c r="AA1234">
        <v>1380.873866446826</v>
      </c>
      <c r="AN1234" t="e">
        <f>100*(1-E1234/AL1234)</f>
        <v>#DIV/0!</v>
      </c>
    </row>
    <row r="1235" spans="1:40" x14ac:dyDescent="0.3">
      <c r="A1235" t="s">
        <v>129</v>
      </c>
      <c r="B1235" t="s">
        <v>4533</v>
      </c>
      <c r="C1235" t="s">
        <v>4533</v>
      </c>
      <c r="D1235" s="4">
        <v>46071</v>
      </c>
      <c r="E1235">
        <v>166493</v>
      </c>
      <c r="F1235" t="s">
        <v>162</v>
      </c>
      <c r="G1235" t="s">
        <v>104</v>
      </c>
      <c r="H1235" t="s">
        <v>94</v>
      </c>
      <c r="I1235" t="s">
        <v>105</v>
      </c>
      <c r="J1235" t="s">
        <v>105</v>
      </c>
      <c r="K1235" t="s">
        <v>4534</v>
      </c>
      <c r="L1235" t="s">
        <v>44</v>
      </c>
      <c r="M1235" t="s">
        <v>4535</v>
      </c>
      <c r="N1235">
        <v>73132</v>
      </c>
      <c r="O1235" t="s">
        <v>45</v>
      </c>
      <c r="P1235" t="s">
        <v>54</v>
      </c>
      <c r="Q1235" t="s">
        <v>55</v>
      </c>
      <c r="R1235">
        <v>1980</v>
      </c>
      <c r="S1235">
        <v>70.8</v>
      </c>
      <c r="T1235">
        <v>0</v>
      </c>
      <c r="U1235">
        <v>0</v>
      </c>
      <c r="V1235" t="s">
        <v>4536</v>
      </c>
      <c r="W1235">
        <v>130444264</v>
      </c>
      <c r="X1235" t="s">
        <v>49</v>
      </c>
      <c r="Y1235" t="s">
        <v>4537</v>
      </c>
      <c r="Z1235" t="b">
        <v>0</v>
      </c>
      <c r="AA1235">
        <v>2351.5960451977398</v>
      </c>
      <c r="AN1235" t="e">
        <f>100*(1-E1235/AL1235)</f>
        <v>#DIV/0!</v>
      </c>
    </row>
    <row r="1236" spans="1:40" x14ac:dyDescent="0.3">
      <c r="A1236" t="s">
        <v>39</v>
      </c>
      <c r="B1236" t="s">
        <v>4538</v>
      </c>
      <c r="C1236" t="s">
        <v>4538</v>
      </c>
      <c r="D1236" s="4">
        <v>46071</v>
      </c>
      <c r="E1236">
        <v>322000</v>
      </c>
      <c r="F1236" t="s">
        <v>4539</v>
      </c>
      <c r="G1236" t="s">
        <v>385</v>
      </c>
      <c r="H1236" t="s">
        <v>67</v>
      </c>
      <c r="I1236" t="s">
        <v>386</v>
      </c>
      <c r="J1236" t="s">
        <v>67</v>
      </c>
      <c r="K1236" t="s">
        <v>4540</v>
      </c>
      <c r="L1236" t="s">
        <v>44</v>
      </c>
      <c r="M1236" t="s">
        <v>4541</v>
      </c>
      <c r="N1236">
        <v>16672</v>
      </c>
      <c r="O1236" t="s">
        <v>45</v>
      </c>
      <c r="P1236" t="s">
        <v>81</v>
      </c>
      <c r="Q1236" t="s">
        <v>52</v>
      </c>
      <c r="R1236">
        <v>1980</v>
      </c>
      <c r="S1236">
        <v>104.44</v>
      </c>
      <c r="T1236">
        <v>0</v>
      </c>
      <c r="U1236">
        <v>0</v>
      </c>
      <c r="V1236" t="s">
        <v>4542</v>
      </c>
      <c r="W1236">
        <v>103217897</v>
      </c>
      <c r="X1236" t="s">
        <v>49</v>
      </c>
      <c r="Y1236" t="s">
        <v>4543</v>
      </c>
      <c r="Z1236" t="b">
        <v>0</v>
      </c>
      <c r="AA1236">
        <v>3083.1099195710458</v>
      </c>
      <c r="AN1236" t="e">
        <f>100*(1-E1236/AL1236)</f>
        <v>#DIV/0!</v>
      </c>
    </row>
    <row r="1237" spans="1:40" x14ac:dyDescent="0.3">
      <c r="A1237" t="s">
        <v>71</v>
      </c>
      <c r="B1237" t="s">
        <v>4716</v>
      </c>
      <c r="C1237" t="s">
        <v>4716</v>
      </c>
      <c r="D1237" s="4">
        <v>46071</v>
      </c>
      <c r="E1237">
        <v>70000</v>
      </c>
      <c r="F1237" t="s">
        <v>4717</v>
      </c>
      <c r="G1237" t="s">
        <v>2488</v>
      </c>
      <c r="H1237" t="s">
        <v>136</v>
      </c>
      <c r="I1237" t="s">
        <v>2489</v>
      </c>
      <c r="J1237" t="s">
        <v>149</v>
      </c>
      <c r="K1237" t="s">
        <v>4718</v>
      </c>
      <c r="L1237" t="s">
        <v>44</v>
      </c>
      <c r="M1237" t="s">
        <v>4719</v>
      </c>
      <c r="N1237">
        <v>40300</v>
      </c>
      <c r="O1237" t="s">
        <v>45</v>
      </c>
      <c r="P1237" t="s">
        <v>54</v>
      </c>
      <c r="Q1237" t="s">
        <v>55</v>
      </c>
      <c r="R1237">
        <v>1983</v>
      </c>
      <c r="S1237">
        <v>99.2</v>
      </c>
      <c r="T1237">
        <v>0</v>
      </c>
      <c r="U1237">
        <v>0</v>
      </c>
      <c r="V1237" t="s">
        <v>4720</v>
      </c>
      <c r="W1237">
        <v>46776262</v>
      </c>
      <c r="X1237" t="s">
        <v>86</v>
      </c>
      <c r="Y1237" t="s">
        <v>4721</v>
      </c>
      <c r="Z1237" t="b">
        <v>0</v>
      </c>
      <c r="AA1237">
        <v>705.64516129032256</v>
      </c>
      <c r="AN1237" t="e">
        <f>100*(1-E1237/AL1237)</f>
        <v>#DIV/0!</v>
      </c>
    </row>
    <row r="1238" spans="1:40" x14ac:dyDescent="0.3">
      <c r="A1238" t="s">
        <v>59</v>
      </c>
      <c r="B1238" t="s">
        <v>4833</v>
      </c>
      <c r="C1238" t="s">
        <v>4833</v>
      </c>
      <c r="D1238" s="4">
        <v>46071</v>
      </c>
      <c r="E1238">
        <v>129000</v>
      </c>
      <c r="F1238" t="s">
        <v>312</v>
      </c>
      <c r="G1238" t="s">
        <v>384</v>
      </c>
      <c r="H1238" t="s">
        <v>67</v>
      </c>
      <c r="I1238" t="s">
        <v>384</v>
      </c>
      <c r="J1238" t="s">
        <v>67</v>
      </c>
      <c r="K1238" t="s">
        <v>4834</v>
      </c>
      <c r="L1238" t="s">
        <v>44</v>
      </c>
      <c r="M1238" t="s">
        <v>4835</v>
      </c>
      <c r="N1238">
        <v>12244</v>
      </c>
      <c r="O1238" t="s">
        <v>45</v>
      </c>
      <c r="P1238" t="s">
        <v>54</v>
      </c>
      <c r="Q1238" t="s">
        <v>55</v>
      </c>
      <c r="R1238">
        <v>1985</v>
      </c>
      <c r="S1238">
        <v>85.1</v>
      </c>
      <c r="T1238">
        <v>0</v>
      </c>
      <c r="U1238">
        <v>0</v>
      </c>
      <c r="V1238" t="s">
        <v>4836</v>
      </c>
      <c r="W1238">
        <v>69444055</v>
      </c>
      <c r="X1238" t="s">
        <v>49</v>
      </c>
      <c r="Y1238" t="s">
        <v>4837</v>
      </c>
      <c r="Z1238" t="b">
        <v>0</v>
      </c>
      <c r="AA1238">
        <v>1515.8636897767331</v>
      </c>
      <c r="AN1238" t="e">
        <f>100*(1-E1238/AL1238)</f>
        <v>#DIV/0!</v>
      </c>
    </row>
    <row r="1239" spans="1:40" x14ac:dyDescent="0.3">
      <c r="A1239" t="s">
        <v>39</v>
      </c>
      <c r="B1239" t="s">
        <v>4843</v>
      </c>
      <c r="C1239" t="s">
        <v>4843</v>
      </c>
      <c r="D1239" s="4">
        <v>46071</v>
      </c>
      <c r="E1239">
        <v>204194</v>
      </c>
      <c r="F1239" t="s">
        <v>4844</v>
      </c>
      <c r="G1239" t="s">
        <v>61</v>
      </c>
      <c r="H1239" t="s">
        <v>62</v>
      </c>
      <c r="I1239" t="s">
        <v>63</v>
      </c>
      <c r="J1239" t="s">
        <v>63</v>
      </c>
      <c r="K1239" t="s">
        <v>4845</v>
      </c>
      <c r="L1239" t="s">
        <v>44</v>
      </c>
      <c r="M1239" t="s">
        <v>4846</v>
      </c>
      <c r="N1239">
        <v>54351</v>
      </c>
      <c r="O1239" t="s">
        <v>45</v>
      </c>
      <c r="P1239" t="s">
        <v>81</v>
      </c>
      <c r="Q1239" t="s">
        <v>85</v>
      </c>
      <c r="R1239">
        <v>1986</v>
      </c>
      <c r="S1239">
        <v>119.25</v>
      </c>
      <c r="T1239">
        <v>0</v>
      </c>
      <c r="U1239">
        <v>0</v>
      </c>
      <c r="V1239" t="s">
        <v>4847</v>
      </c>
      <c r="W1239">
        <v>137309432</v>
      </c>
      <c r="X1239" t="s">
        <v>86</v>
      </c>
      <c r="Y1239" t="s">
        <v>4848</v>
      </c>
      <c r="Z1239" t="b">
        <v>0</v>
      </c>
      <c r="AA1239">
        <v>1712.3186582809219</v>
      </c>
      <c r="AN1239" t="e">
        <f>100*(1-E1239/AL1239)</f>
        <v>#DIV/0!</v>
      </c>
    </row>
    <row r="1240" spans="1:40" x14ac:dyDescent="0.3">
      <c r="A1240" t="s">
        <v>59</v>
      </c>
      <c r="B1240" t="s">
        <v>5106</v>
      </c>
      <c r="C1240" t="s">
        <v>5106</v>
      </c>
      <c r="D1240" s="4">
        <v>46071</v>
      </c>
      <c r="E1240">
        <v>43600</v>
      </c>
      <c r="F1240" t="s">
        <v>5107</v>
      </c>
      <c r="G1240" t="s">
        <v>5108</v>
      </c>
      <c r="H1240" t="s">
        <v>62</v>
      </c>
      <c r="I1240" t="s">
        <v>5109</v>
      </c>
      <c r="J1240" t="s">
        <v>389</v>
      </c>
      <c r="K1240" t="s">
        <v>5110</v>
      </c>
      <c r="L1240" t="s">
        <v>44</v>
      </c>
      <c r="M1240" t="s">
        <v>5111</v>
      </c>
      <c r="N1240">
        <v>63072</v>
      </c>
      <c r="O1240" t="s">
        <v>45</v>
      </c>
      <c r="P1240" t="s">
        <v>54</v>
      </c>
      <c r="Q1240" t="s">
        <v>85</v>
      </c>
      <c r="R1240">
        <v>1990</v>
      </c>
      <c r="S1240">
        <v>15.3</v>
      </c>
      <c r="T1240">
        <v>0</v>
      </c>
      <c r="U1240">
        <v>0</v>
      </c>
      <c r="V1240" t="s">
        <v>5112</v>
      </c>
      <c r="W1240">
        <v>31915964</v>
      </c>
      <c r="X1240" t="s">
        <v>86</v>
      </c>
      <c r="Y1240" t="s">
        <v>5113</v>
      </c>
      <c r="Z1240" t="b">
        <v>0</v>
      </c>
      <c r="AA1240">
        <v>2849.6732026143791</v>
      </c>
      <c r="AN1240" t="e">
        <f>100*(1-E1240/AL1240)</f>
        <v>#DIV/0!</v>
      </c>
    </row>
    <row r="1241" spans="1:40" x14ac:dyDescent="0.3">
      <c r="A1241" t="s">
        <v>59</v>
      </c>
      <c r="B1241" t="s">
        <v>5106</v>
      </c>
      <c r="C1241" t="s">
        <v>5106</v>
      </c>
      <c r="D1241" s="4">
        <v>46071</v>
      </c>
      <c r="E1241">
        <v>43600</v>
      </c>
      <c r="F1241" t="s">
        <v>5107</v>
      </c>
      <c r="G1241" t="s">
        <v>5108</v>
      </c>
      <c r="H1241" t="s">
        <v>62</v>
      </c>
      <c r="I1241" t="s">
        <v>5109</v>
      </c>
      <c r="J1241" t="s">
        <v>389</v>
      </c>
      <c r="K1241" t="s">
        <v>5110</v>
      </c>
      <c r="L1241" t="s">
        <v>44</v>
      </c>
      <c r="M1241" t="s">
        <v>5111</v>
      </c>
      <c r="N1241">
        <v>63072</v>
      </c>
      <c r="O1241" t="s">
        <v>45</v>
      </c>
      <c r="P1241" t="s">
        <v>54</v>
      </c>
      <c r="Q1241" t="s">
        <v>85</v>
      </c>
      <c r="R1241">
        <v>1990</v>
      </c>
      <c r="S1241">
        <v>15.3</v>
      </c>
      <c r="T1241">
        <v>0</v>
      </c>
      <c r="U1241">
        <v>0</v>
      </c>
      <c r="V1241" t="s">
        <v>5112</v>
      </c>
      <c r="W1241">
        <v>31915964</v>
      </c>
      <c r="X1241" t="s">
        <v>86</v>
      </c>
      <c r="Y1241" t="s">
        <v>5113</v>
      </c>
      <c r="Z1241" t="b">
        <v>0</v>
      </c>
      <c r="AA1241">
        <v>2849.6732026143791</v>
      </c>
      <c r="AN1241" t="e">
        <f>100*(1-E1241/AL1241)</f>
        <v>#DIV/0!</v>
      </c>
    </row>
    <row r="1242" spans="1:40" x14ac:dyDescent="0.3">
      <c r="A1242" t="s">
        <v>59</v>
      </c>
      <c r="B1242" t="s">
        <v>5106</v>
      </c>
      <c r="C1242" t="s">
        <v>5106</v>
      </c>
      <c r="D1242" s="4">
        <v>46071</v>
      </c>
      <c r="E1242">
        <v>43600</v>
      </c>
      <c r="F1242" t="s">
        <v>5107</v>
      </c>
      <c r="G1242" t="s">
        <v>5108</v>
      </c>
      <c r="H1242" t="s">
        <v>62</v>
      </c>
      <c r="I1242" t="s">
        <v>5109</v>
      </c>
      <c r="J1242" t="s">
        <v>389</v>
      </c>
      <c r="K1242" t="s">
        <v>5110</v>
      </c>
      <c r="L1242" t="s">
        <v>44</v>
      </c>
      <c r="M1242" t="s">
        <v>5111</v>
      </c>
      <c r="N1242">
        <v>63072</v>
      </c>
      <c r="O1242" t="s">
        <v>45</v>
      </c>
      <c r="P1242" t="s">
        <v>54</v>
      </c>
      <c r="Q1242" t="s">
        <v>85</v>
      </c>
      <c r="R1242">
        <v>1990</v>
      </c>
      <c r="S1242">
        <v>15.3</v>
      </c>
      <c r="T1242">
        <v>0</v>
      </c>
      <c r="U1242">
        <v>0</v>
      </c>
      <c r="V1242" t="s">
        <v>5112</v>
      </c>
      <c r="W1242">
        <v>31915964</v>
      </c>
      <c r="X1242" t="s">
        <v>86</v>
      </c>
      <c r="Y1242" t="s">
        <v>5113</v>
      </c>
      <c r="Z1242" t="b">
        <v>0</v>
      </c>
      <c r="AA1242">
        <v>2849.6732026143791</v>
      </c>
      <c r="AN1242" t="e">
        <f>100*(1-E1242/AL1242)</f>
        <v>#DIV/0!</v>
      </c>
    </row>
    <row r="1243" spans="1:40" x14ac:dyDescent="0.3">
      <c r="A1243" t="s">
        <v>39</v>
      </c>
      <c r="B1243" t="s">
        <v>5659</v>
      </c>
      <c r="C1243" t="s">
        <v>3339</v>
      </c>
      <c r="D1243" s="4">
        <v>46071</v>
      </c>
      <c r="E1243">
        <v>164957</v>
      </c>
      <c r="F1243" t="s">
        <v>5660</v>
      </c>
      <c r="G1243" t="s">
        <v>147</v>
      </c>
      <c r="H1243" t="s">
        <v>136</v>
      </c>
      <c r="I1243" t="s">
        <v>148</v>
      </c>
      <c r="J1243" t="s">
        <v>149</v>
      </c>
      <c r="K1243" t="s">
        <v>3341</v>
      </c>
      <c r="L1243" t="s">
        <v>44</v>
      </c>
      <c r="M1243" t="s">
        <v>3342</v>
      </c>
      <c r="N1243">
        <v>41221</v>
      </c>
      <c r="O1243" t="s">
        <v>45</v>
      </c>
      <c r="P1243" t="s">
        <v>288</v>
      </c>
      <c r="Q1243" t="s">
        <v>64</v>
      </c>
      <c r="R1243">
        <v>2000</v>
      </c>
      <c r="S1243">
        <v>114.16</v>
      </c>
      <c r="T1243">
        <v>0</v>
      </c>
      <c r="U1243">
        <v>0</v>
      </c>
      <c r="V1243" t="s">
        <v>3343</v>
      </c>
      <c r="W1243">
        <v>76829885</v>
      </c>
      <c r="X1243" t="s">
        <v>49</v>
      </c>
      <c r="Y1243" t="s">
        <v>5661</v>
      </c>
      <c r="Z1243" t="b">
        <v>0</v>
      </c>
      <c r="AA1243">
        <v>1444.963209530483</v>
      </c>
      <c r="AN1243" t="e">
        <f>100*(1-E1243/AL1243)</f>
        <v>#DIV/0!</v>
      </c>
    </row>
    <row r="1244" spans="1:40" x14ac:dyDescent="0.3">
      <c r="A1244" t="s">
        <v>39</v>
      </c>
      <c r="B1244" t="s">
        <v>5662</v>
      </c>
      <c r="C1244" t="s">
        <v>3339</v>
      </c>
      <c r="D1244" s="4">
        <v>46071</v>
      </c>
      <c r="E1244">
        <v>1093</v>
      </c>
      <c r="F1244" t="s">
        <v>417</v>
      </c>
      <c r="G1244" t="s">
        <v>147</v>
      </c>
      <c r="H1244" t="s">
        <v>136</v>
      </c>
      <c r="I1244" t="s">
        <v>148</v>
      </c>
      <c r="J1244" t="s">
        <v>149</v>
      </c>
      <c r="K1244" t="s">
        <v>3341</v>
      </c>
      <c r="L1244" t="s">
        <v>44</v>
      </c>
      <c r="M1244" t="s">
        <v>3342</v>
      </c>
      <c r="N1244">
        <v>41221</v>
      </c>
      <c r="O1244" t="s">
        <v>45</v>
      </c>
      <c r="P1244" t="s">
        <v>46</v>
      </c>
      <c r="Q1244" t="s">
        <v>47</v>
      </c>
      <c r="R1244">
        <v>2000</v>
      </c>
      <c r="S1244">
        <v>3.92</v>
      </c>
      <c r="T1244">
        <v>0</v>
      </c>
      <c r="U1244">
        <v>0</v>
      </c>
      <c r="V1244" t="s">
        <v>3343</v>
      </c>
      <c r="W1244">
        <v>76829885</v>
      </c>
      <c r="X1244" t="s">
        <v>49</v>
      </c>
      <c r="Y1244" t="s">
        <v>5663</v>
      </c>
      <c r="Z1244" t="b">
        <v>0</v>
      </c>
      <c r="AA1244">
        <v>278.82653061224488</v>
      </c>
      <c r="AN1244" t="e">
        <f>100*(1-E1244/AL1244)</f>
        <v>#DIV/0!</v>
      </c>
    </row>
    <row r="1245" spans="1:40" x14ac:dyDescent="0.3">
      <c r="A1245" t="s">
        <v>215</v>
      </c>
      <c r="B1245" t="s">
        <v>5997</v>
      </c>
      <c r="C1245" t="s">
        <v>5997</v>
      </c>
      <c r="D1245" s="4">
        <v>46071</v>
      </c>
      <c r="E1245">
        <v>165000</v>
      </c>
      <c r="F1245" t="s">
        <v>5998</v>
      </c>
      <c r="G1245" t="s">
        <v>2459</v>
      </c>
      <c r="H1245" t="s">
        <v>124</v>
      </c>
      <c r="I1245" t="s">
        <v>255</v>
      </c>
      <c r="J1245" t="s">
        <v>256</v>
      </c>
      <c r="K1245" t="s">
        <v>5999</v>
      </c>
      <c r="L1245" t="s">
        <v>44</v>
      </c>
      <c r="M1245" t="s">
        <v>6000</v>
      </c>
      <c r="N1245">
        <v>30027</v>
      </c>
      <c r="O1245" t="s">
        <v>45</v>
      </c>
      <c r="P1245" t="s">
        <v>54</v>
      </c>
      <c r="Q1245" t="s">
        <v>55</v>
      </c>
      <c r="R1245">
        <v>2004</v>
      </c>
      <c r="S1245">
        <v>136.11000000000001</v>
      </c>
      <c r="T1245">
        <v>0</v>
      </c>
      <c r="U1245">
        <v>0</v>
      </c>
      <c r="V1245" t="s">
        <v>6001</v>
      </c>
      <c r="W1245">
        <v>43488191</v>
      </c>
      <c r="X1245" t="s">
        <v>49</v>
      </c>
      <c r="Y1245" t="s">
        <v>6002</v>
      </c>
      <c r="Z1245" t="b">
        <v>0</v>
      </c>
      <c r="AA1245">
        <v>1212.254793916685</v>
      </c>
      <c r="AN1245" t="e">
        <f>100*(1-E1245/AL1245)</f>
        <v>#DIV/0!</v>
      </c>
    </row>
    <row r="1246" spans="1:40" x14ac:dyDescent="0.3">
      <c r="A1246" t="s">
        <v>71</v>
      </c>
      <c r="B1246" t="s">
        <v>3350</v>
      </c>
      <c r="C1246" t="s">
        <v>3350</v>
      </c>
      <c r="D1246" s="4">
        <v>46078</v>
      </c>
      <c r="E1246">
        <v>3940000</v>
      </c>
      <c r="F1246" t="s">
        <v>3351</v>
      </c>
      <c r="G1246" t="s">
        <v>2148</v>
      </c>
      <c r="H1246" t="s">
        <v>136</v>
      </c>
      <c r="I1246" t="s">
        <v>2149</v>
      </c>
      <c r="J1246" t="s">
        <v>452</v>
      </c>
      <c r="K1246" t="s">
        <v>3352</v>
      </c>
      <c r="L1246" t="s">
        <v>44</v>
      </c>
      <c r="M1246" t="s">
        <v>3353</v>
      </c>
      <c r="N1246">
        <v>37002</v>
      </c>
      <c r="O1246" t="s">
        <v>50</v>
      </c>
      <c r="P1246" t="s">
        <v>2521</v>
      </c>
      <c r="Q1246" t="s">
        <v>85</v>
      </c>
      <c r="R1246">
        <v>0</v>
      </c>
      <c r="S1246">
        <v>2990.9</v>
      </c>
      <c r="T1246">
        <v>0</v>
      </c>
      <c r="U1246">
        <v>0</v>
      </c>
      <c r="V1246" t="s">
        <v>3354</v>
      </c>
      <c r="W1246">
        <v>998715364</v>
      </c>
      <c r="X1246" t="s">
        <v>86</v>
      </c>
      <c r="Y1246" t="s">
        <v>3355</v>
      </c>
      <c r="Z1246" t="b">
        <v>0</v>
      </c>
      <c r="AA1246">
        <v>1317.3292320037449</v>
      </c>
      <c r="AN1246" t="e">
        <f>100*(1-E1246/AL1246)</f>
        <v>#DIV/0!</v>
      </c>
    </row>
    <row r="1247" spans="1:40" x14ac:dyDescent="0.3">
      <c r="A1247" t="s">
        <v>3356</v>
      </c>
      <c r="B1247" t="s">
        <v>3357</v>
      </c>
      <c r="C1247" t="s">
        <v>3357</v>
      </c>
      <c r="D1247" s="4">
        <v>46078</v>
      </c>
      <c r="E1247">
        <v>191625</v>
      </c>
      <c r="F1247" t="s">
        <v>3358</v>
      </c>
      <c r="G1247" t="s">
        <v>313</v>
      </c>
      <c r="H1247" t="s">
        <v>67</v>
      </c>
      <c r="I1247" t="s">
        <v>311</v>
      </c>
      <c r="J1247" t="s">
        <v>67</v>
      </c>
      <c r="K1247" t="s">
        <v>3359</v>
      </c>
      <c r="L1247" t="s">
        <v>44</v>
      </c>
      <c r="M1247" t="s">
        <v>3360</v>
      </c>
      <c r="N1247">
        <v>15127</v>
      </c>
      <c r="O1247" t="s">
        <v>45</v>
      </c>
      <c r="P1247" t="s">
        <v>81</v>
      </c>
      <c r="Q1247" t="s">
        <v>55</v>
      </c>
      <c r="R1247">
        <v>0</v>
      </c>
      <c r="S1247">
        <v>364.8</v>
      </c>
      <c r="T1247" t="s">
        <v>48</v>
      </c>
      <c r="U1247">
        <v>50</v>
      </c>
      <c r="V1247" t="s">
        <v>3361</v>
      </c>
      <c r="W1247">
        <v>22099670</v>
      </c>
      <c r="X1247" t="s">
        <v>86</v>
      </c>
      <c r="Y1247" t="s">
        <v>3362</v>
      </c>
      <c r="Z1247" t="b">
        <v>0</v>
      </c>
      <c r="AA1247">
        <v>525.28782894736844</v>
      </c>
      <c r="AN1247" t="e">
        <f>100*(1-E1247/AL1247)</f>
        <v>#DIV/0!</v>
      </c>
    </row>
    <row r="1248" spans="1:40" x14ac:dyDescent="0.3">
      <c r="A1248" t="s">
        <v>59</v>
      </c>
      <c r="B1248" t="s">
        <v>3363</v>
      </c>
      <c r="C1248" t="s">
        <v>3363</v>
      </c>
      <c r="D1248" s="4">
        <v>46078</v>
      </c>
      <c r="E1248">
        <v>145000</v>
      </c>
      <c r="F1248" t="s">
        <v>3364</v>
      </c>
      <c r="G1248" t="s">
        <v>115</v>
      </c>
      <c r="H1248" t="s">
        <v>67</v>
      </c>
      <c r="I1248" t="s">
        <v>116</v>
      </c>
      <c r="J1248" t="s">
        <v>67</v>
      </c>
      <c r="K1248" t="s">
        <v>3365</v>
      </c>
      <c r="L1248" t="s">
        <v>44</v>
      </c>
      <c r="M1248" t="s">
        <v>3366</v>
      </c>
      <c r="N1248">
        <v>11634</v>
      </c>
      <c r="O1248" t="s">
        <v>45</v>
      </c>
      <c r="P1248" t="s">
        <v>54</v>
      </c>
      <c r="Q1248" t="s">
        <v>64</v>
      </c>
      <c r="R1248">
        <v>0</v>
      </c>
      <c r="S1248">
        <v>80.53</v>
      </c>
      <c r="T1248" t="s">
        <v>161</v>
      </c>
      <c r="U1248">
        <v>100</v>
      </c>
      <c r="V1248" t="s">
        <v>3367</v>
      </c>
      <c r="W1248">
        <v>52663677</v>
      </c>
      <c r="X1248" t="s">
        <v>86</v>
      </c>
      <c r="Y1248" t="s">
        <v>3368</v>
      </c>
      <c r="Z1248" t="b">
        <v>0</v>
      </c>
      <c r="AA1248">
        <v>1800.571215696014</v>
      </c>
      <c r="AN1248" t="e">
        <f>100*(1-E1248/AL1248)</f>
        <v>#DIV/0!</v>
      </c>
    </row>
    <row r="1249" spans="1:40" x14ac:dyDescent="0.3">
      <c r="A1249" t="s">
        <v>39</v>
      </c>
      <c r="B1249" t="s">
        <v>3369</v>
      </c>
      <c r="C1249" t="s">
        <v>3369</v>
      </c>
      <c r="D1249" s="4">
        <v>46078</v>
      </c>
      <c r="E1249">
        <v>17000</v>
      </c>
      <c r="F1249" t="s">
        <v>3370</v>
      </c>
      <c r="G1249" t="s">
        <v>1805</v>
      </c>
      <c r="H1249" t="s">
        <v>111</v>
      </c>
      <c r="I1249" t="s">
        <v>316</v>
      </c>
      <c r="J1249" t="s">
        <v>113</v>
      </c>
      <c r="K1249" t="s">
        <v>3371</v>
      </c>
      <c r="L1249" t="s">
        <v>44</v>
      </c>
      <c r="M1249" t="s">
        <v>3372</v>
      </c>
      <c r="N1249">
        <v>35008</v>
      </c>
      <c r="O1249" t="s">
        <v>45</v>
      </c>
      <c r="P1249" t="s">
        <v>54</v>
      </c>
      <c r="Q1249" t="s">
        <v>85</v>
      </c>
      <c r="R1249">
        <v>0</v>
      </c>
      <c r="S1249">
        <v>29.3</v>
      </c>
      <c r="T1249">
        <v>0</v>
      </c>
      <c r="U1249">
        <v>0</v>
      </c>
      <c r="V1249" t="s">
        <v>3373</v>
      </c>
      <c r="W1249">
        <v>62267283</v>
      </c>
      <c r="X1249" t="s">
        <v>86</v>
      </c>
      <c r="Y1249" t="s">
        <v>3374</v>
      </c>
      <c r="Z1249" t="b">
        <v>0</v>
      </c>
      <c r="AA1249">
        <v>580.20477815699655</v>
      </c>
      <c r="AN1249" t="e">
        <f>100*(1-E1249/AL1249)</f>
        <v>#DIV/0!</v>
      </c>
    </row>
    <row r="1250" spans="1:40" x14ac:dyDescent="0.3">
      <c r="A1250" t="s">
        <v>150</v>
      </c>
      <c r="B1250" t="s">
        <v>3375</v>
      </c>
      <c r="C1250" t="s">
        <v>3375</v>
      </c>
      <c r="D1250" s="4">
        <v>46078</v>
      </c>
      <c r="E1250">
        <v>57000</v>
      </c>
      <c r="F1250" t="s">
        <v>3376</v>
      </c>
      <c r="G1250" t="s">
        <v>419</v>
      </c>
      <c r="H1250" t="s">
        <v>152</v>
      </c>
      <c r="I1250" t="s">
        <v>153</v>
      </c>
      <c r="J1250" t="s">
        <v>154</v>
      </c>
      <c r="K1250" t="s">
        <v>3377</v>
      </c>
      <c r="L1250" t="s">
        <v>44</v>
      </c>
      <c r="M1250" t="s">
        <v>3378</v>
      </c>
      <c r="N1250">
        <v>24100</v>
      </c>
      <c r="O1250" t="s">
        <v>45</v>
      </c>
      <c r="P1250" t="s">
        <v>54</v>
      </c>
      <c r="Q1250" t="s">
        <v>85</v>
      </c>
      <c r="R1250">
        <v>0</v>
      </c>
      <c r="S1250">
        <v>30.41</v>
      </c>
      <c r="T1250">
        <v>0</v>
      </c>
      <c r="U1250">
        <v>0</v>
      </c>
      <c r="V1250" t="s">
        <v>3379</v>
      </c>
      <c r="W1250">
        <v>23158451</v>
      </c>
      <c r="X1250" t="s">
        <v>49</v>
      </c>
      <c r="Y1250" t="s">
        <v>3380</v>
      </c>
      <c r="Z1250" t="b">
        <v>0</v>
      </c>
      <c r="AA1250">
        <v>1874.3834265044391</v>
      </c>
      <c r="AN1250" t="e">
        <f>100*(1-E1250/AL1250)</f>
        <v>#DIV/0!</v>
      </c>
    </row>
    <row r="1251" spans="1:40" x14ac:dyDescent="0.3">
      <c r="A1251" t="s">
        <v>71</v>
      </c>
      <c r="B1251" t="s">
        <v>3934</v>
      </c>
      <c r="C1251" t="s">
        <v>3934</v>
      </c>
      <c r="D1251" s="4">
        <v>46078</v>
      </c>
      <c r="E1251">
        <v>106000</v>
      </c>
      <c r="F1251" t="s">
        <v>3935</v>
      </c>
      <c r="G1251" t="s">
        <v>3528</v>
      </c>
      <c r="H1251" t="s">
        <v>94</v>
      </c>
      <c r="I1251" t="s">
        <v>2027</v>
      </c>
      <c r="J1251" t="s">
        <v>96</v>
      </c>
      <c r="K1251" t="s">
        <v>3936</v>
      </c>
      <c r="L1251" t="s">
        <v>44</v>
      </c>
      <c r="M1251" t="s">
        <v>3937</v>
      </c>
      <c r="N1251">
        <v>71601</v>
      </c>
      <c r="O1251" t="s">
        <v>50</v>
      </c>
      <c r="P1251" t="s">
        <v>51</v>
      </c>
      <c r="Q1251" t="s">
        <v>52</v>
      </c>
      <c r="R1251">
        <v>1972</v>
      </c>
      <c r="S1251">
        <v>125.63</v>
      </c>
      <c r="T1251">
        <v>0</v>
      </c>
      <c r="U1251">
        <v>0</v>
      </c>
      <c r="V1251" t="s">
        <v>3938</v>
      </c>
      <c r="W1251">
        <v>29372269</v>
      </c>
      <c r="X1251" t="s">
        <v>49</v>
      </c>
      <c r="Y1251">
        <v>0</v>
      </c>
      <c r="Z1251" t="b">
        <v>0</v>
      </c>
      <c r="AA1251">
        <v>843.7475125368145</v>
      </c>
      <c r="AN1251" t="e">
        <f>100*(1-E1251/AL1251)</f>
        <v>#DIV/0!</v>
      </c>
    </row>
    <row r="1252" spans="1:40" x14ac:dyDescent="0.3">
      <c r="A1252" t="s">
        <v>278</v>
      </c>
      <c r="B1252" t="s">
        <v>4849</v>
      </c>
      <c r="C1252" t="s">
        <v>4849</v>
      </c>
      <c r="D1252" s="4">
        <v>46078</v>
      </c>
      <c r="E1252">
        <v>129000</v>
      </c>
      <c r="F1252" t="s">
        <v>99</v>
      </c>
      <c r="G1252" t="s">
        <v>61</v>
      </c>
      <c r="H1252" t="s">
        <v>62</v>
      </c>
      <c r="I1252" t="s">
        <v>63</v>
      </c>
      <c r="J1252" t="s">
        <v>63</v>
      </c>
      <c r="K1252" t="s">
        <v>4850</v>
      </c>
      <c r="L1252" t="s">
        <v>44</v>
      </c>
      <c r="M1252" t="s">
        <v>4851</v>
      </c>
      <c r="N1252">
        <v>54351</v>
      </c>
      <c r="O1252" t="s">
        <v>45</v>
      </c>
      <c r="P1252" t="s">
        <v>54</v>
      </c>
      <c r="Q1252" t="s">
        <v>100</v>
      </c>
      <c r="R1252">
        <v>1986</v>
      </c>
      <c r="S1252">
        <v>67.7</v>
      </c>
      <c r="T1252">
        <v>0</v>
      </c>
      <c r="U1252">
        <v>0</v>
      </c>
      <c r="V1252" t="s">
        <v>4852</v>
      </c>
      <c r="W1252" t="s">
        <v>4853</v>
      </c>
      <c r="X1252" t="s">
        <v>86</v>
      </c>
      <c r="Y1252" t="s">
        <v>4854</v>
      </c>
      <c r="Z1252" t="b">
        <v>0</v>
      </c>
      <c r="AA1252">
        <v>1905.4652880354499</v>
      </c>
      <c r="AN1252" t="e">
        <f>100*(1-E1252/AL1252)</f>
        <v>#DIV/0!</v>
      </c>
    </row>
    <row r="1253" spans="1:40" x14ac:dyDescent="0.3">
      <c r="A1253" t="s">
        <v>129</v>
      </c>
      <c r="B1253" t="s">
        <v>6406</v>
      </c>
      <c r="C1253" t="s">
        <v>6406</v>
      </c>
      <c r="D1253" s="4">
        <v>46078</v>
      </c>
      <c r="E1253">
        <v>131900</v>
      </c>
      <c r="F1253" t="s">
        <v>114</v>
      </c>
      <c r="G1253" t="s">
        <v>6407</v>
      </c>
      <c r="H1253" t="s">
        <v>67</v>
      </c>
      <c r="I1253" t="s">
        <v>394</v>
      </c>
      <c r="J1253" t="s">
        <v>67</v>
      </c>
      <c r="K1253" t="s">
        <v>6408</v>
      </c>
      <c r="L1253" t="s">
        <v>44</v>
      </c>
      <c r="M1253" t="s">
        <v>6409</v>
      </c>
      <c r="N1253">
        <v>17778</v>
      </c>
      <c r="O1253" t="s">
        <v>45</v>
      </c>
      <c r="P1253" t="s">
        <v>54</v>
      </c>
      <c r="Q1253" t="s">
        <v>52</v>
      </c>
      <c r="R1253">
        <v>2007</v>
      </c>
      <c r="S1253">
        <v>75</v>
      </c>
      <c r="T1253">
        <v>0</v>
      </c>
      <c r="U1253">
        <v>0</v>
      </c>
      <c r="V1253" t="s">
        <v>6410</v>
      </c>
      <c r="W1253">
        <v>75234763</v>
      </c>
      <c r="X1253" t="s">
        <v>86</v>
      </c>
      <c r="Y1253" t="s">
        <v>6411</v>
      </c>
      <c r="Z1253" t="b">
        <v>0</v>
      </c>
      <c r="AA1253">
        <v>1758.666666666667</v>
      </c>
      <c r="AN1253" t="e">
        <f>100*(1-E1253/AL1253)</f>
        <v>#DIV/0!</v>
      </c>
    </row>
    <row r="1254" spans="1:40" x14ac:dyDescent="0.3">
      <c r="A1254" t="s">
        <v>129</v>
      </c>
      <c r="B1254" t="s">
        <v>6406</v>
      </c>
      <c r="C1254" t="s">
        <v>6406</v>
      </c>
      <c r="D1254" s="4">
        <v>46078</v>
      </c>
      <c r="E1254">
        <v>131900</v>
      </c>
      <c r="F1254" t="s">
        <v>114</v>
      </c>
      <c r="G1254" t="s">
        <v>6407</v>
      </c>
      <c r="H1254" t="s">
        <v>67</v>
      </c>
      <c r="I1254" t="s">
        <v>394</v>
      </c>
      <c r="J1254" t="s">
        <v>67</v>
      </c>
      <c r="K1254" t="s">
        <v>6408</v>
      </c>
      <c r="L1254" t="s">
        <v>44</v>
      </c>
      <c r="M1254" t="s">
        <v>6409</v>
      </c>
      <c r="N1254">
        <v>17778</v>
      </c>
      <c r="O1254" t="s">
        <v>45</v>
      </c>
      <c r="P1254" t="s">
        <v>54</v>
      </c>
      <c r="Q1254" t="s">
        <v>52</v>
      </c>
      <c r="R1254">
        <v>2007</v>
      </c>
      <c r="S1254">
        <v>75</v>
      </c>
      <c r="T1254">
        <v>0</v>
      </c>
      <c r="U1254">
        <v>0</v>
      </c>
      <c r="V1254" t="s">
        <v>6410</v>
      </c>
      <c r="W1254">
        <v>75234763</v>
      </c>
      <c r="X1254" t="s">
        <v>86</v>
      </c>
      <c r="Y1254" t="s">
        <v>6411</v>
      </c>
      <c r="Z1254" t="b">
        <v>0</v>
      </c>
      <c r="AA1254">
        <v>1758.666666666667</v>
      </c>
      <c r="AN1254" t="e">
        <f>100*(1-E1254/AL1254)</f>
        <v>#DIV/0!</v>
      </c>
    </row>
    <row r="1255" spans="1:40" x14ac:dyDescent="0.3">
      <c r="A1255" t="s">
        <v>129</v>
      </c>
      <c r="B1255" t="s">
        <v>6406</v>
      </c>
      <c r="C1255" t="s">
        <v>6406</v>
      </c>
      <c r="D1255" s="4">
        <v>46078</v>
      </c>
      <c r="E1255">
        <v>131900</v>
      </c>
      <c r="F1255" t="s">
        <v>114</v>
      </c>
      <c r="G1255" t="s">
        <v>6407</v>
      </c>
      <c r="H1255" t="s">
        <v>67</v>
      </c>
      <c r="I1255" t="s">
        <v>394</v>
      </c>
      <c r="J1255" t="s">
        <v>67</v>
      </c>
      <c r="K1255" t="s">
        <v>6408</v>
      </c>
      <c r="L1255" t="s">
        <v>44</v>
      </c>
      <c r="M1255" t="s">
        <v>6409</v>
      </c>
      <c r="N1255">
        <v>17778</v>
      </c>
      <c r="O1255" t="s">
        <v>45</v>
      </c>
      <c r="P1255" t="s">
        <v>54</v>
      </c>
      <c r="Q1255" t="s">
        <v>52</v>
      </c>
      <c r="R1255">
        <v>2007</v>
      </c>
      <c r="S1255">
        <v>75</v>
      </c>
      <c r="T1255">
        <v>0</v>
      </c>
      <c r="U1255">
        <v>0</v>
      </c>
      <c r="V1255" t="s">
        <v>6410</v>
      </c>
      <c r="W1255">
        <v>75234763</v>
      </c>
      <c r="X1255" t="s">
        <v>86</v>
      </c>
      <c r="Y1255" t="s">
        <v>6411</v>
      </c>
      <c r="Z1255" t="b">
        <v>0</v>
      </c>
      <c r="AA1255">
        <v>1758.666666666667</v>
      </c>
      <c r="AN1255" t="e">
        <f>100*(1-E1255/AL1255)</f>
        <v>#DIV/0!</v>
      </c>
    </row>
    <row r="1256" spans="1:40" x14ac:dyDescent="0.3">
      <c r="A1256" t="s">
        <v>129</v>
      </c>
      <c r="B1256" t="s">
        <v>6406</v>
      </c>
      <c r="C1256" t="s">
        <v>6406</v>
      </c>
      <c r="D1256" s="4">
        <v>46078</v>
      </c>
      <c r="E1256">
        <v>131900</v>
      </c>
      <c r="F1256" t="s">
        <v>114</v>
      </c>
      <c r="G1256" t="s">
        <v>6407</v>
      </c>
      <c r="H1256" t="s">
        <v>67</v>
      </c>
      <c r="I1256" t="s">
        <v>394</v>
      </c>
      <c r="J1256" t="s">
        <v>67</v>
      </c>
      <c r="K1256" t="s">
        <v>6408</v>
      </c>
      <c r="L1256" t="s">
        <v>44</v>
      </c>
      <c r="M1256" t="s">
        <v>6409</v>
      </c>
      <c r="N1256">
        <v>17778</v>
      </c>
      <c r="O1256" t="s">
        <v>45</v>
      </c>
      <c r="P1256" t="s">
        <v>54</v>
      </c>
      <c r="Q1256" t="s">
        <v>52</v>
      </c>
      <c r="R1256">
        <v>2007</v>
      </c>
      <c r="S1256">
        <v>75</v>
      </c>
      <c r="T1256">
        <v>0</v>
      </c>
      <c r="U1256">
        <v>0</v>
      </c>
      <c r="V1256" t="s">
        <v>6410</v>
      </c>
      <c r="W1256">
        <v>75234763</v>
      </c>
      <c r="X1256" t="s">
        <v>86</v>
      </c>
      <c r="Y1256" t="s">
        <v>6411</v>
      </c>
      <c r="Z1256" t="b">
        <v>0</v>
      </c>
      <c r="AA1256">
        <v>1758.666666666667</v>
      </c>
      <c r="AN1256" t="e">
        <f>100*(1-E1256/AL1256)</f>
        <v>#DIV/0!</v>
      </c>
    </row>
    <row r="1257" spans="1:40" x14ac:dyDescent="0.3">
      <c r="A1257" t="s">
        <v>129</v>
      </c>
      <c r="B1257" t="s">
        <v>6406</v>
      </c>
      <c r="C1257" t="s">
        <v>6406</v>
      </c>
      <c r="D1257" s="4">
        <v>46078</v>
      </c>
      <c r="E1257">
        <v>131900</v>
      </c>
      <c r="F1257" t="s">
        <v>114</v>
      </c>
      <c r="G1257" t="s">
        <v>6407</v>
      </c>
      <c r="H1257" t="s">
        <v>67</v>
      </c>
      <c r="I1257" t="s">
        <v>394</v>
      </c>
      <c r="J1257" t="s">
        <v>67</v>
      </c>
      <c r="K1257" t="s">
        <v>6408</v>
      </c>
      <c r="L1257" t="s">
        <v>44</v>
      </c>
      <c r="M1257" t="s">
        <v>6409</v>
      </c>
      <c r="N1257">
        <v>17778</v>
      </c>
      <c r="O1257" t="s">
        <v>45</v>
      </c>
      <c r="P1257" t="s">
        <v>54</v>
      </c>
      <c r="Q1257" t="s">
        <v>52</v>
      </c>
      <c r="R1257">
        <v>2007</v>
      </c>
      <c r="S1257">
        <v>75</v>
      </c>
      <c r="T1257">
        <v>0</v>
      </c>
      <c r="U1257">
        <v>0</v>
      </c>
      <c r="V1257" t="s">
        <v>6410</v>
      </c>
      <c r="W1257">
        <v>75234763</v>
      </c>
      <c r="X1257" t="s">
        <v>86</v>
      </c>
      <c r="Y1257" t="s">
        <v>6411</v>
      </c>
      <c r="Z1257" t="b">
        <v>0</v>
      </c>
      <c r="AA1257">
        <v>1758.666666666667</v>
      </c>
      <c r="AN1257" t="e">
        <f>100*(1-E1257/AL1257)</f>
        <v>#DIV/0!</v>
      </c>
    </row>
    <row r="1258" spans="1:40" x14ac:dyDescent="0.3">
      <c r="A1258" t="s">
        <v>129</v>
      </c>
      <c r="B1258" t="s">
        <v>6406</v>
      </c>
      <c r="C1258" t="s">
        <v>6406</v>
      </c>
      <c r="D1258" s="4">
        <v>46078</v>
      </c>
      <c r="E1258">
        <v>131900</v>
      </c>
      <c r="F1258" t="s">
        <v>114</v>
      </c>
      <c r="G1258" t="s">
        <v>6407</v>
      </c>
      <c r="H1258" t="s">
        <v>67</v>
      </c>
      <c r="I1258" t="s">
        <v>394</v>
      </c>
      <c r="J1258" t="s">
        <v>67</v>
      </c>
      <c r="K1258" t="s">
        <v>6408</v>
      </c>
      <c r="L1258" t="s">
        <v>44</v>
      </c>
      <c r="M1258" t="s">
        <v>6409</v>
      </c>
      <c r="N1258">
        <v>17778</v>
      </c>
      <c r="O1258" t="s">
        <v>45</v>
      </c>
      <c r="P1258" t="s">
        <v>54</v>
      </c>
      <c r="Q1258" t="s">
        <v>52</v>
      </c>
      <c r="R1258">
        <v>2007</v>
      </c>
      <c r="S1258">
        <v>75</v>
      </c>
      <c r="T1258">
        <v>0</v>
      </c>
      <c r="U1258">
        <v>0</v>
      </c>
      <c r="V1258" t="s">
        <v>6410</v>
      </c>
      <c r="W1258">
        <v>75234763</v>
      </c>
      <c r="X1258" t="s">
        <v>86</v>
      </c>
      <c r="Y1258" t="s">
        <v>6411</v>
      </c>
      <c r="Z1258" t="b">
        <v>0</v>
      </c>
      <c r="AA1258">
        <v>1758.666666666667</v>
      </c>
      <c r="AN1258" t="e">
        <f>100*(1-E1258/AL1258)</f>
        <v>#DIV/0!</v>
      </c>
    </row>
    <row r="1259" spans="1:40" x14ac:dyDescent="0.3">
      <c r="A1259" t="s">
        <v>129</v>
      </c>
      <c r="B1259" t="s">
        <v>6406</v>
      </c>
      <c r="C1259" t="s">
        <v>6406</v>
      </c>
      <c r="D1259" s="4">
        <v>46078</v>
      </c>
      <c r="E1259">
        <v>131900</v>
      </c>
      <c r="F1259" t="s">
        <v>114</v>
      </c>
      <c r="G1259" t="s">
        <v>6407</v>
      </c>
      <c r="H1259" t="s">
        <v>67</v>
      </c>
      <c r="I1259" t="s">
        <v>394</v>
      </c>
      <c r="J1259" t="s">
        <v>67</v>
      </c>
      <c r="K1259" t="s">
        <v>6408</v>
      </c>
      <c r="L1259" t="s">
        <v>44</v>
      </c>
      <c r="M1259" t="s">
        <v>6409</v>
      </c>
      <c r="N1259">
        <v>17778</v>
      </c>
      <c r="O1259" t="s">
        <v>45</v>
      </c>
      <c r="P1259" t="s">
        <v>54</v>
      </c>
      <c r="Q1259" t="s">
        <v>52</v>
      </c>
      <c r="R1259">
        <v>2007</v>
      </c>
      <c r="S1259">
        <v>75</v>
      </c>
      <c r="T1259">
        <v>0</v>
      </c>
      <c r="U1259">
        <v>0</v>
      </c>
      <c r="V1259" t="s">
        <v>6410</v>
      </c>
      <c r="W1259">
        <v>75234763</v>
      </c>
      <c r="X1259" t="s">
        <v>86</v>
      </c>
      <c r="Y1259" t="s">
        <v>6411</v>
      </c>
      <c r="Z1259" t="b">
        <v>0</v>
      </c>
      <c r="AA1259">
        <v>1758.666666666667</v>
      </c>
      <c r="AN1259" t="e">
        <f>100*(1-E1259/AL1259)</f>
        <v>#DIV/0!</v>
      </c>
    </row>
    <row r="1260" spans="1:40" x14ac:dyDescent="0.3">
      <c r="A1260" t="s">
        <v>129</v>
      </c>
      <c r="B1260" t="s">
        <v>6406</v>
      </c>
      <c r="C1260" t="s">
        <v>6406</v>
      </c>
      <c r="D1260" s="4">
        <v>46078</v>
      </c>
      <c r="E1260">
        <v>131900</v>
      </c>
      <c r="F1260" t="s">
        <v>114</v>
      </c>
      <c r="G1260" t="s">
        <v>6407</v>
      </c>
      <c r="H1260" t="s">
        <v>67</v>
      </c>
      <c r="I1260" t="s">
        <v>394</v>
      </c>
      <c r="J1260" t="s">
        <v>67</v>
      </c>
      <c r="K1260" t="s">
        <v>6408</v>
      </c>
      <c r="L1260" t="s">
        <v>44</v>
      </c>
      <c r="M1260" t="s">
        <v>6409</v>
      </c>
      <c r="N1260">
        <v>17778</v>
      </c>
      <c r="O1260" t="s">
        <v>45</v>
      </c>
      <c r="P1260" t="s">
        <v>54</v>
      </c>
      <c r="Q1260" t="s">
        <v>52</v>
      </c>
      <c r="R1260">
        <v>2007</v>
      </c>
      <c r="S1260">
        <v>75</v>
      </c>
      <c r="T1260">
        <v>0</v>
      </c>
      <c r="U1260">
        <v>0</v>
      </c>
      <c r="V1260" t="s">
        <v>6410</v>
      </c>
      <c r="W1260">
        <v>75234763</v>
      </c>
      <c r="X1260" t="s">
        <v>86</v>
      </c>
      <c r="Y1260" t="s">
        <v>6411</v>
      </c>
      <c r="Z1260" t="b">
        <v>0</v>
      </c>
      <c r="AA1260">
        <v>1758.666666666667</v>
      </c>
      <c r="AN1260" t="e">
        <f>100*(1-E1260/AL1260)</f>
        <v>#DIV/0!</v>
      </c>
    </row>
    <row r="1261" spans="1:40" x14ac:dyDescent="0.3">
      <c r="A1261" t="s">
        <v>129</v>
      </c>
      <c r="B1261" t="s">
        <v>6406</v>
      </c>
      <c r="C1261" t="s">
        <v>6406</v>
      </c>
      <c r="D1261" s="4">
        <v>46078</v>
      </c>
      <c r="E1261">
        <v>131900</v>
      </c>
      <c r="F1261" t="s">
        <v>114</v>
      </c>
      <c r="G1261" t="s">
        <v>6407</v>
      </c>
      <c r="H1261" t="s">
        <v>67</v>
      </c>
      <c r="I1261" t="s">
        <v>394</v>
      </c>
      <c r="J1261" t="s">
        <v>67</v>
      </c>
      <c r="K1261" t="s">
        <v>6408</v>
      </c>
      <c r="L1261" t="s">
        <v>44</v>
      </c>
      <c r="M1261" t="s">
        <v>6409</v>
      </c>
      <c r="N1261">
        <v>17778</v>
      </c>
      <c r="O1261" t="s">
        <v>45</v>
      </c>
      <c r="P1261" t="s">
        <v>54</v>
      </c>
      <c r="Q1261" t="s">
        <v>52</v>
      </c>
      <c r="R1261">
        <v>2007</v>
      </c>
      <c r="S1261">
        <v>75</v>
      </c>
      <c r="T1261">
        <v>0</v>
      </c>
      <c r="U1261">
        <v>0</v>
      </c>
      <c r="V1261" t="s">
        <v>6410</v>
      </c>
      <c r="W1261">
        <v>75234763</v>
      </c>
      <c r="X1261" t="s">
        <v>86</v>
      </c>
      <c r="Y1261" t="s">
        <v>6411</v>
      </c>
      <c r="Z1261" t="b">
        <v>0</v>
      </c>
      <c r="AA1261">
        <v>1758.666666666667</v>
      </c>
      <c r="AN1261" t="e">
        <f>100*(1-E1261/AL1261)</f>
        <v>#DIV/0!</v>
      </c>
    </row>
    <row r="1262" spans="1:40" x14ac:dyDescent="0.3">
      <c r="A1262" t="s">
        <v>129</v>
      </c>
      <c r="B1262" t="s">
        <v>6406</v>
      </c>
      <c r="C1262" t="s">
        <v>6406</v>
      </c>
      <c r="D1262" s="4">
        <v>46078</v>
      </c>
      <c r="E1262">
        <v>131900</v>
      </c>
      <c r="F1262" t="s">
        <v>114</v>
      </c>
      <c r="G1262" t="s">
        <v>6407</v>
      </c>
      <c r="H1262" t="s">
        <v>67</v>
      </c>
      <c r="I1262" t="s">
        <v>394</v>
      </c>
      <c r="J1262" t="s">
        <v>67</v>
      </c>
      <c r="K1262" t="s">
        <v>6408</v>
      </c>
      <c r="L1262" t="s">
        <v>44</v>
      </c>
      <c r="M1262" t="s">
        <v>6409</v>
      </c>
      <c r="N1262">
        <v>17778</v>
      </c>
      <c r="O1262" t="s">
        <v>45</v>
      </c>
      <c r="P1262" t="s">
        <v>54</v>
      </c>
      <c r="Q1262" t="s">
        <v>52</v>
      </c>
      <c r="R1262">
        <v>2007</v>
      </c>
      <c r="S1262">
        <v>75</v>
      </c>
      <c r="T1262">
        <v>0</v>
      </c>
      <c r="U1262">
        <v>0</v>
      </c>
      <c r="V1262" t="s">
        <v>6410</v>
      </c>
      <c r="W1262">
        <v>75234763</v>
      </c>
      <c r="X1262" t="s">
        <v>86</v>
      </c>
      <c r="Y1262" t="s">
        <v>6411</v>
      </c>
      <c r="Z1262" t="b">
        <v>0</v>
      </c>
      <c r="AA1262">
        <v>1758.666666666667</v>
      </c>
      <c r="AN1262" t="e">
        <f>100*(1-E1262/AL1262)</f>
        <v>#DIV/0!</v>
      </c>
    </row>
    <row r="1263" spans="1:40" x14ac:dyDescent="0.3">
      <c r="A1263" t="s">
        <v>411</v>
      </c>
      <c r="B1263" t="s">
        <v>6498</v>
      </c>
      <c r="C1263" t="s">
        <v>6498</v>
      </c>
      <c r="D1263" s="4">
        <v>46078</v>
      </c>
      <c r="E1263">
        <v>316466</v>
      </c>
      <c r="F1263" t="s">
        <v>6499</v>
      </c>
      <c r="G1263" t="s">
        <v>143</v>
      </c>
      <c r="H1263" t="s">
        <v>41</v>
      </c>
      <c r="I1263" t="s">
        <v>144</v>
      </c>
      <c r="J1263" t="s">
        <v>145</v>
      </c>
      <c r="K1263" t="s">
        <v>6500</v>
      </c>
      <c r="L1263" t="s">
        <v>44</v>
      </c>
      <c r="M1263" t="s">
        <v>6004</v>
      </c>
      <c r="N1263">
        <v>45500</v>
      </c>
      <c r="O1263" t="s">
        <v>45</v>
      </c>
      <c r="P1263" t="s">
        <v>182</v>
      </c>
      <c r="Q1263" t="s">
        <v>55</v>
      </c>
      <c r="R1263">
        <v>2008</v>
      </c>
      <c r="S1263">
        <v>265.08999999999997</v>
      </c>
      <c r="T1263">
        <v>0</v>
      </c>
      <c r="U1263">
        <v>0</v>
      </c>
      <c r="V1263" t="s">
        <v>6501</v>
      </c>
      <c r="W1263">
        <v>74126023</v>
      </c>
      <c r="X1263" t="s">
        <v>86</v>
      </c>
      <c r="Y1263" t="s">
        <v>6502</v>
      </c>
      <c r="Z1263" t="b">
        <v>0</v>
      </c>
      <c r="AA1263">
        <v>1193.8058772492359</v>
      </c>
      <c r="AN1263" t="e">
        <f>100*(1-E1263/AL1263)</f>
        <v>#DIV/0!</v>
      </c>
    </row>
    <row r="1264" spans="1:40" x14ac:dyDescent="0.3">
      <c r="A1264" t="s">
        <v>166</v>
      </c>
      <c r="B1264" t="s">
        <v>3381</v>
      </c>
      <c r="C1264" t="s">
        <v>3381</v>
      </c>
      <c r="D1264" s="4">
        <v>46080</v>
      </c>
      <c r="E1264">
        <v>100000</v>
      </c>
      <c r="F1264" t="s">
        <v>3382</v>
      </c>
      <c r="G1264" t="s">
        <v>298</v>
      </c>
      <c r="H1264" t="s">
        <v>67</v>
      </c>
      <c r="I1264" t="s">
        <v>299</v>
      </c>
      <c r="J1264" t="s">
        <v>67</v>
      </c>
      <c r="K1264" t="s">
        <v>3383</v>
      </c>
      <c r="L1264" t="s">
        <v>44</v>
      </c>
      <c r="M1264" t="s">
        <v>3384</v>
      </c>
      <c r="N1264">
        <v>13122</v>
      </c>
      <c r="O1264" t="s">
        <v>45</v>
      </c>
      <c r="P1264" t="s">
        <v>54</v>
      </c>
      <c r="Q1264" t="s">
        <v>52</v>
      </c>
      <c r="R1264">
        <v>0</v>
      </c>
      <c r="S1264">
        <v>54.2</v>
      </c>
      <c r="T1264">
        <v>0</v>
      </c>
      <c r="U1264">
        <v>0</v>
      </c>
      <c r="V1264" t="s">
        <v>3385</v>
      </c>
      <c r="W1264">
        <v>30099528</v>
      </c>
      <c r="X1264" t="s">
        <v>86</v>
      </c>
      <c r="Y1264" t="s">
        <v>3386</v>
      </c>
      <c r="Z1264" t="b">
        <v>0</v>
      </c>
      <c r="AA1264">
        <v>1845.0184501845019</v>
      </c>
      <c r="AN1264" t="e">
        <f>100*(1-E1264/AL1264)</f>
        <v>#DIV/0!</v>
      </c>
    </row>
    <row r="1265" spans="1:40" x14ac:dyDescent="0.3">
      <c r="A1265" t="s">
        <v>166</v>
      </c>
      <c r="B1265" t="s">
        <v>3381</v>
      </c>
      <c r="C1265" t="s">
        <v>3381</v>
      </c>
      <c r="D1265" s="4">
        <v>46080</v>
      </c>
      <c r="E1265">
        <v>100000</v>
      </c>
      <c r="F1265" t="s">
        <v>3382</v>
      </c>
      <c r="G1265" t="s">
        <v>298</v>
      </c>
      <c r="H1265" t="s">
        <v>67</v>
      </c>
      <c r="I1265" t="s">
        <v>299</v>
      </c>
      <c r="J1265" t="s">
        <v>67</v>
      </c>
      <c r="K1265" t="s">
        <v>3383</v>
      </c>
      <c r="L1265" t="s">
        <v>44</v>
      </c>
      <c r="M1265" t="s">
        <v>3384</v>
      </c>
      <c r="N1265">
        <v>13122</v>
      </c>
      <c r="O1265" t="s">
        <v>45</v>
      </c>
      <c r="P1265" t="s">
        <v>54</v>
      </c>
      <c r="Q1265" t="s">
        <v>52</v>
      </c>
      <c r="R1265">
        <v>0</v>
      </c>
      <c r="S1265">
        <v>54.2</v>
      </c>
      <c r="T1265">
        <v>0</v>
      </c>
      <c r="U1265">
        <v>0</v>
      </c>
      <c r="V1265" t="s">
        <v>3385</v>
      </c>
      <c r="W1265">
        <v>30099528</v>
      </c>
      <c r="X1265" t="s">
        <v>86</v>
      </c>
      <c r="Y1265" t="s">
        <v>3386</v>
      </c>
      <c r="Z1265" t="b">
        <v>0</v>
      </c>
      <c r="AA1265">
        <v>1845.0184501845019</v>
      </c>
      <c r="AN1265" t="e">
        <f>100*(1-E1265/AL1265)</f>
        <v>#DIV/0!</v>
      </c>
    </row>
    <row r="1266" spans="1:40" x14ac:dyDescent="0.3">
      <c r="A1266" t="s">
        <v>71</v>
      </c>
      <c r="B1266" t="s">
        <v>3387</v>
      </c>
      <c r="C1266" t="s">
        <v>3387</v>
      </c>
      <c r="D1266" s="4">
        <v>46080</v>
      </c>
      <c r="E1266">
        <v>83000</v>
      </c>
      <c r="F1266" t="s">
        <v>3388</v>
      </c>
      <c r="G1266" t="s">
        <v>115</v>
      </c>
      <c r="H1266" t="s">
        <v>67</v>
      </c>
      <c r="I1266" t="s">
        <v>116</v>
      </c>
      <c r="J1266" t="s">
        <v>67</v>
      </c>
      <c r="K1266" t="s">
        <v>3389</v>
      </c>
      <c r="L1266" t="s">
        <v>44</v>
      </c>
      <c r="M1266" t="s">
        <v>3390</v>
      </c>
      <c r="N1266">
        <v>11632</v>
      </c>
      <c r="O1266" t="s">
        <v>45</v>
      </c>
      <c r="P1266" t="s">
        <v>54</v>
      </c>
      <c r="Q1266" t="s">
        <v>291</v>
      </c>
      <c r="R1266">
        <v>0</v>
      </c>
      <c r="S1266">
        <v>99</v>
      </c>
      <c r="T1266" t="s">
        <v>48</v>
      </c>
      <c r="U1266">
        <v>50</v>
      </c>
      <c r="V1266" t="s">
        <v>3391</v>
      </c>
      <c r="W1266">
        <v>23362277</v>
      </c>
      <c r="X1266" t="s">
        <v>86</v>
      </c>
      <c r="Y1266" t="s">
        <v>3392</v>
      </c>
      <c r="Z1266" t="b">
        <v>0</v>
      </c>
      <c r="AA1266">
        <v>838.38383838383834</v>
      </c>
      <c r="AN1266" t="e">
        <f>100*(1-E1266/AL1266)</f>
        <v>#DIV/0!</v>
      </c>
    </row>
    <row r="1267" spans="1:40" x14ac:dyDescent="0.3">
      <c r="A1267" t="s">
        <v>71</v>
      </c>
      <c r="B1267" t="s">
        <v>3393</v>
      </c>
      <c r="C1267" t="s">
        <v>3393</v>
      </c>
      <c r="D1267" s="4">
        <v>46080</v>
      </c>
      <c r="E1267">
        <v>135000</v>
      </c>
      <c r="F1267" t="s">
        <v>140</v>
      </c>
      <c r="G1267" t="s">
        <v>115</v>
      </c>
      <c r="H1267" t="s">
        <v>67</v>
      </c>
      <c r="I1267" t="s">
        <v>116</v>
      </c>
      <c r="J1267" t="s">
        <v>67</v>
      </c>
      <c r="K1267" t="s">
        <v>3394</v>
      </c>
      <c r="L1267" t="s">
        <v>44</v>
      </c>
      <c r="M1267" t="s">
        <v>3395</v>
      </c>
      <c r="N1267">
        <v>11633</v>
      </c>
      <c r="O1267" t="s">
        <v>45</v>
      </c>
      <c r="P1267" t="s">
        <v>54</v>
      </c>
      <c r="Q1267" t="s">
        <v>55</v>
      </c>
      <c r="R1267">
        <v>0</v>
      </c>
      <c r="S1267">
        <v>106.86</v>
      </c>
      <c r="T1267">
        <v>0</v>
      </c>
      <c r="U1267">
        <v>0</v>
      </c>
      <c r="V1267" t="s">
        <v>3396</v>
      </c>
      <c r="W1267">
        <v>28063266</v>
      </c>
      <c r="X1267" t="s">
        <v>86</v>
      </c>
      <c r="Y1267" t="s">
        <v>3397</v>
      </c>
      <c r="Z1267" t="b">
        <v>0</v>
      </c>
      <c r="AA1267">
        <v>1263.3352049410439</v>
      </c>
      <c r="AN1267" t="e">
        <f>100*(1-E1267/AL1267)</f>
        <v>#DIV/0!</v>
      </c>
    </row>
    <row r="1268" spans="1:40" x14ac:dyDescent="0.3">
      <c r="A1268" t="s">
        <v>71</v>
      </c>
      <c r="B1268" t="s">
        <v>3393</v>
      </c>
      <c r="C1268" t="s">
        <v>3393</v>
      </c>
      <c r="D1268" s="4">
        <v>46080</v>
      </c>
      <c r="E1268">
        <v>135000</v>
      </c>
      <c r="F1268" t="s">
        <v>140</v>
      </c>
      <c r="G1268" t="s">
        <v>115</v>
      </c>
      <c r="H1268" t="s">
        <v>67</v>
      </c>
      <c r="I1268" t="s">
        <v>116</v>
      </c>
      <c r="J1268" t="s">
        <v>67</v>
      </c>
      <c r="K1268" t="s">
        <v>3394</v>
      </c>
      <c r="L1268" t="s">
        <v>44</v>
      </c>
      <c r="M1268" t="s">
        <v>3395</v>
      </c>
      <c r="N1268">
        <v>11633</v>
      </c>
      <c r="O1268" t="s">
        <v>45</v>
      </c>
      <c r="P1268" t="s">
        <v>54</v>
      </c>
      <c r="Q1268" t="s">
        <v>55</v>
      </c>
      <c r="R1268">
        <v>0</v>
      </c>
      <c r="S1268">
        <v>106.86</v>
      </c>
      <c r="T1268">
        <v>0</v>
      </c>
      <c r="U1268">
        <v>0</v>
      </c>
      <c r="V1268" t="s">
        <v>3396</v>
      </c>
      <c r="W1268">
        <v>28063266</v>
      </c>
      <c r="X1268" t="s">
        <v>86</v>
      </c>
      <c r="Y1268" t="s">
        <v>3397</v>
      </c>
      <c r="Z1268" t="b">
        <v>0</v>
      </c>
      <c r="AA1268">
        <v>1263.3352049410439</v>
      </c>
      <c r="AN1268" t="e">
        <f>100*(1-E1268/AL1268)</f>
        <v>#DIV/0!</v>
      </c>
    </row>
    <row r="1269" spans="1:40" x14ac:dyDescent="0.3">
      <c r="A1269" t="s">
        <v>71</v>
      </c>
      <c r="B1269" t="s">
        <v>3398</v>
      </c>
      <c r="C1269" t="s">
        <v>3399</v>
      </c>
      <c r="D1269" s="4">
        <v>46085</v>
      </c>
      <c r="E1269">
        <v>163000</v>
      </c>
      <c r="F1269" t="s">
        <v>3400</v>
      </c>
      <c r="G1269" t="s">
        <v>308</v>
      </c>
      <c r="H1269" t="s">
        <v>67</v>
      </c>
      <c r="I1269" t="s">
        <v>309</v>
      </c>
      <c r="J1269" t="s">
        <v>67</v>
      </c>
      <c r="K1269" t="s">
        <v>3401</v>
      </c>
      <c r="L1269" t="s">
        <v>44</v>
      </c>
      <c r="M1269" t="s">
        <v>3402</v>
      </c>
      <c r="N1269">
        <v>17456</v>
      </c>
      <c r="O1269" t="s">
        <v>45</v>
      </c>
      <c r="P1269" t="s">
        <v>54</v>
      </c>
      <c r="Q1269" t="s">
        <v>55</v>
      </c>
      <c r="R1269">
        <v>0</v>
      </c>
      <c r="S1269">
        <v>48.11</v>
      </c>
      <c r="T1269">
        <v>0</v>
      </c>
      <c r="U1269">
        <v>0</v>
      </c>
      <c r="V1269" t="s">
        <v>3403</v>
      </c>
      <c r="W1269">
        <v>52821788</v>
      </c>
      <c r="X1269" t="s">
        <v>49</v>
      </c>
      <c r="Y1269" t="s">
        <v>3404</v>
      </c>
      <c r="Z1269" t="b">
        <v>0</v>
      </c>
      <c r="AA1269">
        <v>3388.0690085221372</v>
      </c>
      <c r="AN1269" t="e">
        <f>100*(1-E1269/AL1269)</f>
        <v>#DIV/0!</v>
      </c>
    </row>
    <row r="1270" spans="1:40" x14ac:dyDescent="0.3">
      <c r="A1270" t="s">
        <v>71</v>
      </c>
      <c r="B1270" t="s">
        <v>3405</v>
      </c>
      <c r="C1270" t="s">
        <v>3399</v>
      </c>
      <c r="D1270" s="4">
        <v>46085</v>
      </c>
      <c r="E1270">
        <v>1000</v>
      </c>
      <c r="F1270" t="s">
        <v>3406</v>
      </c>
      <c r="G1270" t="s">
        <v>308</v>
      </c>
      <c r="H1270" t="s">
        <v>67</v>
      </c>
      <c r="I1270" t="s">
        <v>309</v>
      </c>
      <c r="J1270" t="s">
        <v>67</v>
      </c>
      <c r="K1270" t="s">
        <v>3401</v>
      </c>
      <c r="L1270" t="s">
        <v>44</v>
      </c>
      <c r="M1270" t="s">
        <v>3402</v>
      </c>
      <c r="N1270">
        <v>17456</v>
      </c>
      <c r="O1270" t="s">
        <v>45</v>
      </c>
      <c r="P1270" t="s">
        <v>46</v>
      </c>
      <c r="Q1270" t="s">
        <v>47</v>
      </c>
      <c r="R1270">
        <v>0</v>
      </c>
      <c r="S1270">
        <v>2.06</v>
      </c>
      <c r="T1270">
        <v>0</v>
      </c>
      <c r="U1270">
        <v>0</v>
      </c>
      <c r="V1270" t="s">
        <v>3403</v>
      </c>
      <c r="W1270">
        <v>52821788</v>
      </c>
      <c r="X1270" t="s">
        <v>49</v>
      </c>
      <c r="Y1270" t="s">
        <v>3407</v>
      </c>
      <c r="Z1270" t="b">
        <v>0</v>
      </c>
      <c r="AA1270">
        <v>485.43689320388353</v>
      </c>
      <c r="AN1270" t="e">
        <f>100*(1-E1270/AL1270)</f>
        <v>#DIV/0!</v>
      </c>
    </row>
    <row r="1271" spans="1:40" x14ac:dyDescent="0.3">
      <c r="A1271" t="s">
        <v>213</v>
      </c>
      <c r="B1271" t="s">
        <v>3408</v>
      </c>
      <c r="C1271" t="s">
        <v>3408</v>
      </c>
      <c r="D1271" s="4">
        <v>46085</v>
      </c>
      <c r="E1271">
        <v>122000</v>
      </c>
      <c r="F1271" t="s">
        <v>3409</v>
      </c>
      <c r="G1271" t="s">
        <v>3410</v>
      </c>
      <c r="H1271" t="s">
        <v>67</v>
      </c>
      <c r="I1271" t="s">
        <v>3411</v>
      </c>
      <c r="J1271" t="s">
        <v>67</v>
      </c>
      <c r="K1271" t="s">
        <v>3412</v>
      </c>
      <c r="L1271" t="s">
        <v>44</v>
      </c>
      <c r="M1271" t="s">
        <v>3413</v>
      </c>
      <c r="N1271">
        <v>19005</v>
      </c>
      <c r="O1271" t="s">
        <v>50</v>
      </c>
      <c r="P1271" t="s">
        <v>51</v>
      </c>
      <c r="Q1271" t="s">
        <v>52</v>
      </c>
      <c r="R1271">
        <v>0</v>
      </c>
      <c r="S1271">
        <v>84.48</v>
      </c>
      <c r="T1271">
        <v>0</v>
      </c>
      <c r="U1271">
        <v>0</v>
      </c>
      <c r="V1271" t="s">
        <v>3414</v>
      </c>
      <c r="W1271">
        <v>36626018</v>
      </c>
      <c r="X1271" t="s">
        <v>86</v>
      </c>
      <c r="Y1271" t="s">
        <v>3415</v>
      </c>
      <c r="Z1271" t="b">
        <v>0</v>
      </c>
      <c r="AA1271">
        <v>1444.128787878788</v>
      </c>
      <c r="AN1271" t="e">
        <f>100*(1-E1271/AL1271)</f>
        <v>#DIV/0!</v>
      </c>
    </row>
    <row r="1272" spans="1:40" x14ac:dyDescent="0.3">
      <c r="A1272" t="s">
        <v>59</v>
      </c>
      <c r="B1272" t="s">
        <v>3416</v>
      </c>
      <c r="C1272" t="s">
        <v>3416</v>
      </c>
      <c r="D1272" s="4">
        <v>46085</v>
      </c>
      <c r="E1272">
        <v>13700</v>
      </c>
      <c r="F1272" t="s">
        <v>3417</v>
      </c>
      <c r="G1272" t="s">
        <v>131</v>
      </c>
      <c r="H1272" t="s">
        <v>67</v>
      </c>
      <c r="I1272" t="s">
        <v>132</v>
      </c>
      <c r="J1272" t="s">
        <v>67</v>
      </c>
      <c r="K1272" t="s">
        <v>3418</v>
      </c>
      <c r="L1272" t="s">
        <v>44</v>
      </c>
      <c r="M1272" t="s">
        <v>3419</v>
      </c>
      <c r="N1272">
        <v>14451</v>
      </c>
      <c r="O1272" t="s">
        <v>45</v>
      </c>
      <c r="P1272" t="s">
        <v>56</v>
      </c>
      <c r="Q1272">
        <v>0</v>
      </c>
      <c r="R1272">
        <v>0</v>
      </c>
      <c r="S1272">
        <v>0</v>
      </c>
      <c r="T1272" t="s">
        <v>92</v>
      </c>
      <c r="U1272">
        <v>100</v>
      </c>
      <c r="V1272" t="s">
        <v>3420</v>
      </c>
      <c r="W1272">
        <v>22748404</v>
      </c>
      <c r="X1272" t="s">
        <v>86</v>
      </c>
      <c r="Y1272" t="s">
        <v>3421</v>
      </c>
      <c r="Z1272" t="b">
        <v>0</v>
      </c>
      <c r="AA1272" t="s">
        <v>58</v>
      </c>
      <c r="AN1272" t="e">
        <f>100*(1-E1272/AL1272)</f>
        <v>#DIV/0!</v>
      </c>
    </row>
    <row r="1273" spans="1:40" x14ac:dyDescent="0.3">
      <c r="A1273" t="s">
        <v>59</v>
      </c>
      <c r="B1273" t="s">
        <v>3416</v>
      </c>
      <c r="C1273" t="s">
        <v>3416</v>
      </c>
      <c r="D1273" s="4">
        <v>46085</v>
      </c>
      <c r="E1273">
        <v>13700</v>
      </c>
      <c r="F1273" t="s">
        <v>3417</v>
      </c>
      <c r="G1273" t="s">
        <v>131</v>
      </c>
      <c r="H1273" t="s">
        <v>67</v>
      </c>
      <c r="I1273" t="s">
        <v>132</v>
      </c>
      <c r="J1273" t="s">
        <v>67</v>
      </c>
      <c r="K1273" t="s">
        <v>3418</v>
      </c>
      <c r="L1273" t="s">
        <v>44</v>
      </c>
      <c r="M1273" t="s">
        <v>3419</v>
      </c>
      <c r="N1273">
        <v>14451</v>
      </c>
      <c r="O1273" t="s">
        <v>45</v>
      </c>
      <c r="P1273" t="s">
        <v>56</v>
      </c>
      <c r="Q1273">
        <v>0</v>
      </c>
      <c r="R1273">
        <v>0</v>
      </c>
      <c r="S1273">
        <v>0</v>
      </c>
      <c r="T1273" t="s">
        <v>92</v>
      </c>
      <c r="U1273">
        <v>100</v>
      </c>
      <c r="V1273" t="s">
        <v>3420</v>
      </c>
      <c r="W1273">
        <v>22748404</v>
      </c>
      <c r="X1273" t="s">
        <v>86</v>
      </c>
      <c r="Y1273" t="s">
        <v>3421</v>
      </c>
      <c r="Z1273" t="b">
        <v>0</v>
      </c>
      <c r="AA1273" t="s">
        <v>58</v>
      </c>
      <c r="AN1273" t="e">
        <f>100*(1-E1273/AL1273)</f>
        <v>#DIV/0!</v>
      </c>
    </row>
    <row r="1274" spans="1:40" x14ac:dyDescent="0.3">
      <c r="A1274" t="s">
        <v>59</v>
      </c>
      <c r="B1274" t="s">
        <v>3416</v>
      </c>
      <c r="C1274" t="s">
        <v>3416</v>
      </c>
      <c r="D1274" s="4">
        <v>46085</v>
      </c>
      <c r="E1274">
        <v>13700</v>
      </c>
      <c r="F1274" t="s">
        <v>3417</v>
      </c>
      <c r="G1274" t="s">
        <v>131</v>
      </c>
      <c r="H1274" t="s">
        <v>67</v>
      </c>
      <c r="I1274" t="s">
        <v>132</v>
      </c>
      <c r="J1274" t="s">
        <v>67</v>
      </c>
      <c r="K1274" t="s">
        <v>3418</v>
      </c>
      <c r="L1274" t="s">
        <v>44</v>
      </c>
      <c r="M1274" t="s">
        <v>3419</v>
      </c>
      <c r="N1274">
        <v>14451</v>
      </c>
      <c r="O1274" t="s">
        <v>45</v>
      </c>
      <c r="P1274" t="s">
        <v>56</v>
      </c>
      <c r="Q1274">
        <v>0</v>
      </c>
      <c r="R1274">
        <v>0</v>
      </c>
      <c r="S1274">
        <v>0</v>
      </c>
      <c r="T1274" t="s">
        <v>92</v>
      </c>
      <c r="U1274">
        <v>100</v>
      </c>
      <c r="V1274" t="s">
        <v>3420</v>
      </c>
      <c r="W1274">
        <v>22748404</v>
      </c>
      <c r="X1274" t="s">
        <v>86</v>
      </c>
      <c r="Y1274" t="s">
        <v>3421</v>
      </c>
      <c r="Z1274" t="b">
        <v>0</v>
      </c>
      <c r="AA1274" t="s">
        <v>58</v>
      </c>
      <c r="AN1274" t="e">
        <f>100*(1-E1274/AL1274)</f>
        <v>#DIV/0!</v>
      </c>
    </row>
    <row r="1275" spans="1:40" x14ac:dyDescent="0.3">
      <c r="A1275" t="s">
        <v>59</v>
      </c>
      <c r="B1275" t="s">
        <v>3416</v>
      </c>
      <c r="C1275" t="s">
        <v>3416</v>
      </c>
      <c r="D1275" s="4">
        <v>46085</v>
      </c>
      <c r="E1275">
        <v>13700</v>
      </c>
      <c r="F1275" t="s">
        <v>3417</v>
      </c>
      <c r="G1275" t="s">
        <v>131</v>
      </c>
      <c r="H1275" t="s">
        <v>67</v>
      </c>
      <c r="I1275" t="s">
        <v>132</v>
      </c>
      <c r="J1275" t="s">
        <v>67</v>
      </c>
      <c r="K1275" t="s">
        <v>3418</v>
      </c>
      <c r="L1275" t="s">
        <v>44</v>
      </c>
      <c r="M1275" t="s">
        <v>3419</v>
      </c>
      <c r="N1275">
        <v>14451</v>
      </c>
      <c r="O1275" t="s">
        <v>45</v>
      </c>
      <c r="P1275" t="s">
        <v>56</v>
      </c>
      <c r="Q1275">
        <v>0</v>
      </c>
      <c r="R1275">
        <v>0</v>
      </c>
      <c r="S1275">
        <v>0</v>
      </c>
      <c r="T1275" t="s">
        <v>92</v>
      </c>
      <c r="U1275">
        <v>100</v>
      </c>
      <c r="V1275" t="s">
        <v>3420</v>
      </c>
      <c r="W1275">
        <v>22748404</v>
      </c>
      <c r="X1275" t="s">
        <v>86</v>
      </c>
      <c r="Y1275" t="s">
        <v>3421</v>
      </c>
      <c r="Z1275" t="b">
        <v>0</v>
      </c>
      <c r="AA1275" t="s">
        <v>58</v>
      </c>
      <c r="AN1275" t="e">
        <f>100*(1-E1275/AL1275)</f>
        <v>#DIV/0!</v>
      </c>
    </row>
    <row r="1276" spans="1:40" x14ac:dyDescent="0.3">
      <c r="A1276" t="s">
        <v>59</v>
      </c>
      <c r="B1276" t="s">
        <v>3416</v>
      </c>
      <c r="C1276" t="s">
        <v>3416</v>
      </c>
      <c r="D1276" s="4">
        <v>46085</v>
      </c>
      <c r="E1276">
        <v>13700</v>
      </c>
      <c r="F1276" t="s">
        <v>3417</v>
      </c>
      <c r="G1276" t="s">
        <v>131</v>
      </c>
      <c r="H1276" t="s">
        <v>67</v>
      </c>
      <c r="I1276" t="s">
        <v>132</v>
      </c>
      <c r="J1276" t="s">
        <v>67</v>
      </c>
      <c r="K1276" t="s">
        <v>3418</v>
      </c>
      <c r="L1276" t="s">
        <v>44</v>
      </c>
      <c r="M1276" t="s">
        <v>3419</v>
      </c>
      <c r="N1276">
        <v>14451</v>
      </c>
      <c r="O1276" t="s">
        <v>45</v>
      </c>
      <c r="P1276" t="s">
        <v>56</v>
      </c>
      <c r="Q1276">
        <v>0</v>
      </c>
      <c r="R1276">
        <v>0</v>
      </c>
      <c r="S1276">
        <v>0</v>
      </c>
      <c r="T1276" t="s">
        <v>92</v>
      </c>
      <c r="U1276">
        <v>100</v>
      </c>
      <c r="V1276" t="s">
        <v>3420</v>
      </c>
      <c r="W1276">
        <v>22748404</v>
      </c>
      <c r="X1276" t="s">
        <v>86</v>
      </c>
      <c r="Y1276" t="s">
        <v>3421</v>
      </c>
      <c r="Z1276" t="b">
        <v>0</v>
      </c>
      <c r="AA1276" t="s">
        <v>58</v>
      </c>
      <c r="AN1276" t="e">
        <f>100*(1-E1276/AL1276)</f>
        <v>#DIV/0!</v>
      </c>
    </row>
    <row r="1277" spans="1:40" x14ac:dyDescent="0.3">
      <c r="A1277" t="s">
        <v>59</v>
      </c>
      <c r="B1277" t="s">
        <v>3422</v>
      </c>
      <c r="C1277" t="s">
        <v>3422</v>
      </c>
      <c r="D1277" s="4">
        <v>46085</v>
      </c>
      <c r="E1277">
        <v>537000</v>
      </c>
      <c r="F1277" t="s">
        <v>3423</v>
      </c>
      <c r="G1277" t="s">
        <v>194</v>
      </c>
      <c r="H1277" t="s">
        <v>67</v>
      </c>
      <c r="I1277" t="s">
        <v>195</v>
      </c>
      <c r="J1277" t="s">
        <v>67</v>
      </c>
      <c r="K1277" t="s">
        <v>3424</v>
      </c>
      <c r="L1277" t="s">
        <v>44</v>
      </c>
      <c r="M1277" t="s">
        <v>3425</v>
      </c>
      <c r="N1277">
        <v>18533</v>
      </c>
      <c r="O1277" t="s">
        <v>45</v>
      </c>
      <c r="P1277" t="s">
        <v>81</v>
      </c>
      <c r="Q1277" t="s">
        <v>55</v>
      </c>
      <c r="R1277">
        <v>0</v>
      </c>
      <c r="S1277">
        <v>302.16000000000003</v>
      </c>
      <c r="T1277">
        <v>0</v>
      </c>
      <c r="U1277">
        <v>0</v>
      </c>
      <c r="V1277" t="s">
        <v>3426</v>
      </c>
      <c r="W1277" t="s">
        <v>3427</v>
      </c>
      <c r="X1277" t="s">
        <v>49</v>
      </c>
      <c r="Y1277" t="s">
        <v>3428</v>
      </c>
      <c r="Z1277" t="b">
        <v>0</v>
      </c>
      <c r="AA1277">
        <v>1777.204130262113</v>
      </c>
      <c r="AN1277" t="e">
        <f>100*(1-E1277/AL1277)</f>
        <v>#DIV/0!</v>
      </c>
    </row>
    <row r="1278" spans="1:40" x14ac:dyDescent="0.3">
      <c r="A1278" t="s">
        <v>150</v>
      </c>
      <c r="B1278" t="s">
        <v>3715</v>
      </c>
      <c r="C1278" t="s">
        <v>3715</v>
      </c>
      <c r="D1278" s="4">
        <v>46085</v>
      </c>
      <c r="E1278">
        <v>32000</v>
      </c>
      <c r="F1278" t="s">
        <v>344</v>
      </c>
      <c r="G1278" t="s">
        <v>2026</v>
      </c>
      <c r="H1278" t="s">
        <v>94</v>
      </c>
      <c r="I1278" t="s">
        <v>2027</v>
      </c>
      <c r="J1278" t="s">
        <v>96</v>
      </c>
      <c r="K1278" t="s">
        <v>3716</v>
      </c>
      <c r="L1278" t="s">
        <v>44</v>
      </c>
      <c r="M1278" t="s">
        <v>3717</v>
      </c>
      <c r="N1278">
        <v>71201</v>
      </c>
      <c r="O1278" t="s">
        <v>50</v>
      </c>
      <c r="P1278" t="s">
        <v>176</v>
      </c>
      <c r="Q1278" t="s">
        <v>100</v>
      </c>
      <c r="R1278">
        <v>1968</v>
      </c>
      <c r="S1278">
        <v>20</v>
      </c>
      <c r="T1278">
        <v>0</v>
      </c>
      <c r="U1278">
        <v>0</v>
      </c>
      <c r="V1278" t="s">
        <v>3718</v>
      </c>
      <c r="W1278">
        <v>42715230</v>
      </c>
      <c r="X1278" t="s">
        <v>86</v>
      </c>
      <c r="Y1278" t="s">
        <v>3719</v>
      </c>
      <c r="Z1278" t="b">
        <v>0</v>
      </c>
      <c r="AA1278">
        <v>1600</v>
      </c>
      <c r="AN1278" t="e">
        <f>100*(1-E1278/AL1278)</f>
        <v>#DIV/0!</v>
      </c>
    </row>
    <row r="1279" spans="1:40" x14ac:dyDescent="0.3">
      <c r="A1279" t="s">
        <v>150</v>
      </c>
      <c r="B1279" t="s">
        <v>4327</v>
      </c>
      <c r="C1279" t="s">
        <v>4327</v>
      </c>
      <c r="D1279" s="4">
        <v>46085</v>
      </c>
      <c r="E1279">
        <v>74000</v>
      </c>
      <c r="F1279" t="s">
        <v>167</v>
      </c>
      <c r="G1279" t="s">
        <v>106</v>
      </c>
      <c r="H1279" t="s">
        <v>62</v>
      </c>
      <c r="I1279" t="s">
        <v>107</v>
      </c>
      <c r="J1279" t="s">
        <v>108</v>
      </c>
      <c r="K1279" t="s">
        <v>4328</v>
      </c>
      <c r="L1279" t="s">
        <v>44</v>
      </c>
      <c r="M1279" t="s">
        <v>4329</v>
      </c>
      <c r="N1279">
        <v>59132</v>
      </c>
      <c r="O1279" t="s">
        <v>45</v>
      </c>
      <c r="P1279" t="s">
        <v>54</v>
      </c>
      <c r="Q1279" t="s">
        <v>100</v>
      </c>
      <c r="R1279">
        <v>1979</v>
      </c>
      <c r="S1279">
        <v>79.5</v>
      </c>
      <c r="T1279">
        <v>0</v>
      </c>
      <c r="U1279">
        <v>0</v>
      </c>
      <c r="V1279" t="s">
        <v>4330</v>
      </c>
      <c r="W1279">
        <v>62688956</v>
      </c>
      <c r="X1279" t="s">
        <v>86</v>
      </c>
      <c r="Y1279" t="s">
        <v>4331</v>
      </c>
      <c r="Z1279" t="b">
        <v>0</v>
      </c>
      <c r="AA1279">
        <v>930.8176100628931</v>
      </c>
      <c r="AN1279" t="e">
        <f>100*(1-E1279/AL1279)</f>
        <v>#DIV/0!</v>
      </c>
    </row>
    <row r="1280" spans="1:40" x14ac:dyDescent="0.3">
      <c r="A1280" t="s">
        <v>71</v>
      </c>
      <c r="B1280" t="s">
        <v>6412</v>
      </c>
      <c r="C1280" t="s">
        <v>6412</v>
      </c>
      <c r="D1280" s="4">
        <v>46085</v>
      </c>
      <c r="E1280">
        <v>35500</v>
      </c>
      <c r="F1280" t="s">
        <v>6413</v>
      </c>
      <c r="G1280" t="s">
        <v>170</v>
      </c>
      <c r="H1280" t="s">
        <v>152</v>
      </c>
      <c r="I1280" t="s">
        <v>171</v>
      </c>
      <c r="J1280" t="s">
        <v>172</v>
      </c>
      <c r="K1280" t="s">
        <v>6414</v>
      </c>
      <c r="L1280" t="s">
        <v>44</v>
      </c>
      <c r="M1280" t="s">
        <v>6415</v>
      </c>
      <c r="N1280">
        <v>21100</v>
      </c>
      <c r="O1280" t="s">
        <v>45</v>
      </c>
      <c r="P1280" t="s">
        <v>54</v>
      </c>
      <c r="Q1280" t="s">
        <v>52</v>
      </c>
      <c r="R1280">
        <v>2007</v>
      </c>
      <c r="S1280">
        <v>38.5</v>
      </c>
      <c r="T1280" t="s">
        <v>48</v>
      </c>
      <c r="U1280">
        <v>50</v>
      </c>
      <c r="V1280" t="s">
        <v>6416</v>
      </c>
      <c r="W1280">
        <v>36821776</v>
      </c>
      <c r="X1280" t="s">
        <v>86</v>
      </c>
      <c r="Y1280" t="s">
        <v>6417</v>
      </c>
      <c r="Z1280" t="b">
        <v>0</v>
      </c>
      <c r="AA1280">
        <v>922.07792207792204</v>
      </c>
      <c r="AN1280" t="e">
        <f>100*(1-E1280/AL1280)</f>
        <v>#DIV/0!</v>
      </c>
    </row>
    <row r="1281" spans="1:40" x14ac:dyDescent="0.3">
      <c r="A1281" t="s">
        <v>71</v>
      </c>
      <c r="B1281" t="s">
        <v>6412</v>
      </c>
      <c r="C1281" t="s">
        <v>6412</v>
      </c>
      <c r="D1281" s="4">
        <v>46085</v>
      </c>
      <c r="E1281">
        <v>35500</v>
      </c>
      <c r="F1281" t="s">
        <v>6413</v>
      </c>
      <c r="G1281" t="s">
        <v>170</v>
      </c>
      <c r="H1281" t="s">
        <v>152</v>
      </c>
      <c r="I1281" t="s">
        <v>171</v>
      </c>
      <c r="J1281" t="s">
        <v>172</v>
      </c>
      <c r="K1281" t="s">
        <v>6414</v>
      </c>
      <c r="L1281" t="s">
        <v>44</v>
      </c>
      <c r="M1281" t="s">
        <v>6415</v>
      </c>
      <c r="N1281">
        <v>21100</v>
      </c>
      <c r="O1281" t="s">
        <v>45</v>
      </c>
      <c r="P1281" t="s">
        <v>54</v>
      </c>
      <c r="Q1281" t="s">
        <v>52</v>
      </c>
      <c r="R1281">
        <v>2007</v>
      </c>
      <c r="S1281">
        <v>38.5</v>
      </c>
      <c r="T1281" t="s">
        <v>48</v>
      </c>
      <c r="U1281">
        <v>50</v>
      </c>
      <c r="V1281" t="s">
        <v>6416</v>
      </c>
      <c r="W1281">
        <v>36821776</v>
      </c>
      <c r="X1281" t="s">
        <v>86</v>
      </c>
      <c r="Y1281" t="s">
        <v>6417</v>
      </c>
      <c r="Z1281" t="b">
        <v>0</v>
      </c>
      <c r="AA1281">
        <v>922.07792207792204</v>
      </c>
      <c r="AN1281" t="e">
        <f>100*(1-E1281/AL1281)</f>
        <v>#DIV/0!</v>
      </c>
    </row>
    <row r="1282" spans="1:40" x14ac:dyDescent="0.3">
      <c r="A1282" t="s">
        <v>71</v>
      </c>
      <c r="B1282" t="s">
        <v>6412</v>
      </c>
      <c r="C1282" t="s">
        <v>6412</v>
      </c>
      <c r="D1282" s="4">
        <v>46085</v>
      </c>
      <c r="E1282">
        <v>35500</v>
      </c>
      <c r="F1282" t="s">
        <v>6413</v>
      </c>
      <c r="G1282" t="s">
        <v>170</v>
      </c>
      <c r="H1282" t="s">
        <v>152</v>
      </c>
      <c r="I1282" t="s">
        <v>171</v>
      </c>
      <c r="J1282" t="s">
        <v>172</v>
      </c>
      <c r="K1282" t="s">
        <v>6414</v>
      </c>
      <c r="L1282" t="s">
        <v>44</v>
      </c>
      <c r="M1282" t="s">
        <v>6415</v>
      </c>
      <c r="N1282">
        <v>21100</v>
      </c>
      <c r="O1282" t="s">
        <v>45</v>
      </c>
      <c r="P1282" t="s">
        <v>54</v>
      </c>
      <c r="Q1282" t="s">
        <v>52</v>
      </c>
      <c r="R1282">
        <v>2007</v>
      </c>
      <c r="S1282">
        <v>38.5</v>
      </c>
      <c r="T1282" t="s">
        <v>48</v>
      </c>
      <c r="U1282">
        <v>50</v>
      </c>
      <c r="V1282" t="s">
        <v>6416</v>
      </c>
      <c r="W1282">
        <v>36821776</v>
      </c>
      <c r="X1282" t="s">
        <v>86</v>
      </c>
      <c r="Y1282" t="s">
        <v>6417</v>
      </c>
      <c r="Z1282" t="b">
        <v>0</v>
      </c>
      <c r="AA1282">
        <v>922.07792207792204</v>
      </c>
      <c r="AN1282" t="e">
        <f>100*(1-E1282/AL1282)</f>
        <v>#DIV/0!</v>
      </c>
    </row>
    <row r="1283" spans="1:40" x14ac:dyDescent="0.3">
      <c r="A1283" t="s">
        <v>71</v>
      </c>
      <c r="B1283" t="s">
        <v>6412</v>
      </c>
      <c r="C1283" t="s">
        <v>6412</v>
      </c>
      <c r="D1283" s="4">
        <v>46085</v>
      </c>
      <c r="E1283">
        <v>35500</v>
      </c>
      <c r="F1283" t="s">
        <v>6413</v>
      </c>
      <c r="G1283" t="s">
        <v>170</v>
      </c>
      <c r="H1283" t="s">
        <v>152</v>
      </c>
      <c r="I1283" t="s">
        <v>171</v>
      </c>
      <c r="J1283" t="s">
        <v>172</v>
      </c>
      <c r="K1283" t="s">
        <v>6414</v>
      </c>
      <c r="L1283" t="s">
        <v>44</v>
      </c>
      <c r="M1283" t="s">
        <v>6415</v>
      </c>
      <c r="N1283">
        <v>21100</v>
      </c>
      <c r="O1283" t="s">
        <v>45</v>
      </c>
      <c r="P1283" t="s">
        <v>54</v>
      </c>
      <c r="Q1283" t="s">
        <v>52</v>
      </c>
      <c r="R1283">
        <v>2007</v>
      </c>
      <c r="S1283">
        <v>38.5</v>
      </c>
      <c r="T1283" t="s">
        <v>48</v>
      </c>
      <c r="U1283">
        <v>50</v>
      </c>
      <c r="V1283" t="s">
        <v>6416</v>
      </c>
      <c r="W1283">
        <v>36821776</v>
      </c>
      <c r="X1283" t="s">
        <v>86</v>
      </c>
      <c r="Y1283" t="s">
        <v>6417</v>
      </c>
      <c r="Z1283" t="b">
        <v>0</v>
      </c>
      <c r="AA1283">
        <v>922.07792207792204</v>
      </c>
      <c r="AN1283" t="e">
        <f>100*(1-E1283/AL1283)</f>
        <v>#DIV/0!</v>
      </c>
    </row>
    <row r="1284" spans="1:40" x14ac:dyDescent="0.3">
      <c r="A1284" t="s">
        <v>139</v>
      </c>
      <c r="B1284" t="s">
        <v>3429</v>
      </c>
      <c r="C1284" t="s">
        <v>3429</v>
      </c>
      <c r="D1284" s="4">
        <v>46092</v>
      </c>
      <c r="E1284">
        <v>12900</v>
      </c>
      <c r="F1284" t="s">
        <v>3430</v>
      </c>
      <c r="G1284" t="s">
        <v>3431</v>
      </c>
      <c r="H1284" t="s">
        <v>124</v>
      </c>
      <c r="I1284" t="s">
        <v>837</v>
      </c>
      <c r="J1284" t="s">
        <v>325</v>
      </c>
      <c r="K1284" t="s">
        <v>3432</v>
      </c>
      <c r="L1284" t="s">
        <v>44</v>
      </c>
      <c r="M1284" t="s">
        <v>3433</v>
      </c>
      <c r="N1284">
        <v>27300</v>
      </c>
      <c r="O1284" t="s">
        <v>97</v>
      </c>
      <c r="P1284" t="s">
        <v>118</v>
      </c>
      <c r="Q1284">
        <v>0</v>
      </c>
      <c r="R1284">
        <v>0</v>
      </c>
      <c r="S1284">
        <v>3423</v>
      </c>
      <c r="T1284">
        <v>0</v>
      </c>
      <c r="U1284">
        <v>0</v>
      </c>
      <c r="V1284" t="s">
        <v>3434</v>
      </c>
      <c r="W1284">
        <v>44880334</v>
      </c>
      <c r="X1284" t="s">
        <v>86</v>
      </c>
      <c r="Y1284" t="s">
        <v>3435</v>
      </c>
      <c r="Z1284" t="b">
        <v>0</v>
      </c>
      <c r="AA1284">
        <v>3.7686240140227869</v>
      </c>
      <c r="AN1284" t="e">
        <f>100*(1-E1284/AL1284)</f>
        <v>#DIV/0!</v>
      </c>
    </row>
    <row r="1285" spans="1:40" x14ac:dyDescent="0.3">
      <c r="A1285" t="s">
        <v>139</v>
      </c>
      <c r="B1285" t="s">
        <v>3429</v>
      </c>
      <c r="C1285" t="s">
        <v>3429</v>
      </c>
      <c r="D1285" s="4">
        <v>46092</v>
      </c>
      <c r="E1285">
        <v>12900</v>
      </c>
      <c r="F1285" t="s">
        <v>3430</v>
      </c>
      <c r="G1285" t="s">
        <v>3431</v>
      </c>
      <c r="H1285" t="s">
        <v>124</v>
      </c>
      <c r="I1285" t="s">
        <v>837</v>
      </c>
      <c r="J1285" t="s">
        <v>325</v>
      </c>
      <c r="K1285" t="s">
        <v>3432</v>
      </c>
      <c r="L1285" t="s">
        <v>44</v>
      </c>
      <c r="M1285" t="s">
        <v>3433</v>
      </c>
      <c r="N1285">
        <v>27300</v>
      </c>
      <c r="O1285" t="s">
        <v>97</v>
      </c>
      <c r="P1285" t="s">
        <v>118</v>
      </c>
      <c r="Q1285">
        <v>0</v>
      </c>
      <c r="R1285">
        <v>0</v>
      </c>
      <c r="S1285">
        <v>3423</v>
      </c>
      <c r="T1285">
        <v>0</v>
      </c>
      <c r="U1285">
        <v>0</v>
      </c>
      <c r="V1285" t="s">
        <v>3434</v>
      </c>
      <c r="W1285">
        <v>44880334</v>
      </c>
      <c r="X1285" t="s">
        <v>86</v>
      </c>
      <c r="Y1285" t="s">
        <v>3435</v>
      </c>
      <c r="Z1285" t="b">
        <v>0</v>
      </c>
      <c r="AA1285">
        <v>3.7686240140227869</v>
      </c>
      <c r="AN1285" t="e">
        <f>100*(1-E1285/AL1285)</f>
        <v>#DIV/0!</v>
      </c>
    </row>
    <row r="1286" spans="1:40" x14ac:dyDescent="0.3">
      <c r="A1286" t="s">
        <v>166</v>
      </c>
      <c r="B1286" t="s">
        <v>5252</v>
      </c>
      <c r="C1286" t="s">
        <v>5252</v>
      </c>
      <c r="D1286" s="4">
        <v>46092</v>
      </c>
      <c r="E1286">
        <v>92000</v>
      </c>
      <c r="F1286" t="s">
        <v>1665</v>
      </c>
      <c r="G1286" t="s">
        <v>398</v>
      </c>
      <c r="H1286" t="s">
        <v>124</v>
      </c>
      <c r="I1286" t="s">
        <v>399</v>
      </c>
      <c r="J1286" t="s">
        <v>256</v>
      </c>
      <c r="K1286" t="s">
        <v>5253</v>
      </c>
      <c r="L1286" t="s">
        <v>44</v>
      </c>
      <c r="M1286" t="s">
        <v>5254</v>
      </c>
      <c r="N1286">
        <v>30006</v>
      </c>
      <c r="O1286" t="s">
        <v>45</v>
      </c>
      <c r="P1286" t="s">
        <v>54</v>
      </c>
      <c r="Q1286" t="s">
        <v>55</v>
      </c>
      <c r="R1286">
        <v>1993</v>
      </c>
      <c r="S1286">
        <v>81.47</v>
      </c>
      <c r="T1286">
        <v>0</v>
      </c>
      <c r="U1286">
        <v>0</v>
      </c>
      <c r="V1286" t="s">
        <v>5255</v>
      </c>
      <c r="W1286" t="s">
        <v>5256</v>
      </c>
      <c r="X1286" t="s">
        <v>86</v>
      </c>
      <c r="Y1286" t="s">
        <v>5257</v>
      </c>
      <c r="Z1286" t="b">
        <v>0</v>
      </c>
      <c r="AA1286">
        <v>1129.2500306861421</v>
      </c>
      <c r="AN1286" t="e">
        <f>100*(1-E1286/AL1286)</f>
        <v>#DIV/0!</v>
      </c>
    </row>
    <row r="1287" spans="1:40" x14ac:dyDescent="0.3">
      <c r="A1287" t="s">
        <v>59</v>
      </c>
      <c r="B1287" t="s">
        <v>5258</v>
      </c>
      <c r="C1287" t="s">
        <v>5258</v>
      </c>
      <c r="D1287" s="4">
        <v>46093</v>
      </c>
      <c r="E1287">
        <v>67000</v>
      </c>
      <c r="F1287" t="s">
        <v>114</v>
      </c>
      <c r="G1287" t="s">
        <v>816</v>
      </c>
      <c r="H1287" t="s">
        <v>41</v>
      </c>
      <c r="I1287" t="s">
        <v>201</v>
      </c>
      <c r="J1287" t="s">
        <v>199</v>
      </c>
      <c r="K1287" t="s">
        <v>5259</v>
      </c>
      <c r="L1287" t="s">
        <v>44</v>
      </c>
      <c r="M1287" t="s">
        <v>5260</v>
      </c>
      <c r="N1287">
        <v>47100</v>
      </c>
      <c r="O1287" t="s">
        <v>45</v>
      </c>
      <c r="P1287" t="s">
        <v>54</v>
      </c>
      <c r="Q1287" t="s">
        <v>85</v>
      </c>
      <c r="R1287">
        <v>1993</v>
      </c>
      <c r="S1287">
        <v>75.459999999999994</v>
      </c>
      <c r="T1287">
        <v>0</v>
      </c>
      <c r="U1287">
        <v>0</v>
      </c>
      <c r="V1287" t="s">
        <v>5261</v>
      </c>
      <c r="W1287">
        <v>134303330</v>
      </c>
      <c r="X1287" t="s">
        <v>86</v>
      </c>
      <c r="Y1287" t="s">
        <v>5262</v>
      </c>
      <c r="Z1287" t="b">
        <v>0</v>
      </c>
      <c r="AA1287">
        <v>887.88762258150018</v>
      </c>
      <c r="AN1287" t="e">
        <f>100*(1-E1287/AL1287)</f>
        <v>#DIV/0!</v>
      </c>
    </row>
  </sheetData>
  <sortState xmlns:xlrd2="http://schemas.microsoft.com/office/spreadsheetml/2017/richdata2" ref="A2:AN2489">
    <sortCondition ref="D1:D2489"/>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2025-10-16T12:00:14Z</dcterms:created>
  <dcterms:modified xsi:type="dcterms:W3CDTF">2025-11-12T10:35:22Z</dcterms:modified>
</cp:coreProperties>
</file>