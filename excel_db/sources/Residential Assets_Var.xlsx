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ervedgroup-my.sharepoint.com/personal/dimitrios_andritsos_cerved_com/Documents/"/>
    </mc:Choice>
  </mc:AlternateContent>
  <xr:revisionPtr revIDLastSave="1" documentId="8_{D3E121E9-5D69-4731-95B5-DBB7D982C591}" xr6:coauthVersionLast="47" xr6:coauthVersionMax="47" xr10:uidLastSave="{3D7F5BB4-78F5-4446-A00A-E0ED9198CBBD}"/>
  <bookViews>
    <workbookView xWindow="-108" yWindow="-108" windowWidth="23256" windowHeight="13896" xr2:uid="{E83FF698-2A51-4DC3-8F48-9570939C591D}"/>
  </bookViews>
  <sheets>
    <sheet name="Sheet1" sheetId="3" r:id="rId1"/>
  </sheets>
  <definedNames>
    <definedName name="_xlnm._FilterDatabase" localSheetId="0" hidden="1">Sheet1!$F$1:$F$38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3" l="1"/>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alcChain>
</file>

<file path=xl/sharedStrings.xml><?xml version="1.0" encoding="utf-8"?>
<sst xmlns="http://schemas.openxmlformats.org/spreadsheetml/2006/main" count="622" uniqueCount="315">
  <si>
    <t>district_desc</t>
  </si>
  <si>
    <t>municipality_desc</t>
  </si>
  <si>
    <t>Correct Address (location, street, number…)</t>
  </si>
  <si>
    <t>Property Code</t>
  </si>
  <si>
    <t>Property Type</t>
  </si>
  <si>
    <t>Coordinate N</t>
  </si>
  <si>
    <t>Coordinate E</t>
  </si>
  <si>
    <t>Sale price</t>
  </si>
  <si>
    <t>Property floor from</t>
  </si>
  <si>
    <t>Property floor to</t>
  </si>
  <si>
    <t>Number of levels</t>
  </si>
  <si>
    <t>Property's Surface</t>
  </si>
  <si>
    <t>Land Surface</t>
  </si>
  <si>
    <t>Year of Construction</t>
  </si>
  <si>
    <t>No of Bedrooms</t>
  </si>
  <si>
    <t>No of Bathrooms</t>
  </si>
  <si>
    <t>Parking available</t>
  </si>
  <si>
    <t>Type of Parking</t>
  </si>
  <si>
    <t>Athinon</t>
  </si>
  <si>
    <t>Thessalonikis</t>
  </si>
  <si>
    <t>Thermaikou</t>
  </si>
  <si>
    <t>Anatolikis Attikis</t>
  </si>
  <si>
    <t>Oropou</t>
  </si>
  <si>
    <t>Kalyvion Thorikou</t>
  </si>
  <si>
    <t>Ηρώων πολυτεχνείου 6Α-6Β &amp; Σμηναγού Γ. Φιλίππου</t>
  </si>
  <si>
    <t>E-10677</t>
  </si>
  <si>
    <t>37.839458818743</t>
  </si>
  <si>
    <t>23.92404740926</t>
  </si>
  <si>
    <t>Avlonos</t>
  </si>
  <si>
    <t>Neas Smyrnis</t>
  </si>
  <si>
    <t>Agias Paraskevis</t>
  </si>
  <si>
    <t>Athinaion</t>
  </si>
  <si>
    <t>129.00</t>
  </si>
  <si>
    <t>Ampelokipon</t>
  </si>
  <si>
    <t>Καμέλιας 17</t>
  </si>
  <si>
    <t>E-14776</t>
  </si>
  <si>
    <t>40.651438</t>
  </si>
  <si>
    <t>22.931766</t>
  </si>
  <si>
    <t>Sykeon</t>
  </si>
  <si>
    <t>Μ. Ασίας 11-13, Συκιές</t>
  </si>
  <si>
    <t>E-9179</t>
  </si>
  <si>
    <t>40.651882034400</t>
  </si>
  <si>
    <t>22.94940865581</t>
  </si>
  <si>
    <t>Κομίνη</t>
  </si>
  <si>
    <t>38.252672</t>
  </si>
  <si>
    <t>23.693872</t>
  </si>
  <si>
    <t>Acharnon</t>
  </si>
  <si>
    <t>E-10261- 10311-10312</t>
  </si>
  <si>
    <t>Μυθύμνης 56</t>
  </si>
  <si>
    <t>E-14008</t>
  </si>
  <si>
    <t>38.0025165</t>
  </si>
  <si>
    <t>23.730981</t>
  </si>
  <si>
    <t>Evosmou</t>
  </si>
  <si>
    <t>E-12561</t>
  </si>
  <si>
    <t>40.6712156</t>
  </si>
  <si>
    <t>22.9200791</t>
  </si>
  <si>
    <t>Pylaias</t>
  </si>
  <si>
    <t>Καπετάν Άγρα &amp; Βουλγαροκτόνου</t>
  </si>
  <si>
    <t>E-14189</t>
  </si>
  <si>
    <t>40.602939</t>
  </si>
  <si>
    <t>22.984864</t>
  </si>
  <si>
    <t>Polichnis</t>
  </si>
  <si>
    <t>Κωλέττη 16</t>
  </si>
  <si>
    <t>E-12947</t>
  </si>
  <si>
    <t>40.658317605079</t>
  </si>
  <si>
    <t>22.95485452638</t>
  </si>
  <si>
    <t>https://www.cervedpropertyservices.com/el/akinita/6068</t>
  </si>
  <si>
    <t>https://www.cervedpropertyservices.com/el/akinita/8088</t>
  </si>
  <si>
    <t>https://www.cervedpropertyservices.com/el/akinita/8597</t>
  </si>
  <si>
    <t>https://www.cervedpropertyservices.com/el/akinita/8601</t>
  </si>
  <si>
    <t>https://www.cervedpropertyservices.com/el/akinita/8753</t>
  </si>
  <si>
    <t>https://www.cervedpropertyservices.com/el/akinita/8761</t>
  </si>
  <si>
    <t>https://www.cervedpropertyservices.com/el/akinita/8849</t>
  </si>
  <si>
    <t xml:space="preserve">Full description </t>
  </si>
  <si>
    <t>E-8976</t>
  </si>
  <si>
    <t>2-11574</t>
  </si>
  <si>
    <t>A-6012</t>
  </si>
  <si>
    <t>E-10310-10313-10314</t>
  </si>
  <si>
    <t>2-12725</t>
  </si>
  <si>
    <t>E-14289-14290-14291</t>
  </si>
  <si>
    <t>CPR-130</t>
  </si>
  <si>
    <t>CPR-191</t>
  </si>
  <si>
    <t>I-00152</t>
  </si>
  <si>
    <t>CPR-159</t>
  </si>
  <si>
    <t>Ι-00124</t>
  </si>
  <si>
    <t>CPR-152</t>
  </si>
  <si>
    <t>CPR-151</t>
  </si>
  <si>
    <t>E-10308-10303-10304</t>
  </si>
  <si>
    <t>CPR-278</t>
  </si>
  <si>
    <t>E-14571-14572</t>
  </si>
  <si>
    <t>E-14754</t>
  </si>
  <si>
    <t>H-528</t>
  </si>
  <si>
    <t>T-606</t>
  </si>
  <si>
    <t>T-5740</t>
  </si>
  <si>
    <t>T-8145</t>
  </si>
  <si>
    <t>CPR-187</t>
  </si>
  <si>
    <t>CPR-188</t>
  </si>
  <si>
    <t>T-555</t>
  </si>
  <si>
    <t>T-1270</t>
  </si>
  <si>
    <t>T-1412</t>
  </si>
  <si>
    <t>T-925</t>
  </si>
  <si>
    <t>H-815</t>
  </si>
  <si>
    <t>CPR-235</t>
  </si>
  <si>
    <t>Neon Liosion</t>
  </si>
  <si>
    <t>Neas Erythraias</t>
  </si>
  <si>
    <t>Chortiati</t>
  </si>
  <si>
    <t>Kallitheas</t>
  </si>
  <si>
    <t>Stavroupolis</t>
  </si>
  <si>
    <t>Galatsiou</t>
  </si>
  <si>
    <t>Menemenis</t>
  </si>
  <si>
    <t>Peristeriou</t>
  </si>
  <si>
    <t>Eleftheriou - Kordeliou</t>
  </si>
  <si>
    <t>Αλβανικού Έπους 53</t>
  </si>
  <si>
    <t>Θεσσαλονίκης 35</t>
  </si>
  <si>
    <t>Πλησίον Σχολής ΤΕΦΑΑ</t>
  </si>
  <si>
    <t>28ης Οκτωβρίου 68</t>
  </si>
  <si>
    <t>Εκάτης 26, Κυψέλη</t>
  </si>
  <si>
    <t>ΩΡΑΙΟΚΑΣΤΡΟΥ 97</t>
  </si>
  <si>
    <t>Πεσόντων Πυροσβεστών 3</t>
  </si>
  <si>
    <t>Αγίου Γεωργίου 18</t>
  </si>
  <si>
    <t>Αντιπάτρου 11, Θεσσαλονίκη</t>
  </si>
  <si>
    <t>Λεωφόρος Βασιλίσσης Όλγας 101, Θεσσαλονίκη</t>
  </si>
  <si>
    <t>Αριστομένους 20-22</t>
  </si>
  <si>
    <t>Ανοίξεως 39</t>
  </si>
  <si>
    <t>Λεωφόρος Γαλατσίου 26</t>
  </si>
  <si>
    <t>Καζαντζάκη 10Α</t>
  </si>
  <si>
    <t>Καρυδιές</t>
  </si>
  <si>
    <t>Τιμολέοντος 13, Άνω πόλη</t>
  </si>
  <si>
    <t>Μηδείας 29Α &amp; Ιωνίας, Περαία</t>
  </si>
  <si>
    <t>Χρυσοβιτσίου 34</t>
  </si>
  <si>
    <t>Μέμτσια 1, Νέα Παλάτια</t>
  </si>
  <si>
    <t>Χ.Τρικούπη 5 &amp; Δ.Γούναρη 6</t>
  </si>
  <si>
    <t>38.0321539</t>
  </si>
  <si>
    <t>23.685118999999986</t>
  </si>
  <si>
    <t>38.312920</t>
  </si>
  <si>
    <t>23.830618</t>
  </si>
  <si>
    <t>40.595959</t>
  </si>
  <si>
    <t>22.981329</t>
  </si>
  <si>
    <t>37.95676</t>
  </si>
  <si>
    <t>23.72840</t>
  </si>
  <si>
    <t>38.007182788769</t>
  </si>
  <si>
    <t>23.81865702883</t>
  </si>
  <si>
    <t>38.004875</t>
  </si>
  <si>
    <t>23.743139</t>
  </si>
  <si>
    <t>40.67085908308225</t>
  </si>
  <si>
    <t>22.933287654378354</t>
  </si>
  <si>
    <t>40.64660353810669</t>
  </si>
  <si>
    <t>22.92253602069866</t>
  </si>
  <si>
    <t>40.497428</t>
  </si>
  <si>
    <t>22.911416</t>
  </si>
  <si>
    <t>38.092706546888245</t>
  </si>
  <si>
    <t>23.814378637633700</t>
  </si>
  <si>
    <t>40.639525</t>
  </si>
  <si>
    <t>22.950169</t>
  </si>
  <si>
    <t>40.607794</t>
  </si>
  <si>
    <t>22.953640</t>
  </si>
  <si>
    <t>37.99435</t>
  </si>
  <si>
    <t>23.7237</t>
  </si>
  <si>
    <t>38.133389178077</t>
  </si>
  <si>
    <t>23.82476953068</t>
  </si>
  <si>
    <t>38.015777</t>
  </si>
  <si>
    <t>23.738717</t>
  </si>
  <si>
    <t>37.9558930</t>
  </si>
  <si>
    <t>23.7020975</t>
  </si>
  <si>
    <t>40.65603327669381</t>
  </si>
  <si>
    <t>22.90461373733861</t>
  </si>
  <si>
    <t>40.61219301512383</t>
  </si>
  <si>
    <t>23.09500228205511</t>
  </si>
  <si>
    <t>40.604045582694624</t>
  </si>
  <si>
    <t>22.980809897385</t>
  </si>
  <si>
    <t>40.64310</t>
  </si>
  <si>
    <t>22.94597</t>
  </si>
  <si>
    <t>40.503363</t>
  </si>
  <si>
    <t>22.924398</t>
  </si>
  <si>
    <t>38.02140469361957</t>
  </si>
  <si>
    <t>23.70282258887213</t>
  </si>
  <si>
    <t>38.084199</t>
  </si>
  <si>
    <t>23.741784</t>
  </si>
  <si>
    <t>38.317269</t>
  </si>
  <si>
    <t>23.791697</t>
  </si>
  <si>
    <t>37.943027114222154</t>
  </si>
  <si>
    <t>23.716372995752675</t>
  </si>
  <si>
    <t>40.669679</t>
  </si>
  <si>
    <t>22.889141</t>
  </si>
  <si>
    <t>https://www.cervedpropertyservices.com/el/akinita/107</t>
  </si>
  <si>
    <t>https://www.cervedpropertyservices.com/el/akinita/6218</t>
  </si>
  <si>
    <t>https://www.cervedpropertyservices.com/el/akinita/7025</t>
  </si>
  <si>
    <t>https://www.cervedpropertyservices.com/el/akinita/7361</t>
  </si>
  <si>
    <t>https://www.cervedpropertyservices.com/el/akinita/7429</t>
  </si>
  <si>
    <t>https://www.cervedpropertyservices.com/el/akinita/7680</t>
  </si>
  <si>
    <t>https://www.cervedpropertyservices.com/el/akinita/8096</t>
  </si>
  <si>
    <t>https://www.cervedpropertyservices.com/el/akinita/8122</t>
  </si>
  <si>
    <t>https://www.cervedpropertyservices.com/el/akinita/8128</t>
  </si>
  <si>
    <t>https://www.cervedpropertyservices.com/el/akinita/1038</t>
  </si>
  <si>
    <t>https://www.cervedpropertyservices.com/el/akinita/8177</t>
  </si>
  <si>
    <t>https://www.cervedpropertyservices.com/el/akinita/8181</t>
  </si>
  <si>
    <t>https://www.cervedpropertyservices.com/el/akinita/8200</t>
  </si>
  <si>
    <t>https://www.cervedpropertyservices.com/el/akinita/8201</t>
  </si>
  <si>
    <t>https://www.cervedpropertyservices.com/el/akinita/8248</t>
  </si>
  <si>
    <t>https://www.cervedpropertyservices.com/el/akinita/8262</t>
  </si>
  <si>
    <t>https://www.cervedpropertyservices.com/el/akinita/8291</t>
  </si>
  <si>
    <t>https://www.cervedpropertyservices.com/el/akinita/8320</t>
  </si>
  <si>
    <t>https://www.cervedpropertyservices.com/el/akinita/8404</t>
  </si>
  <si>
    <t>https://www.cervedpropertyservices.com/el/akinita/8707</t>
  </si>
  <si>
    <t>https://www.cervedpropertyservices.com/el/akinita/8772</t>
  </si>
  <si>
    <t>https://www.cervedpropertyservices.com/el/akinita/8783</t>
  </si>
  <si>
    <t>https://www.cervedpropertyservices.com/el/akinita/8792</t>
  </si>
  <si>
    <t>https://www.cervedpropertyservices.com/el/akinita/8793</t>
  </si>
  <si>
    <t>https://www.cervedpropertyservices.com/el/akinita/8803</t>
  </si>
  <si>
    <t>https://www.cervedpropertyservices.com/el/akinita/8870</t>
  </si>
  <si>
    <t>https://www.cervedpropertyservices.com/el/akinita/8873</t>
  </si>
  <si>
    <t>https://www.cervedpropertyservices.com/el/akinita/8907</t>
  </si>
  <si>
    <t>https://www.cervedpropertyservices.com/el/akinita/8960</t>
  </si>
  <si>
    <t>https://www.cervedpropertyservices.com/el/akinita/8962</t>
  </si>
  <si>
    <t>0</t>
  </si>
  <si>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</si>
  <si>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</si>
  <si>
    <t>Third floor apartment of 50sqm, near the sea, in Markopoulo Oropos area. It is located 50km from the center of Athens.&lt;br /&gt;&lt;br /&gt;It consists of 2 bedrooms, bathroom, kitchen and balconies with sea view. Also there is a parking space.&lt;br /&gt;&lt;br /&gt;Energy Efficiency Class: Pending</t>
  </si>
  <si>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</si>
  <si>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</si>
  <si>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</si>
  <si>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</si>
  <si>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</si>
  <si>
    <t>An apartment of 97 sqm, on the 2nd floor, at 26 Ekatis Str., in Kypseli. It has 2 bedrooms, bathroom, kitchen, living room and a 5 sqm storage room in the basement. &lt;br /&gt;&lt;br /&gt;EPC: G&lt;br /&gt;Construction year: 1972</t>
  </si>
  <si>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</si>
  <si>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</si>
  <si>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</si>
  <si>
    <t>First floor apartment of 69 sqm, in a plot of 390.15sqm, located in 18 Agiou Georgiou Str, Neoi Epivates of Thessaloniki.&lt;br /&gt;It consists of living room, kitchen, 2 bedrooms and a bathroom.&lt;br /&gt;&lt;br /&gt;Year of construction: 1979&lt;br /&gt;EPC: G</t>
  </si>
  <si>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</si>
  <si>
    <t>Third floor apartment of 55sqm, located on 11 Antipatrou Str, Thessaloniki.&lt;br /&gt;It consists of living room, kitchen, a bedroom and a bathroom.&lt;br /&gt;&lt;br /&gt;Year of construction: 1964&lt;br /&gt;Energy efficiency class: G</t>
  </si>
  <si>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</si>
  <si>
    <t>1st floor apartment of 73.87sqm, within a plot of 1,661 sqm, on Komini Str., in Avlonas. &lt;br /&gt;&lt;br /&gt;The apartment consists of living room, kitchen, 2 bedrooms and 1 bathroom.&lt;br /&gt;It has 2 storage spaces.&lt;br /&gt;&lt;br /&gt;Year of construction: 2004.&lt;br /&gt;Energy Efficiency Class: E.</t>
  </si>
  <si>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</si>
  <si>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</si>
  <si>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</si>
  <si>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</si>
  <si>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</si>
  <si>
    <t>3rd-floor apartment with an area of 96sqm, located on Methymnis Street 56, in Patissia.&lt;br /&gt;The apartment features a living room, kitchen, 2 bedrooms, and a bathroom.&lt;br /&gt;&lt;br /&gt;Year of construction: 1964&lt;br /&gt;Energy Efficiency Class: G</t>
  </si>
  <si>
    <t>Third-floor apartment with a total area of 58sqm, located on a 3,165.59sqm plot at 10A Kazantzaki Street, Menemeni, Thessaloniki.&lt;br /&gt;It consists of a living room, kitchen, bedroom, and bathroom.&lt;br /&gt;&lt;br /&gt;Year of construction: 1979&lt;br /&gt;Energy Efficiency class: D</t>
  </si>
  <si>
    <t>First floor leased apartment of 44sqm, located in Evosmos of Thessaloniki.&lt;br /&gt;It consists of a living room, kitchen, bedroom and a bathroom&lt;br /&gt;The property is leased.&lt;br /&gt;&lt;br /&gt;Year of construction: 2008&lt;br /&gt;Energy efficiency class: F</t>
  </si>
  <si>
    <t>Ground floor apartment of 103sqm, located on Kapetan Agra &amp;amp; Voulgaroktonou Strs., in Pylaia of Thessaloniki.&lt;br /&gt;It consists of a living room, kitchen,2 bedrooms and a bathroom.&lt;br /&gt;&lt;br /&gt;Year of construction: 2011&lt;br /&gt;Energy efficiency class: C</t>
  </si>
  <si>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</si>
  <si>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</si>
  <si>
    <t>First-floor apartment of 40sqm, located at 13 Timoleontos Street, in the Tsinari area, Ano Poli, Thessaloniki.&lt;br /&gt;It consists of an open-plan living room with kitchen and a bathroom.&lt;br /&gt;&lt;br /&gt;Year of construction: 1995&lt;br /&gt;Energy class: C</t>
  </si>
  <si>
    <t>Second-floor apartment of 40sqm, located at 13 Timoleontos Street, in the Tsinari area, Ano Poli, Thessaloniki.&lt;br /&gt;It consists of an open-plan living room with kitchen and a bathroom.&lt;br /&gt;&lt;br /&gt;Year of construction: 1995&lt;br /&gt;Energy class: C</t>
  </si>
  <si>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</si>
  <si>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</si>
  <si>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</si>
  <si>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</si>
  <si>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</si>
  <si>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</si>
  <si>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</si>
  <si>
    <t>1</t>
  </si>
  <si>
    <t>-1</t>
  </si>
  <si>
    <t>3</t>
  </si>
  <si>
    <t>2</t>
  </si>
  <si>
    <t>4</t>
  </si>
  <si>
    <t>5</t>
  </si>
  <si>
    <t>153.00</t>
  </si>
  <si>
    <t>0.00</t>
  </si>
  <si>
    <t>1528.10</t>
  </si>
  <si>
    <t>630.00</t>
  </si>
  <si>
    <t>400.00</t>
  </si>
  <si>
    <t>1.00</t>
  </si>
  <si>
    <t>233.00</t>
  </si>
  <si>
    <t>308.00</t>
  </si>
  <si>
    <t>156.38</t>
  </si>
  <si>
    <t>495.00</t>
  </si>
  <si>
    <t>246.17</t>
  </si>
  <si>
    <t>391.00</t>
  </si>
  <si>
    <t>299.83</t>
  </si>
  <si>
    <t>190.51</t>
  </si>
  <si>
    <t>1464.00</t>
  </si>
  <si>
    <t>1661.00</t>
  </si>
  <si>
    <t>385.00</t>
  </si>
  <si>
    <t>334.00</t>
  </si>
  <si>
    <t>502.00</t>
  </si>
  <si>
    <t>3165.59</t>
  </si>
  <si>
    <t>168.00</t>
  </si>
  <si>
    <t>2946.00</t>
  </si>
  <si>
    <t>1528.00</t>
  </si>
  <si>
    <t>2884.00</t>
  </si>
  <si>
    <t>162.00</t>
  </si>
  <si>
    <t>770.00</t>
  </si>
  <si>
    <t>440.00</t>
  </si>
  <si>
    <t>60.00</t>
  </si>
  <si>
    <t>546.14</t>
  </si>
  <si>
    <t>1971</t>
  </si>
  <si>
    <t>2008</t>
  </si>
  <si>
    <t>2007</t>
  </si>
  <si>
    <t>1981</t>
  </si>
  <si>
    <t>2002</t>
  </si>
  <si>
    <t>1974</t>
  </si>
  <si>
    <t>2006</t>
  </si>
  <si>
    <t>2005</t>
  </si>
  <si>
    <t>2004</t>
  </si>
  <si>
    <t>1979</t>
  </si>
  <si>
    <t>1982</t>
  </si>
  <si>
    <t>1989</t>
  </si>
  <si>
    <t>2011</t>
  </si>
  <si>
    <t>2003</t>
  </si>
  <si>
    <t>1972</t>
  </si>
  <si>
    <t>1968</t>
  </si>
  <si>
    <t>1973</t>
  </si>
  <si>
    <t>1995</t>
  </si>
  <si>
    <t>1969</t>
  </si>
  <si>
    <t>1990</t>
  </si>
  <si>
    <t>1965</t>
  </si>
  <si>
    <t>1071</t>
  </si>
  <si>
    <t>1964</t>
  </si>
  <si>
    <t>Ανοικτή</t>
  </si>
  <si>
    <t>Open</t>
  </si>
  <si>
    <t>Closed</t>
  </si>
  <si>
    <t>Apartment</t>
  </si>
  <si>
    <t>Apartment/Maisonette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</si>
</sst>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5" x14ac:knownFonts="1">
    <font>
      <sz val="11"/>
      <color theme="1"/>
      <name val="Aptos Narrow"/>
      <family val="2"/>
      <charset val="161"/>
      <scheme val="minor"/>
    </font>
    <font>
      <u/>
      <sz val="11"/>
      <color theme="10"/>
      <name val="Aptos Narrow"/>
      <family val="2"/>
      <charset val="161"/>
      <scheme val="minor"/>
    </font>
    <font>
      <b/>
      <sz val="14"/>
      <color theme="0"/>
      <name val="Aptos Narrow"/>
      <family val="2"/>
      <scheme val="minor"/>
    </font>
    <font>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3" borderId="1" xfId="0" applyFill="1" applyBorder="1" applyAlignment="1">
      <alignment horizontal="right"/>
    </xf>
    <xf numFmtId="0" fontId="2" fillId="2" borderId="0" xfId="0" applyFont="1" applyFill="1"/>
    <xf numFmtId="164" fontId="2" fillId="2" borderId="0" xfId="0" applyNumberFormat="1" applyFont="1" applyFill="1"/>
    <xf numFmtId="3" fontId="2" fillId="2" borderId="0" xfId="0" applyNumberFormat="1" applyFont="1" applyFill="1"/>
    <xf numFmtId="3" fontId="0" fillId="0" borderId="0" xfId="0" applyNumberFormat="1" applyAlignment="1">
      <alignment horizontal="right"/>
    </xf>
    <xf numFmtId="0" fontId="3" fillId="4" borderId="1" xfId="0" applyFont="1" applyFill="1" applyBorder="1"/>
    <xf numFmtId="0" fontId="4" fillId="4" borderId="1" xfId="1" applyFont="1" applyFill="1" applyBorder="1"/>
    <xf numFmtId="3" fontId="3" fillId="4" borderId="1" xfId="0" applyNumberFormat="1" applyFont="1" applyFill="1" applyBorder="1" applyAlignment="1">
      <alignment horizontal="right"/>
    </xf>
    <xf numFmtId="0" fontId="3" fillId="4" borderId="1" xfId="0" applyFont="1" applyFill="1" applyBorder="1" applyAlignment="1">
      <alignment wrapText="1"/>
    </xf>
    <xf numFmtId="0" fontId="3" fillId="4" borderId="1" xfId="0" applyFont="1" applyFill="1" applyBorder="1" applyAlignment="1">
      <alignment horizontal="right"/>
    </xf>
    <xf numFmtId="0" fontId="3" fillId="4" borderId="0" xfId="0" applyFont="1" applyFill="1"/>
    <xf numFmtId="0" fontId="1" fillId="4" borderId="1" xfId="1" applyFill="1" applyBorder="1"/>
    <xf numFmtId="0" fontId="0" fillId="4" borderId="0" xfId="0" applyFill="1"/>
    <xf numFmtId="0" fontId="1" fillId="3" borderId="2" xfId="1" applyFill="1" applyBorder="1"/>
    <xf numFmtId="0" fontId="0" fillId="3" borderId="2" xfId="0" applyFill="1" applyBorder="1" applyAlignment="1">
      <alignment horizontal="right"/>
    </xf>
    <xf numFmtId="0" fontId="0" fillId="0" borderId="1" xfId="0" applyBorder="1"/>
    <xf numFmtId="3" fontId="0" fillId="0" borderId="1" xfId="0" applyNumberFormat="1" applyBorder="1" applyAlignment="1">
      <alignment horizontal="right"/>
    </xf>
    <xf numFmtId="0" fontId="1" fillId="4" borderId="2"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29FD8-E34D-4D4D-B984-F810B5B20F2A}">
  <dimension ref="A1:U42"/>
  <sheetViews>
    <sheetView tabSelected="1" zoomScale="83" zoomScaleNormal="83" workbookViewId="0">
      <selection activeCell="C8" sqref="C8"/>
    </sheetView>
  </sheetViews>
  <sheetFormatPr defaultRowHeight="14.4" x14ac:dyDescent="0.3"/>
  <cols>
    <col min="1" max="3" width="22.44140625" customWidth="1"/>
    <col min="4" max="4" width="20.77734375" bestFit="1" customWidth="1"/>
    <col min="5" max="5" width="22.44140625" customWidth="1"/>
    <col min="6" max="6" width="19.21875" bestFit="1" customWidth="1"/>
    <col min="7" max="8" width="18.77734375" bestFit="1" customWidth="1"/>
    <col min="9" max="9" width="11.44140625" bestFit="1" customWidth="1"/>
    <col min="10" max="10" width="5.5546875" bestFit="1" customWidth="1"/>
    <col min="11" max="11" width="22.44140625" customWidth="1"/>
    <col min="12" max="12" width="21.44140625" bestFit="1" customWidth="1"/>
    <col min="13" max="13" width="18.33203125" bestFit="1" customWidth="1"/>
    <col min="14" max="14" width="19.21875" bestFit="1" customWidth="1"/>
    <col min="15" max="15" width="20.6640625" bestFit="1" customWidth="1"/>
    <col min="16" max="16" width="14.88671875" bestFit="1" customWidth="1"/>
    <col min="17" max="17" width="23" bestFit="1" customWidth="1"/>
    <col min="18" max="18" width="18.21875" bestFit="1" customWidth="1"/>
    <col min="19" max="19" width="18.88671875" bestFit="1" customWidth="1"/>
    <col min="20" max="20" width="19.109375" bestFit="1" customWidth="1"/>
    <col min="21" max="21" width="17.109375" bestFit="1" customWidth="1"/>
  </cols>
  <sheetData>
    <row r="1" spans="1:21" ht="18" x14ac:dyDescent="0.35">
      <c r="A1" s="2" t="s">
        <v>3</v>
      </c>
      <c r="B1" s="2"/>
      <c r="C1" s="2" t="s">
        <v>0</v>
      </c>
      <c r="D1" s="2" t="s">
        <v>1</v>
      </c>
      <c r="E1" s="2" t="s">
        <v>2</v>
      </c>
      <c r="F1" s="2" t="s">
        <v>4</v>
      </c>
      <c r="G1" s="2" t="s">
        <v>5</v>
      </c>
      <c r="H1" s="2" t="s">
        <v>6</v>
      </c>
      <c r="I1" s="3" t="s">
        <v>7</v>
      </c>
      <c r="J1" s="3"/>
      <c r="K1" s="2" t="s">
        <v>73</v>
      </c>
      <c r="L1" s="2" t="s">
        <v>8</v>
      </c>
      <c r="M1" s="2" t="s">
        <v>9</v>
      </c>
      <c r="N1" s="2" t="s">
        <v>10</v>
      </c>
      <c r="O1" s="4" t="s">
        <v>11</v>
      </c>
      <c r="P1" s="2" t="s">
        <v>12</v>
      </c>
      <c r="Q1" s="2" t="s">
        <v>13</v>
      </c>
      <c r="R1" s="2" t="s">
        <v>14</v>
      </c>
      <c r="S1" s="2" t="s">
        <v>15</v>
      </c>
      <c r="T1" s="2" t="s">
        <v>16</v>
      </c>
      <c r="U1" s="2" t="s">
        <v>17</v>
      </c>
    </row>
    <row r="2" spans="1:21" s="11" customFormat="1" ht="19.95" customHeight="1" x14ac:dyDescent="0.3">
      <c r="A2" s="6" t="s">
        <v>74</v>
      </c>
      <c r="B2" s="7" t="s">
        <v>184</v>
      </c>
      <c r="C2" s="6" t="s">
        <v>18</v>
      </c>
      <c r="D2" s="6" t="s">
        <v>103</v>
      </c>
      <c r="E2" s="6" t="s">
        <v>112</v>
      </c>
      <c r="F2" s="6" t="s">
        <v>313</v>
      </c>
      <c r="G2" s="6" t="s">
        <v>132</v>
      </c>
      <c r="H2" s="6" t="s">
        <v>133</v>
      </c>
      <c r="I2" s="8">
        <v>95000</v>
      </c>
      <c r="J2" s="8">
        <f t="shared" ref="J2:J38" si="0">I2/O2</f>
        <v>1000</v>
      </c>
      <c r="K2" s="9" t="s">
        <v>215</v>
      </c>
      <c r="L2" s="6" t="s">
        <v>214</v>
      </c>
      <c r="M2" s="6" t="s">
        <v>214</v>
      </c>
      <c r="N2" s="6" t="s">
        <v>252</v>
      </c>
      <c r="O2" s="8">
        <v>95</v>
      </c>
      <c r="P2" s="10" t="s">
        <v>258</v>
      </c>
      <c r="Q2" s="6" t="s">
        <v>287</v>
      </c>
      <c r="R2" s="6" t="s">
        <v>255</v>
      </c>
      <c r="S2" s="6" t="s">
        <v>252</v>
      </c>
      <c r="T2" s="6"/>
      <c r="U2" s="6"/>
    </row>
    <row r="3" spans="1:21" s="11" customFormat="1" ht="19.95" customHeight="1" x14ac:dyDescent="0.3">
      <c r="A3" s="6" t="s">
        <v>25</v>
      </c>
      <c r="B3" s="7" t="s">
        <v>66</v>
      </c>
      <c r="C3" s="6" t="s">
        <v>21</v>
      </c>
      <c r="D3" s="6" t="s">
        <v>23</v>
      </c>
      <c r="E3" s="6" t="s">
        <v>24</v>
      </c>
      <c r="F3" s="6" t="s">
        <v>313</v>
      </c>
      <c r="G3" s="6" t="s">
        <v>26</v>
      </c>
      <c r="H3" s="6" t="s">
        <v>27</v>
      </c>
      <c r="I3" s="8">
        <v>167000</v>
      </c>
      <c r="J3" s="8">
        <f t="shared" si="0"/>
        <v>1721.6494845360826</v>
      </c>
      <c r="K3" s="9" t="s">
        <v>216</v>
      </c>
      <c r="L3" s="6" t="s">
        <v>214</v>
      </c>
      <c r="M3" s="6" t="s">
        <v>214</v>
      </c>
      <c r="N3" s="6" t="s">
        <v>252</v>
      </c>
      <c r="O3" s="10">
        <v>97</v>
      </c>
      <c r="P3" s="10" t="s">
        <v>260</v>
      </c>
      <c r="Q3" s="6" t="s">
        <v>289</v>
      </c>
      <c r="R3" s="6" t="s">
        <v>255</v>
      </c>
      <c r="S3" s="6" t="s">
        <v>252</v>
      </c>
      <c r="T3" s="6" t="s">
        <v>252</v>
      </c>
      <c r="U3" s="6" t="s">
        <v>311</v>
      </c>
    </row>
    <row r="4" spans="1:21" s="11" customFormat="1" ht="19.95" customHeight="1" x14ac:dyDescent="0.3">
      <c r="A4" s="6" t="s">
        <v>75</v>
      </c>
      <c r="B4" s="7" t="s">
        <v>185</v>
      </c>
      <c r="C4" s="6" t="s">
        <v>21</v>
      </c>
      <c r="D4" s="6" t="s">
        <v>22</v>
      </c>
      <c r="E4" s="6"/>
      <c r="F4" s="6" t="s">
        <v>313</v>
      </c>
      <c r="G4" s="6" t="s">
        <v>134</v>
      </c>
      <c r="H4" s="6" t="s">
        <v>135</v>
      </c>
      <c r="I4" s="8">
        <v>80000</v>
      </c>
      <c r="J4" s="8">
        <f t="shared" si="0"/>
        <v>1600</v>
      </c>
      <c r="K4" s="9" t="s">
        <v>217</v>
      </c>
      <c r="L4" s="6" t="s">
        <v>254</v>
      </c>
      <c r="M4" s="6" t="s">
        <v>254</v>
      </c>
      <c r="N4" s="6" t="s">
        <v>252</v>
      </c>
      <c r="O4" s="10">
        <v>50</v>
      </c>
      <c r="P4" s="10" t="s">
        <v>259</v>
      </c>
      <c r="Q4" s="6"/>
      <c r="R4" s="6" t="s">
        <v>255</v>
      </c>
      <c r="S4" s="6" t="s">
        <v>252</v>
      </c>
      <c r="T4" s="6" t="s">
        <v>252</v>
      </c>
      <c r="U4" s="6"/>
    </row>
    <row r="5" spans="1:21" ht="19.95" customHeight="1" x14ac:dyDescent="0.3">
      <c r="A5" s="16" t="s">
        <v>76</v>
      </c>
      <c r="B5" s="12" t="s">
        <v>186</v>
      </c>
      <c r="C5" s="16" t="s">
        <v>19</v>
      </c>
      <c r="D5" s="16" t="s">
        <v>56</v>
      </c>
      <c r="E5" s="16" t="s">
        <v>113</v>
      </c>
      <c r="F5" s="16" t="s">
        <v>313</v>
      </c>
      <c r="G5" s="16" t="s">
        <v>136</v>
      </c>
      <c r="H5" s="16" t="s">
        <v>137</v>
      </c>
      <c r="I5" s="17">
        <v>240000</v>
      </c>
      <c r="J5" s="17">
        <f t="shared" si="0"/>
        <v>2264.1509433962265</v>
      </c>
      <c r="K5" s="16" t="s">
        <v>218</v>
      </c>
      <c r="L5" s="16" t="s">
        <v>252</v>
      </c>
      <c r="M5" s="16" t="s">
        <v>252</v>
      </c>
      <c r="N5" s="16" t="s">
        <v>252</v>
      </c>
      <c r="O5" s="1">
        <v>106</v>
      </c>
      <c r="P5" s="16" t="s">
        <v>261</v>
      </c>
      <c r="Q5" s="16" t="s">
        <v>288</v>
      </c>
      <c r="R5" s="16" t="s">
        <v>255</v>
      </c>
      <c r="S5" s="16" t="s">
        <v>255</v>
      </c>
      <c r="T5" s="16"/>
      <c r="U5" s="16"/>
    </row>
    <row r="6" spans="1:21" ht="19.95" customHeight="1" x14ac:dyDescent="0.3">
      <c r="A6" s="16" t="s">
        <v>77</v>
      </c>
      <c r="B6" s="12" t="s">
        <v>187</v>
      </c>
      <c r="C6" s="16" t="s">
        <v>21</v>
      </c>
      <c r="D6" s="16" t="s">
        <v>28</v>
      </c>
      <c r="E6" s="16" t="s">
        <v>43</v>
      </c>
      <c r="F6" s="16" t="s">
        <v>313</v>
      </c>
      <c r="G6" s="16" t="s">
        <v>44</v>
      </c>
      <c r="H6" s="16" t="s">
        <v>45</v>
      </c>
      <c r="I6" s="17">
        <v>108000</v>
      </c>
      <c r="J6" s="17">
        <f t="shared" si="0"/>
        <v>1479.4520547945206</v>
      </c>
      <c r="K6" s="16" t="s">
        <v>219</v>
      </c>
      <c r="L6" s="16" t="s">
        <v>255</v>
      </c>
      <c r="M6" s="16" t="s">
        <v>255</v>
      </c>
      <c r="N6" s="16" t="s">
        <v>252</v>
      </c>
      <c r="O6" s="1">
        <v>73</v>
      </c>
      <c r="P6" s="16" t="s">
        <v>263</v>
      </c>
      <c r="Q6" s="16" t="s">
        <v>295</v>
      </c>
      <c r="R6" s="16" t="s">
        <v>255</v>
      </c>
      <c r="S6" s="16" t="s">
        <v>252</v>
      </c>
      <c r="T6" s="16" t="s">
        <v>252</v>
      </c>
      <c r="U6" s="16" t="s">
        <v>312</v>
      </c>
    </row>
    <row r="7" spans="1:21" ht="19.95" customHeight="1" x14ac:dyDescent="0.3">
      <c r="A7" s="16" t="s">
        <v>78</v>
      </c>
      <c r="B7" s="12" t="s">
        <v>188</v>
      </c>
      <c r="C7" s="16" t="s">
        <v>18</v>
      </c>
      <c r="D7" s="16" t="s">
        <v>31</v>
      </c>
      <c r="E7" s="16" t="s">
        <v>114</v>
      </c>
      <c r="F7" s="16" t="s">
        <v>313</v>
      </c>
      <c r="G7" s="16" t="s">
        <v>138</v>
      </c>
      <c r="H7" s="16" t="s">
        <v>139</v>
      </c>
      <c r="I7" s="17">
        <v>180000</v>
      </c>
      <c r="J7" s="17">
        <f t="shared" si="0"/>
        <v>1651.3761467889908</v>
      </c>
      <c r="K7" s="16" t="s">
        <v>220</v>
      </c>
      <c r="L7" s="16" t="s">
        <v>254</v>
      </c>
      <c r="M7" s="16" t="s">
        <v>254</v>
      </c>
      <c r="N7" s="16" t="s">
        <v>252</v>
      </c>
      <c r="O7" s="1">
        <v>109</v>
      </c>
      <c r="P7" s="16" t="s">
        <v>259</v>
      </c>
      <c r="Q7" s="16" t="s">
        <v>292</v>
      </c>
      <c r="R7" s="16" t="s">
        <v>255</v>
      </c>
      <c r="S7" s="16" t="s">
        <v>255</v>
      </c>
      <c r="T7" s="16" t="s">
        <v>214</v>
      </c>
      <c r="U7" s="16"/>
    </row>
    <row r="8" spans="1:21" ht="19.95" customHeight="1" x14ac:dyDescent="0.3">
      <c r="A8" s="16" t="s">
        <v>79</v>
      </c>
      <c r="B8" s="12" t="s">
        <v>189</v>
      </c>
      <c r="C8" s="16" t="s">
        <v>18</v>
      </c>
      <c r="D8" s="16" t="s">
        <v>30</v>
      </c>
      <c r="E8" s="16" t="s">
        <v>115</v>
      </c>
      <c r="F8" s="16" t="s">
        <v>313</v>
      </c>
      <c r="G8" s="16" t="s">
        <v>140</v>
      </c>
      <c r="H8" s="16" t="s">
        <v>141</v>
      </c>
      <c r="I8" s="17">
        <v>250000</v>
      </c>
      <c r="J8" s="17">
        <f t="shared" si="0"/>
        <v>2380.9523809523807</v>
      </c>
      <c r="K8" s="16" t="s">
        <v>221</v>
      </c>
      <c r="L8" s="16" t="s">
        <v>256</v>
      </c>
      <c r="M8" s="16" t="s">
        <v>256</v>
      </c>
      <c r="N8" s="16" t="s">
        <v>252</v>
      </c>
      <c r="O8" s="1">
        <v>105</v>
      </c>
      <c r="P8" s="16" t="s">
        <v>259</v>
      </c>
      <c r="Q8" s="16" t="s">
        <v>297</v>
      </c>
      <c r="R8" s="16" t="s">
        <v>254</v>
      </c>
      <c r="S8" s="16" t="s">
        <v>252</v>
      </c>
      <c r="T8" s="16" t="s">
        <v>252</v>
      </c>
      <c r="U8" s="16" t="s">
        <v>312</v>
      </c>
    </row>
    <row r="9" spans="1:21" ht="19.95" customHeight="1" x14ac:dyDescent="0.3">
      <c r="A9" s="16" t="s">
        <v>35</v>
      </c>
      <c r="B9" s="12" t="s">
        <v>67</v>
      </c>
      <c r="C9" s="16" t="s">
        <v>19</v>
      </c>
      <c r="D9" s="16" t="s">
        <v>33</v>
      </c>
      <c r="E9" s="16" t="s">
        <v>34</v>
      </c>
      <c r="F9" s="16" t="s">
        <v>313</v>
      </c>
      <c r="G9" s="16" t="s">
        <v>36</v>
      </c>
      <c r="H9" s="16" t="s">
        <v>37</v>
      </c>
      <c r="I9" s="17">
        <v>65000</v>
      </c>
      <c r="J9" s="17">
        <f t="shared" si="0"/>
        <v>822.78481012658233</v>
      </c>
      <c r="K9" s="16" t="s">
        <v>222</v>
      </c>
      <c r="L9" s="16" t="s">
        <v>252</v>
      </c>
      <c r="M9" s="16" t="s">
        <v>252</v>
      </c>
      <c r="N9" s="16" t="s">
        <v>252</v>
      </c>
      <c r="O9" s="1">
        <v>79</v>
      </c>
      <c r="P9" s="16" t="s">
        <v>265</v>
      </c>
      <c r="Q9" s="16" t="s">
        <v>302</v>
      </c>
      <c r="R9" s="16" t="s">
        <v>255</v>
      </c>
      <c r="S9" s="16" t="s">
        <v>252</v>
      </c>
      <c r="T9" s="16"/>
      <c r="U9" s="16"/>
    </row>
    <row r="10" spans="1:21" ht="19.95" customHeight="1" x14ac:dyDescent="0.3">
      <c r="A10" s="16" t="s">
        <v>80</v>
      </c>
      <c r="B10" s="12" t="s">
        <v>190</v>
      </c>
      <c r="C10" s="16" t="s">
        <v>18</v>
      </c>
      <c r="D10" s="16" t="s">
        <v>31</v>
      </c>
      <c r="E10" s="16" t="s">
        <v>116</v>
      </c>
      <c r="F10" s="16" t="s">
        <v>313</v>
      </c>
      <c r="G10" s="16" t="s">
        <v>142</v>
      </c>
      <c r="H10" s="16" t="s">
        <v>143</v>
      </c>
      <c r="I10" s="17">
        <v>173000</v>
      </c>
      <c r="J10" s="17">
        <f t="shared" si="0"/>
        <v>1783.5051546391753</v>
      </c>
      <c r="K10" s="16" t="s">
        <v>223</v>
      </c>
      <c r="L10" s="16" t="s">
        <v>255</v>
      </c>
      <c r="M10" s="16" t="s">
        <v>255</v>
      </c>
      <c r="N10" s="16" t="s">
        <v>252</v>
      </c>
      <c r="O10" s="1">
        <v>97</v>
      </c>
      <c r="P10" s="16" t="s">
        <v>266</v>
      </c>
      <c r="Q10" s="16" t="s">
        <v>308</v>
      </c>
      <c r="R10" s="16" t="s">
        <v>255</v>
      </c>
      <c r="S10" s="16" t="s">
        <v>252</v>
      </c>
      <c r="T10" s="16"/>
      <c r="U10" s="16"/>
    </row>
    <row r="11" spans="1:21" ht="19.95" customHeight="1" x14ac:dyDescent="0.3">
      <c r="A11" s="16" t="s">
        <v>81</v>
      </c>
      <c r="B11" s="12" t="s">
        <v>191</v>
      </c>
      <c r="C11" s="16" t="s">
        <v>19</v>
      </c>
      <c r="D11" s="16" t="s">
        <v>107</v>
      </c>
      <c r="E11" s="16" t="s">
        <v>117</v>
      </c>
      <c r="F11" s="16" t="s">
        <v>313</v>
      </c>
      <c r="G11" s="16" t="s">
        <v>144</v>
      </c>
      <c r="H11" s="16" t="s">
        <v>145</v>
      </c>
      <c r="I11" s="17">
        <v>117000</v>
      </c>
      <c r="J11" s="17">
        <f t="shared" si="0"/>
        <v>1147.0588235294117</v>
      </c>
      <c r="K11" s="16" t="s">
        <v>224</v>
      </c>
      <c r="L11" s="16" t="s">
        <v>252</v>
      </c>
      <c r="M11" s="16" t="s">
        <v>252</v>
      </c>
      <c r="N11" s="16" t="s">
        <v>252</v>
      </c>
      <c r="O11" s="1">
        <v>102</v>
      </c>
      <c r="P11" s="16" t="s">
        <v>267</v>
      </c>
      <c r="Q11" s="16" t="s">
        <v>298</v>
      </c>
      <c r="R11" s="16" t="s">
        <v>255</v>
      </c>
      <c r="S11" s="16" t="s">
        <v>252</v>
      </c>
      <c r="T11" s="16"/>
      <c r="U11" s="16"/>
    </row>
    <row r="12" spans="1:21" ht="19.95" customHeight="1" x14ac:dyDescent="0.3">
      <c r="A12" s="16" t="s">
        <v>82</v>
      </c>
      <c r="B12" s="12" t="s">
        <v>192</v>
      </c>
      <c r="C12" s="16" t="s">
        <v>19</v>
      </c>
      <c r="D12" s="16" t="s">
        <v>19</v>
      </c>
      <c r="E12" s="16" t="s">
        <v>118</v>
      </c>
      <c r="F12" s="16" t="s">
        <v>313</v>
      </c>
      <c r="G12" s="16" t="s">
        <v>146</v>
      </c>
      <c r="H12" s="16" t="s">
        <v>147</v>
      </c>
      <c r="I12" s="17">
        <v>80000</v>
      </c>
      <c r="J12" s="17">
        <f t="shared" si="0"/>
        <v>1250</v>
      </c>
      <c r="K12" s="16" t="s">
        <v>225</v>
      </c>
      <c r="L12" s="16" t="s">
        <v>254</v>
      </c>
      <c r="M12" s="16" t="s">
        <v>254</v>
      </c>
      <c r="N12" s="16" t="s">
        <v>252</v>
      </c>
      <c r="O12" s="1">
        <v>64</v>
      </c>
      <c r="P12" s="16" t="s">
        <v>268</v>
      </c>
      <c r="Q12" s="16" t="s">
        <v>289</v>
      </c>
      <c r="R12" s="16" t="s">
        <v>255</v>
      </c>
      <c r="S12" s="16" t="s">
        <v>252</v>
      </c>
      <c r="T12" s="16" t="s">
        <v>214</v>
      </c>
      <c r="U12" s="16"/>
    </row>
    <row r="13" spans="1:21" ht="19.95" customHeight="1" x14ac:dyDescent="0.3">
      <c r="A13" s="16" t="s">
        <v>40</v>
      </c>
      <c r="B13" s="12" t="s">
        <v>193</v>
      </c>
      <c r="C13" s="16" t="s">
        <v>19</v>
      </c>
      <c r="D13" s="16" t="s">
        <v>38</v>
      </c>
      <c r="E13" s="16" t="s">
        <v>39</v>
      </c>
      <c r="F13" s="16" t="s">
        <v>313</v>
      </c>
      <c r="G13" s="16" t="s">
        <v>41</v>
      </c>
      <c r="H13" s="16" t="s">
        <v>42</v>
      </c>
      <c r="I13" s="17">
        <v>190000</v>
      </c>
      <c r="J13" s="17">
        <f t="shared" si="0"/>
        <v>1809.5238095238096</v>
      </c>
      <c r="K13" s="16" t="s">
        <v>226</v>
      </c>
      <c r="L13" s="16" t="s">
        <v>256</v>
      </c>
      <c r="M13" s="16" t="s">
        <v>256</v>
      </c>
      <c r="N13" s="16" t="s">
        <v>252</v>
      </c>
      <c r="O13" s="1">
        <v>105</v>
      </c>
      <c r="P13" s="16" t="s">
        <v>264</v>
      </c>
      <c r="Q13" s="16" t="s">
        <v>300</v>
      </c>
      <c r="R13" s="16" t="s">
        <v>254</v>
      </c>
      <c r="S13" s="16" t="s">
        <v>252</v>
      </c>
      <c r="T13" s="16"/>
      <c r="U13" s="16"/>
    </row>
    <row r="14" spans="1:21" ht="19.95" customHeight="1" x14ac:dyDescent="0.3">
      <c r="A14" s="16" t="s">
        <v>83</v>
      </c>
      <c r="B14" s="12" t="s">
        <v>194</v>
      </c>
      <c r="C14" s="16" t="s">
        <v>19</v>
      </c>
      <c r="D14" s="16" t="s">
        <v>20</v>
      </c>
      <c r="E14" s="16" t="s">
        <v>119</v>
      </c>
      <c r="F14" s="16" t="s">
        <v>313</v>
      </c>
      <c r="G14" s="16" t="s">
        <v>148</v>
      </c>
      <c r="H14" s="16" t="s">
        <v>149</v>
      </c>
      <c r="I14" s="17">
        <v>78000</v>
      </c>
      <c r="J14" s="17">
        <f t="shared" si="0"/>
        <v>1130.4347826086957</v>
      </c>
      <c r="K14" s="16" t="s">
        <v>227</v>
      </c>
      <c r="L14" s="16" t="s">
        <v>252</v>
      </c>
      <c r="M14" s="16" t="s">
        <v>252</v>
      </c>
      <c r="N14" s="16" t="s">
        <v>252</v>
      </c>
      <c r="O14" s="1">
        <v>69</v>
      </c>
      <c r="P14" s="16" t="s">
        <v>269</v>
      </c>
      <c r="Q14" s="16" t="s">
        <v>296</v>
      </c>
      <c r="R14" s="16" t="s">
        <v>255</v>
      </c>
      <c r="S14" s="16" t="s">
        <v>252</v>
      </c>
      <c r="T14" s="16"/>
      <c r="U14" s="16"/>
    </row>
    <row r="15" spans="1:21" ht="19.95" customHeight="1" x14ac:dyDescent="0.3">
      <c r="A15" s="16" t="s">
        <v>84</v>
      </c>
      <c r="B15" s="12" t="s">
        <v>195</v>
      </c>
      <c r="C15" s="16" t="s">
        <v>18</v>
      </c>
      <c r="D15" s="16" t="s">
        <v>104</v>
      </c>
      <c r="E15" s="16"/>
      <c r="F15" s="16" t="s">
        <v>313</v>
      </c>
      <c r="G15" s="16" t="s">
        <v>150</v>
      </c>
      <c r="H15" s="16" t="s">
        <v>151</v>
      </c>
      <c r="I15" s="17">
        <v>312000</v>
      </c>
      <c r="J15" s="17">
        <f t="shared" si="0"/>
        <v>2836.3636363636365</v>
      </c>
      <c r="K15" s="16" t="s">
        <v>228</v>
      </c>
      <c r="L15" s="16" t="s">
        <v>252</v>
      </c>
      <c r="M15" s="16" t="s">
        <v>252</v>
      </c>
      <c r="N15" s="16" t="s">
        <v>252</v>
      </c>
      <c r="O15" s="1">
        <v>110</v>
      </c>
      <c r="P15" s="16" t="s">
        <v>270</v>
      </c>
      <c r="Q15" s="16" t="s">
        <v>306</v>
      </c>
      <c r="R15" s="16" t="s">
        <v>254</v>
      </c>
      <c r="S15" s="16" t="s">
        <v>255</v>
      </c>
      <c r="T15" s="16" t="s">
        <v>252</v>
      </c>
      <c r="U15" s="16" t="s">
        <v>311</v>
      </c>
    </row>
    <row r="16" spans="1:21" ht="19.95" customHeight="1" x14ac:dyDescent="0.3">
      <c r="A16" s="16" t="s">
        <v>85</v>
      </c>
      <c r="B16" s="12" t="s">
        <v>196</v>
      </c>
      <c r="C16" s="16" t="s">
        <v>19</v>
      </c>
      <c r="D16" s="16" t="s">
        <v>19</v>
      </c>
      <c r="E16" s="16" t="s">
        <v>120</v>
      </c>
      <c r="F16" s="16" t="s">
        <v>313</v>
      </c>
      <c r="G16" s="16" t="s">
        <v>152</v>
      </c>
      <c r="H16" s="16" t="s">
        <v>153</v>
      </c>
      <c r="I16" s="17">
        <v>82000</v>
      </c>
      <c r="J16" s="17">
        <f t="shared" si="0"/>
        <v>1490.909090909091</v>
      </c>
      <c r="K16" s="16" t="s">
        <v>229</v>
      </c>
      <c r="L16" s="16" t="s">
        <v>254</v>
      </c>
      <c r="M16" s="16" t="s">
        <v>254</v>
      </c>
      <c r="N16" s="16" t="s">
        <v>252</v>
      </c>
      <c r="O16" s="1">
        <v>55</v>
      </c>
      <c r="P16" s="16" t="s">
        <v>271</v>
      </c>
      <c r="Q16" s="16" t="s">
        <v>309</v>
      </c>
      <c r="R16" s="16" t="s">
        <v>252</v>
      </c>
      <c r="S16" s="16" t="s">
        <v>252</v>
      </c>
      <c r="T16" s="16"/>
      <c r="U16" s="16"/>
    </row>
    <row r="17" spans="1:21" ht="19.95" customHeight="1" x14ac:dyDescent="0.3">
      <c r="A17" s="16" t="s">
        <v>86</v>
      </c>
      <c r="B17" s="12" t="s">
        <v>197</v>
      </c>
      <c r="C17" s="16" t="s">
        <v>19</v>
      </c>
      <c r="D17" s="16" t="s">
        <v>19</v>
      </c>
      <c r="E17" s="16" t="s">
        <v>121</v>
      </c>
      <c r="F17" s="16" t="s">
        <v>313</v>
      </c>
      <c r="G17" s="16" t="s">
        <v>154</v>
      </c>
      <c r="H17" s="16" t="s">
        <v>155</v>
      </c>
      <c r="I17" s="17">
        <v>115000</v>
      </c>
      <c r="J17" s="17">
        <f t="shared" si="0"/>
        <v>1949.1525423728813</v>
      </c>
      <c r="K17" s="16" t="s">
        <v>230</v>
      </c>
      <c r="L17" s="16" t="s">
        <v>256</v>
      </c>
      <c r="M17" s="16" t="s">
        <v>256</v>
      </c>
      <c r="N17" s="16" t="s">
        <v>252</v>
      </c>
      <c r="O17" s="1">
        <v>59</v>
      </c>
      <c r="P17" s="16" t="s">
        <v>272</v>
      </c>
      <c r="Q17" s="16" t="s">
        <v>307</v>
      </c>
      <c r="R17" s="16" t="s">
        <v>255</v>
      </c>
      <c r="S17" s="16" t="s">
        <v>252</v>
      </c>
      <c r="T17" s="16"/>
      <c r="U17" s="16"/>
    </row>
    <row r="18" spans="1:21" ht="19.95" customHeight="1" x14ac:dyDescent="0.3">
      <c r="A18" s="16" t="s">
        <v>87</v>
      </c>
      <c r="B18" s="12" t="s">
        <v>198</v>
      </c>
      <c r="C18" s="16" t="s">
        <v>21</v>
      </c>
      <c r="D18" s="16" t="s">
        <v>28</v>
      </c>
      <c r="E18" s="16" t="s">
        <v>43</v>
      </c>
      <c r="F18" s="16" t="s">
        <v>313</v>
      </c>
      <c r="G18" s="16" t="s">
        <v>44</v>
      </c>
      <c r="H18" s="16" t="s">
        <v>45</v>
      </c>
      <c r="I18" s="17">
        <v>88000</v>
      </c>
      <c r="J18" s="17">
        <f t="shared" si="0"/>
        <v>1205.4794520547946</v>
      </c>
      <c r="K18" s="16" t="s">
        <v>231</v>
      </c>
      <c r="L18" s="16" t="s">
        <v>252</v>
      </c>
      <c r="M18" s="16" t="s">
        <v>252</v>
      </c>
      <c r="N18" s="16" t="s">
        <v>252</v>
      </c>
      <c r="O18" s="1">
        <v>73</v>
      </c>
      <c r="P18" s="16" t="s">
        <v>273</v>
      </c>
      <c r="Q18" s="16" t="s">
        <v>295</v>
      </c>
      <c r="R18" s="16" t="s">
        <v>255</v>
      </c>
      <c r="S18" s="16" t="s">
        <v>252</v>
      </c>
      <c r="T18" s="16"/>
      <c r="U18" s="16"/>
    </row>
    <row r="19" spans="1:21" ht="19.95" customHeight="1" x14ac:dyDescent="0.3">
      <c r="A19" s="16" t="s">
        <v>88</v>
      </c>
      <c r="B19" s="12" t="s">
        <v>199</v>
      </c>
      <c r="C19" s="16" t="s">
        <v>18</v>
      </c>
      <c r="D19" s="16" t="s">
        <v>31</v>
      </c>
      <c r="E19" s="16" t="s">
        <v>122</v>
      </c>
      <c r="F19" s="16" t="s">
        <v>313</v>
      </c>
      <c r="G19" s="16" t="s">
        <v>156</v>
      </c>
      <c r="H19" s="16" t="s">
        <v>157</v>
      </c>
      <c r="I19" s="17">
        <v>99000</v>
      </c>
      <c r="J19" s="17">
        <f t="shared" si="0"/>
        <v>1151.1627906976744</v>
      </c>
      <c r="K19" s="16" t="s">
        <v>232</v>
      </c>
      <c r="L19" s="16" t="s">
        <v>257</v>
      </c>
      <c r="M19" s="16" t="s">
        <v>257</v>
      </c>
      <c r="N19" s="16" t="s">
        <v>252</v>
      </c>
      <c r="O19" s="1">
        <v>86</v>
      </c>
      <c r="P19" s="16" t="s">
        <v>274</v>
      </c>
      <c r="Q19" s="16" t="s">
        <v>305</v>
      </c>
      <c r="R19" s="16" t="s">
        <v>255</v>
      </c>
      <c r="S19" s="16" t="s">
        <v>252</v>
      </c>
      <c r="T19" s="16"/>
      <c r="U19" s="16"/>
    </row>
    <row r="20" spans="1:21" ht="19.95" customHeight="1" x14ac:dyDescent="0.3">
      <c r="A20" t="s">
        <v>89</v>
      </c>
      <c r="B20" s="18" t="s">
        <v>200</v>
      </c>
      <c r="C20" t="s">
        <v>18</v>
      </c>
      <c r="D20" t="s">
        <v>104</v>
      </c>
      <c r="E20" t="s">
        <v>123</v>
      </c>
      <c r="F20" s="16" t="s">
        <v>314</v>
      </c>
      <c r="G20" t="s">
        <v>158</v>
      </c>
      <c r="H20" t="s">
        <v>159</v>
      </c>
      <c r="I20" s="5">
        <v>230000</v>
      </c>
      <c r="J20" s="5">
        <f t="shared" si="0"/>
        <v>1965.8119658119658</v>
      </c>
      <c r="K20" t="s">
        <v>233</v>
      </c>
      <c r="L20" t="s">
        <v>214</v>
      </c>
      <c r="M20" t="s">
        <v>255</v>
      </c>
      <c r="N20" t="s">
        <v>254</v>
      </c>
      <c r="O20" s="15">
        <v>117</v>
      </c>
      <c r="P20" t="s">
        <v>275</v>
      </c>
      <c r="Q20" t="s">
        <v>293</v>
      </c>
      <c r="R20" t="s">
        <v>254</v>
      </c>
      <c r="S20" t="s">
        <v>255</v>
      </c>
      <c r="T20" t="s">
        <v>252</v>
      </c>
    </row>
    <row r="21" spans="1:21" ht="19.95" customHeight="1" x14ac:dyDescent="0.3">
      <c r="A21" s="16" t="s">
        <v>90</v>
      </c>
      <c r="B21" s="12" t="s">
        <v>201</v>
      </c>
      <c r="C21" s="16" t="s">
        <v>18</v>
      </c>
      <c r="D21" s="16" t="s">
        <v>108</v>
      </c>
      <c r="E21" s="16" t="s">
        <v>124</v>
      </c>
      <c r="F21" s="16" t="s">
        <v>313</v>
      </c>
      <c r="G21" s="16" t="s">
        <v>160</v>
      </c>
      <c r="H21" s="16" t="s">
        <v>161</v>
      </c>
      <c r="I21" s="17">
        <v>190000</v>
      </c>
      <c r="J21" s="17">
        <f t="shared" si="0"/>
        <v>2000</v>
      </c>
      <c r="K21" s="16" t="s">
        <v>234</v>
      </c>
      <c r="L21" s="16" t="s">
        <v>256</v>
      </c>
      <c r="M21" s="16" t="s">
        <v>256</v>
      </c>
      <c r="N21" s="16" t="s">
        <v>252</v>
      </c>
      <c r="O21" s="1">
        <v>95</v>
      </c>
      <c r="P21" s="16" t="s">
        <v>276</v>
      </c>
      <c r="Q21" s="16" t="s">
        <v>301</v>
      </c>
      <c r="R21" s="16" t="s">
        <v>254</v>
      </c>
      <c r="S21" s="16" t="s">
        <v>255</v>
      </c>
      <c r="T21" s="16"/>
      <c r="U21" s="16"/>
    </row>
    <row r="22" spans="1:21" ht="19.95" customHeight="1" x14ac:dyDescent="0.3">
      <c r="A22" s="16" t="s">
        <v>91</v>
      </c>
      <c r="B22" s="12" t="s">
        <v>202</v>
      </c>
      <c r="C22" s="16" t="s">
        <v>18</v>
      </c>
      <c r="D22" s="16" t="s">
        <v>106</v>
      </c>
      <c r="E22" s="16"/>
      <c r="F22" s="16" t="s">
        <v>313</v>
      </c>
      <c r="G22" s="16" t="s">
        <v>162</v>
      </c>
      <c r="H22" s="16" t="s">
        <v>163</v>
      </c>
      <c r="I22" s="17">
        <v>225000</v>
      </c>
      <c r="J22" s="17">
        <f t="shared" si="0"/>
        <v>2008.9285714285713</v>
      </c>
      <c r="K22" s="16" t="s">
        <v>235</v>
      </c>
      <c r="L22" s="16" t="s">
        <v>256</v>
      </c>
      <c r="M22" s="16" t="s">
        <v>256</v>
      </c>
      <c r="N22" s="16" t="s">
        <v>252</v>
      </c>
      <c r="O22" s="1">
        <v>112</v>
      </c>
      <c r="P22" s="16" t="s">
        <v>259</v>
      </c>
      <c r="Q22" s="16" t="s">
        <v>301</v>
      </c>
      <c r="R22" s="16" t="s">
        <v>214</v>
      </c>
      <c r="S22" s="16" t="s">
        <v>214</v>
      </c>
      <c r="T22" s="16"/>
      <c r="U22" s="16"/>
    </row>
    <row r="23" spans="1:21" ht="19.95" customHeight="1" x14ac:dyDescent="0.3">
      <c r="A23" s="16" t="s">
        <v>47</v>
      </c>
      <c r="B23" s="12" t="s">
        <v>68</v>
      </c>
      <c r="C23" s="16" t="s">
        <v>21</v>
      </c>
      <c r="D23" s="16" t="s">
        <v>28</v>
      </c>
      <c r="E23" s="16" t="s">
        <v>43</v>
      </c>
      <c r="F23" s="16" t="s">
        <v>313</v>
      </c>
      <c r="G23" s="16" t="s">
        <v>44</v>
      </c>
      <c r="H23" s="16" t="s">
        <v>45</v>
      </c>
      <c r="I23" s="17">
        <v>138500</v>
      </c>
      <c r="J23" s="17">
        <f t="shared" si="0"/>
        <v>1897.2602739726028</v>
      </c>
      <c r="K23" s="16" t="s">
        <v>236</v>
      </c>
      <c r="L23" s="16" t="s">
        <v>255</v>
      </c>
      <c r="M23" s="16" t="s">
        <v>255</v>
      </c>
      <c r="N23" s="16" t="s">
        <v>252</v>
      </c>
      <c r="O23" s="1">
        <v>73</v>
      </c>
      <c r="P23" s="16" t="s">
        <v>273</v>
      </c>
      <c r="Q23" s="16" t="s">
        <v>295</v>
      </c>
      <c r="R23" s="16" t="s">
        <v>255</v>
      </c>
      <c r="S23" s="16" t="s">
        <v>252</v>
      </c>
      <c r="T23" s="16" t="s">
        <v>252</v>
      </c>
      <c r="U23" s="16" t="s">
        <v>312</v>
      </c>
    </row>
    <row r="24" spans="1:21" ht="19.95" customHeight="1" x14ac:dyDescent="0.3">
      <c r="A24" s="16" t="s">
        <v>49</v>
      </c>
      <c r="B24" s="12" t="s">
        <v>69</v>
      </c>
      <c r="C24" s="16" t="s">
        <v>18</v>
      </c>
      <c r="D24" s="16" t="s">
        <v>31</v>
      </c>
      <c r="E24" s="16" t="s">
        <v>48</v>
      </c>
      <c r="F24" s="16" t="s">
        <v>313</v>
      </c>
      <c r="G24" s="16" t="s">
        <v>50</v>
      </c>
      <c r="H24" s="16" t="s">
        <v>51</v>
      </c>
      <c r="I24" s="17">
        <v>135000</v>
      </c>
      <c r="J24" s="17">
        <f t="shared" si="0"/>
        <v>1406.25</v>
      </c>
      <c r="K24" s="16" t="s">
        <v>237</v>
      </c>
      <c r="L24" s="16" t="s">
        <v>254</v>
      </c>
      <c r="M24" s="16" t="s">
        <v>254</v>
      </c>
      <c r="N24" s="16" t="s">
        <v>252</v>
      </c>
      <c r="O24" s="1">
        <v>96</v>
      </c>
      <c r="P24" s="16" t="s">
        <v>259</v>
      </c>
      <c r="Q24" s="16" t="s">
        <v>309</v>
      </c>
      <c r="R24" s="16" t="s">
        <v>255</v>
      </c>
      <c r="S24" s="16" t="s">
        <v>252</v>
      </c>
      <c r="T24" s="16"/>
      <c r="U24" s="16"/>
    </row>
    <row r="25" spans="1:21" ht="19.95" customHeight="1" x14ac:dyDescent="0.3">
      <c r="A25" s="16" t="s">
        <v>92</v>
      </c>
      <c r="B25" s="12" t="s">
        <v>203</v>
      </c>
      <c r="C25" s="16" t="s">
        <v>19</v>
      </c>
      <c r="D25" s="16" t="s">
        <v>109</v>
      </c>
      <c r="E25" s="16" t="s">
        <v>125</v>
      </c>
      <c r="F25" s="16" t="s">
        <v>313</v>
      </c>
      <c r="G25" s="16" t="s">
        <v>164</v>
      </c>
      <c r="H25" s="16" t="s">
        <v>165</v>
      </c>
      <c r="I25" s="17">
        <v>70000</v>
      </c>
      <c r="J25" s="17">
        <f t="shared" si="0"/>
        <v>1206.8965517241379</v>
      </c>
      <c r="K25" s="16" t="s">
        <v>238</v>
      </c>
      <c r="L25" s="16" t="s">
        <v>254</v>
      </c>
      <c r="M25" s="16" t="s">
        <v>254</v>
      </c>
      <c r="N25" s="16" t="s">
        <v>252</v>
      </c>
      <c r="O25" s="1">
        <v>58</v>
      </c>
      <c r="P25" s="16" t="s">
        <v>277</v>
      </c>
      <c r="Q25" s="16" t="s">
        <v>296</v>
      </c>
      <c r="R25" s="16" t="s">
        <v>252</v>
      </c>
      <c r="S25" s="16" t="s">
        <v>252</v>
      </c>
      <c r="T25" s="16"/>
      <c r="U25" s="16"/>
    </row>
    <row r="26" spans="1:21" ht="19.95" customHeight="1" x14ac:dyDescent="0.3">
      <c r="A26" s="16" t="s">
        <v>53</v>
      </c>
      <c r="B26" s="12" t="s">
        <v>70</v>
      </c>
      <c r="C26" s="16" t="s">
        <v>19</v>
      </c>
      <c r="D26" s="16" t="s">
        <v>52</v>
      </c>
      <c r="E26" s="16"/>
      <c r="F26" s="16" t="s">
        <v>313</v>
      </c>
      <c r="G26" s="16" t="s">
        <v>54</v>
      </c>
      <c r="H26" s="16" t="s">
        <v>55</v>
      </c>
      <c r="I26" s="17">
        <v>85000</v>
      </c>
      <c r="J26" s="17">
        <f t="shared" si="0"/>
        <v>1931.8181818181818</v>
      </c>
      <c r="K26" s="16" t="s">
        <v>239</v>
      </c>
      <c r="L26" s="16" t="s">
        <v>252</v>
      </c>
      <c r="M26" s="16" t="s">
        <v>252</v>
      </c>
      <c r="N26" s="16" t="s">
        <v>252</v>
      </c>
      <c r="O26" s="1">
        <v>44</v>
      </c>
      <c r="P26" s="16" t="s">
        <v>278</v>
      </c>
      <c r="Q26" s="16" t="s">
        <v>288</v>
      </c>
      <c r="R26" s="16" t="s">
        <v>252</v>
      </c>
      <c r="S26" s="16" t="s">
        <v>252</v>
      </c>
      <c r="T26" s="16"/>
      <c r="U26" s="16"/>
    </row>
    <row r="27" spans="1:21" ht="19.95" customHeight="1" x14ac:dyDescent="0.3">
      <c r="A27" s="16" t="s">
        <v>58</v>
      </c>
      <c r="B27" s="12" t="s">
        <v>71</v>
      </c>
      <c r="C27" s="16" t="s">
        <v>19</v>
      </c>
      <c r="D27" s="16" t="s">
        <v>56</v>
      </c>
      <c r="E27" s="16" t="s">
        <v>57</v>
      </c>
      <c r="F27" s="16" t="s">
        <v>313</v>
      </c>
      <c r="G27" s="16" t="s">
        <v>59</v>
      </c>
      <c r="H27" s="16" t="s">
        <v>60</v>
      </c>
      <c r="I27" s="17">
        <v>250000</v>
      </c>
      <c r="J27" s="17">
        <f t="shared" si="0"/>
        <v>2427.1844660194174</v>
      </c>
      <c r="K27" s="16" t="s">
        <v>240</v>
      </c>
      <c r="L27" s="16" t="s">
        <v>214</v>
      </c>
      <c r="M27" s="16" t="s">
        <v>214</v>
      </c>
      <c r="N27" s="16" t="s">
        <v>252</v>
      </c>
      <c r="O27" s="1">
        <v>103</v>
      </c>
      <c r="P27" s="16" t="s">
        <v>279</v>
      </c>
      <c r="Q27" s="16" t="s">
        <v>299</v>
      </c>
      <c r="R27" s="16" t="s">
        <v>255</v>
      </c>
      <c r="S27" s="16" t="s">
        <v>252</v>
      </c>
      <c r="T27" s="16"/>
      <c r="U27" s="16"/>
    </row>
    <row r="28" spans="1:21" ht="19.95" customHeight="1" x14ac:dyDescent="0.3">
      <c r="A28" s="16" t="s">
        <v>93</v>
      </c>
      <c r="B28" s="12" t="s">
        <v>204</v>
      </c>
      <c r="C28" s="16" t="s">
        <v>19</v>
      </c>
      <c r="D28" s="16" t="s">
        <v>105</v>
      </c>
      <c r="E28" s="16" t="s">
        <v>126</v>
      </c>
      <c r="F28" s="16" t="s">
        <v>313</v>
      </c>
      <c r="G28" s="16" t="s">
        <v>166</v>
      </c>
      <c r="H28" s="16" t="s">
        <v>167</v>
      </c>
      <c r="I28" s="17">
        <v>80000</v>
      </c>
      <c r="J28" s="17">
        <f t="shared" si="0"/>
        <v>1038.9610389610389</v>
      </c>
      <c r="K28" s="16" t="s">
        <v>241</v>
      </c>
      <c r="L28" s="16" t="s">
        <v>253</v>
      </c>
      <c r="M28" s="16" t="s">
        <v>214</v>
      </c>
      <c r="N28" s="16" t="s">
        <v>255</v>
      </c>
      <c r="O28" s="1">
        <v>77</v>
      </c>
      <c r="P28" s="16" t="s">
        <v>280</v>
      </c>
      <c r="Q28" s="16" t="s">
        <v>295</v>
      </c>
      <c r="R28" s="16" t="s">
        <v>252</v>
      </c>
      <c r="S28" s="16" t="s">
        <v>252</v>
      </c>
      <c r="T28" s="16"/>
      <c r="U28" s="16"/>
    </row>
    <row r="29" spans="1:21" ht="19.95" customHeight="1" x14ac:dyDescent="0.3">
      <c r="A29" s="16" t="s">
        <v>94</v>
      </c>
      <c r="B29" s="12" t="s">
        <v>205</v>
      </c>
      <c r="C29" s="16" t="s">
        <v>19</v>
      </c>
      <c r="D29" s="16" t="s">
        <v>19</v>
      </c>
      <c r="E29" s="16"/>
      <c r="F29" s="16" t="s">
        <v>313</v>
      </c>
      <c r="G29" s="16" t="s">
        <v>168</v>
      </c>
      <c r="H29" s="16" t="s">
        <v>169</v>
      </c>
      <c r="I29" s="17">
        <v>250000</v>
      </c>
      <c r="J29" s="17">
        <f t="shared" si="0"/>
        <v>2631.5789473684213</v>
      </c>
      <c r="K29" s="16" t="s">
        <v>242</v>
      </c>
      <c r="L29" s="16" t="s">
        <v>256</v>
      </c>
      <c r="M29" s="16" t="s">
        <v>256</v>
      </c>
      <c r="N29" s="16" t="s">
        <v>252</v>
      </c>
      <c r="O29" s="1">
        <v>95</v>
      </c>
      <c r="P29" s="16" t="s">
        <v>262</v>
      </c>
      <c r="Q29" s="16" t="s">
        <v>298</v>
      </c>
      <c r="R29" s="16" t="s">
        <v>254</v>
      </c>
      <c r="S29" s="16" t="s">
        <v>252</v>
      </c>
      <c r="T29" s="16"/>
      <c r="U29" s="16"/>
    </row>
    <row r="30" spans="1:21" ht="19.95" customHeight="1" x14ac:dyDescent="0.3">
      <c r="A30" s="16" t="s">
        <v>95</v>
      </c>
      <c r="B30" s="12" t="s">
        <v>206</v>
      </c>
      <c r="C30" s="16" t="s">
        <v>19</v>
      </c>
      <c r="D30" s="16" t="s">
        <v>19</v>
      </c>
      <c r="E30" s="16" t="s">
        <v>127</v>
      </c>
      <c r="F30" s="16" t="s">
        <v>313</v>
      </c>
      <c r="G30" s="16" t="s">
        <v>170</v>
      </c>
      <c r="H30" s="16" t="s">
        <v>171</v>
      </c>
      <c r="I30" s="17">
        <v>85000</v>
      </c>
      <c r="J30" s="17">
        <f t="shared" si="0"/>
        <v>2125</v>
      </c>
      <c r="K30" s="16" t="s">
        <v>243</v>
      </c>
      <c r="L30" s="16" t="s">
        <v>252</v>
      </c>
      <c r="M30" s="16" t="s">
        <v>252</v>
      </c>
      <c r="N30" s="16" t="s">
        <v>252</v>
      </c>
      <c r="O30" s="1">
        <v>40</v>
      </c>
      <c r="P30" s="16" t="s">
        <v>259</v>
      </c>
      <c r="Q30" s="16" t="s">
        <v>304</v>
      </c>
      <c r="R30" s="16" t="s">
        <v>252</v>
      </c>
      <c r="S30" s="16" t="s">
        <v>252</v>
      </c>
      <c r="T30" s="16"/>
      <c r="U30" s="16"/>
    </row>
    <row r="31" spans="1:21" ht="19.95" customHeight="1" x14ac:dyDescent="0.3">
      <c r="A31" s="16" t="s">
        <v>96</v>
      </c>
      <c r="B31" s="12" t="s">
        <v>207</v>
      </c>
      <c r="C31" s="16" t="s">
        <v>19</v>
      </c>
      <c r="D31" s="16" t="s">
        <v>19</v>
      </c>
      <c r="E31" s="16" t="s">
        <v>127</v>
      </c>
      <c r="F31" s="16" t="s">
        <v>313</v>
      </c>
      <c r="G31" s="16" t="s">
        <v>170</v>
      </c>
      <c r="H31" s="16" t="s">
        <v>171</v>
      </c>
      <c r="I31" s="17">
        <v>91000</v>
      </c>
      <c r="J31" s="17">
        <f t="shared" si="0"/>
        <v>2275</v>
      </c>
      <c r="K31" s="16" t="s">
        <v>244</v>
      </c>
      <c r="L31" s="16" t="s">
        <v>255</v>
      </c>
      <c r="M31" s="16" t="s">
        <v>255</v>
      </c>
      <c r="N31" s="16" t="s">
        <v>252</v>
      </c>
      <c r="O31" s="1">
        <v>40</v>
      </c>
      <c r="P31" s="16" t="s">
        <v>259</v>
      </c>
      <c r="Q31" s="16" t="s">
        <v>304</v>
      </c>
      <c r="R31" s="16" t="s">
        <v>252</v>
      </c>
      <c r="S31" s="16" t="s">
        <v>252</v>
      </c>
      <c r="T31" s="16"/>
      <c r="U31" s="16"/>
    </row>
    <row r="32" spans="1:21" ht="19.95" customHeight="1" x14ac:dyDescent="0.3">
      <c r="A32" t="s">
        <v>97</v>
      </c>
      <c r="B32" s="14" t="s">
        <v>208</v>
      </c>
      <c r="C32" t="s">
        <v>19</v>
      </c>
      <c r="D32" t="s">
        <v>20</v>
      </c>
      <c r="E32" t="s">
        <v>128</v>
      </c>
      <c r="F32" s="16" t="s">
        <v>314</v>
      </c>
      <c r="G32" t="s">
        <v>172</v>
      </c>
      <c r="H32" t="s">
        <v>173</v>
      </c>
      <c r="I32" s="5">
        <v>220000</v>
      </c>
      <c r="J32" s="5">
        <f t="shared" si="0"/>
        <v>1913.0434782608695</v>
      </c>
      <c r="K32" t="s">
        <v>245</v>
      </c>
      <c r="L32" t="s">
        <v>253</v>
      </c>
      <c r="M32" t="s">
        <v>214</v>
      </c>
      <c r="N32" t="s">
        <v>255</v>
      </c>
      <c r="O32" s="15">
        <v>115</v>
      </c>
      <c r="P32" t="s">
        <v>281</v>
      </c>
      <c r="Q32" t="s">
        <v>294</v>
      </c>
      <c r="R32" t="s">
        <v>255</v>
      </c>
      <c r="S32" t="s">
        <v>255</v>
      </c>
      <c r="T32" t="s">
        <v>252</v>
      </c>
      <c r="U32" t="s">
        <v>310</v>
      </c>
    </row>
    <row r="33" spans="1:21" ht="19.95" customHeight="1" x14ac:dyDescent="0.3">
      <c r="A33" s="16" t="s">
        <v>63</v>
      </c>
      <c r="B33" s="12" t="s">
        <v>72</v>
      </c>
      <c r="C33" s="16" t="s">
        <v>19</v>
      </c>
      <c r="D33" s="16" t="s">
        <v>61</v>
      </c>
      <c r="E33" s="16" t="s">
        <v>62</v>
      </c>
      <c r="F33" s="16" t="s">
        <v>313</v>
      </c>
      <c r="G33" s="16" t="s">
        <v>64</v>
      </c>
      <c r="H33" s="16" t="s">
        <v>65</v>
      </c>
      <c r="I33" s="17">
        <v>115000</v>
      </c>
      <c r="J33" s="17">
        <f t="shared" si="0"/>
        <v>1642.8571428571429</v>
      </c>
      <c r="K33" s="16" t="s">
        <v>246</v>
      </c>
      <c r="L33" s="16" t="s">
        <v>257</v>
      </c>
      <c r="M33" s="16" t="s">
        <v>257</v>
      </c>
      <c r="N33" s="16" t="s">
        <v>252</v>
      </c>
      <c r="O33" s="1">
        <v>70</v>
      </c>
      <c r="P33" s="16" t="s">
        <v>282</v>
      </c>
      <c r="Q33" s="16" t="s">
        <v>289</v>
      </c>
      <c r="R33" s="16" t="s">
        <v>255</v>
      </c>
      <c r="S33" s="16" t="s">
        <v>252</v>
      </c>
      <c r="T33" s="16" t="s">
        <v>214</v>
      </c>
      <c r="U33" s="16"/>
    </row>
    <row r="34" spans="1:21" ht="19.95" customHeight="1" x14ac:dyDescent="0.3">
      <c r="A34" s="16" t="s">
        <v>98</v>
      </c>
      <c r="B34" s="12" t="s">
        <v>209</v>
      </c>
      <c r="C34" s="16" t="s">
        <v>18</v>
      </c>
      <c r="D34" s="16" t="s">
        <v>110</v>
      </c>
      <c r="E34" s="16" t="s">
        <v>129</v>
      </c>
      <c r="F34" s="16" t="s">
        <v>313</v>
      </c>
      <c r="G34" s="16" t="s">
        <v>174</v>
      </c>
      <c r="H34" s="16" t="s">
        <v>175</v>
      </c>
      <c r="I34" s="17">
        <v>160000</v>
      </c>
      <c r="J34" s="17">
        <f t="shared" si="0"/>
        <v>2162.1621621621621</v>
      </c>
      <c r="K34" s="16" t="s">
        <v>247</v>
      </c>
      <c r="L34" s="16" t="s">
        <v>214</v>
      </c>
      <c r="M34" s="16" t="s">
        <v>214</v>
      </c>
      <c r="N34" s="16" t="s">
        <v>252</v>
      </c>
      <c r="O34" s="1">
        <v>74</v>
      </c>
      <c r="P34" s="16" t="s">
        <v>32</v>
      </c>
      <c r="Q34" s="16" t="s">
        <v>290</v>
      </c>
      <c r="R34" s="16" t="s">
        <v>255</v>
      </c>
      <c r="S34" s="16" t="s">
        <v>252</v>
      </c>
      <c r="T34" s="16"/>
      <c r="U34" s="16"/>
    </row>
    <row r="35" spans="1:21" ht="19.95" customHeight="1" x14ac:dyDescent="0.3">
      <c r="A35" s="16" t="s">
        <v>99</v>
      </c>
      <c r="B35" s="12" t="s">
        <v>210</v>
      </c>
      <c r="C35" s="16" t="s">
        <v>21</v>
      </c>
      <c r="D35" s="16" t="s">
        <v>46</v>
      </c>
      <c r="E35" s="16"/>
      <c r="F35" s="16" t="s">
        <v>313</v>
      </c>
      <c r="G35" s="16" t="s">
        <v>176</v>
      </c>
      <c r="H35" s="16" t="s">
        <v>177</v>
      </c>
      <c r="I35" s="17">
        <v>210000</v>
      </c>
      <c r="J35" s="17">
        <f t="shared" si="0"/>
        <v>2121.212121212121</v>
      </c>
      <c r="K35" s="16" t="s">
        <v>248</v>
      </c>
      <c r="L35" s="16" t="s">
        <v>257</v>
      </c>
      <c r="M35" s="16" t="s">
        <v>257</v>
      </c>
      <c r="N35" s="16" t="s">
        <v>252</v>
      </c>
      <c r="O35" s="1">
        <v>99</v>
      </c>
      <c r="P35" s="16" t="s">
        <v>283</v>
      </c>
      <c r="Q35" s="16" t="s">
        <v>291</v>
      </c>
      <c r="R35" s="16" t="s">
        <v>255</v>
      </c>
      <c r="S35" s="16" t="s">
        <v>255</v>
      </c>
      <c r="T35" s="16" t="s">
        <v>252</v>
      </c>
      <c r="U35" s="16" t="s">
        <v>311</v>
      </c>
    </row>
    <row r="36" spans="1:21" ht="19.95" customHeight="1" x14ac:dyDescent="0.3">
      <c r="A36" t="s">
        <v>100</v>
      </c>
      <c r="B36" s="14" t="s">
        <v>211</v>
      </c>
      <c r="C36" t="s">
        <v>21</v>
      </c>
      <c r="D36" t="s">
        <v>22</v>
      </c>
      <c r="E36" t="s">
        <v>130</v>
      </c>
      <c r="F36" s="16" t="s">
        <v>314</v>
      </c>
      <c r="G36" t="s">
        <v>178</v>
      </c>
      <c r="H36" t="s">
        <v>179</v>
      </c>
      <c r="I36" s="5">
        <v>140000</v>
      </c>
      <c r="J36" s="5">
        <f t="shared" si="0"/>
        <v>1333.3333333333333</v>
      </c>
      <c r="K36" t="s">
        <v>249</v>
      </c>
      <c r="L36" t="s">
        <v>253</v>
      </c>
      <c r="M36" t="s">
        <v>214</v>
      </c>
      <c r="N36" t="s">
        <v>255</v>
      </c>
      <c r="O36" s="15">
        <v>105</v>
      </c>
      <c r="P36" t="s">
        <v>284</v>
      </c>
      <c r="Q36" t="s">
        <v>295</v>
      </c>
      <c r="R36" t="s">
        <v>254</v>
      </c>
      <c r="S36" t="s">
        <v>255</v>
      </c>
    </row>
    <row r="37" spans="1:21" ht="19.95" customHeight="1" x14ac:dyDescent="0.3">
      <c r="A37" s="16" t="s">
        <v>101</v>
      </c>
      <c r="B37" s="12" t="s">
        <v>212</v>
      </c>
      <c r="C37" s="16" t="s">
        <v>18</v>
      </c>
      <c r="D37" s="16" t="s">
        <v>29</v>
      </c>
      <c r="E37" s="16"/>
      <c r="F37" s="16" t="s">
        <v>313</v>
      </c>
      <c r="G37" s="16" t="s">
        <v>180</v>
      </c>
      <c r="H37" s="16" t="s">
        <v>181</v>
      </c>
      <c r="I37" s="17">
        <v>175000</v>
      </c>
      <c r="J37" s="17">
        <f t="shared" si="0"/>
        <v>2916.6666666666665</v>
      </c>
      <c r="K37" s="16" t="s">
        <v>250</v>
      </c>
      <c r="L37" s="16" t="s">
        <v>254</v>
      </c>
      <c r="M37" s="16" t="s">
        <v>254</v>
      </c>
      <c r="N37" s="16" t="s">
        <v>252</v>
      </c>
      <c r="O37" s="1">
        <v>60</v>
      </c>
      <c r="P37" s="16" t="s">
        <v>285</v>
      </c>
      <c r="Q37" s="16" t="s">
        <v>303</v>
      </c>
      <c r="R37" s="16" t="s">
        <v>214</v>
      </c>
      <c r="S37" s="16" t="s">
        <v>214</v>
      </c>
      <c r="T37" s="16"/>
      <c r="U37" s="16"/>
    </row>
    <row r="38" spans="1:21" ht="19.95" customHeight="1" x14ac:dyDescent="0.3">
      <c r="A38" s="16" t="s">
        <v>102</v>
      </c>
      <c r="B38" s="12" t="s">
        <v>213</v>
      </c>
      <c r="C38" s="16" t="s">
        <v>19</v>
      </c>
      <c r="D38" s="16" t="s">
        <v>111</v>
      </c>
      <c r="E38" s="16" t="s">
        <v>131</v>
      </c>
      <c r="F38" s="16" t="s">
        <v>313</v>
      </c>
      <c r="G38" s="16" t="s">
        <v>182</v>
      </c>
      <c r="H38" s="16" t="s">
        <v>183</v>
      </c>
      <c r="I38" s="17">
        <v>87000</v>
      </c>
      <c r="J38" s="17">
        <f t="shared" si="0"/>
        <v>1500</v>
      </c>
      <c r="K38" s="16" t="s">
        <v>251</v>
      </c>
      <c r="L38" s="16" t="s">
        <v>254</v>
      </c>
      <c r="M38" s="16" t="s">
        <v>254</v>
      </c>
      <c r="N38" s="16" t="s">
        <v>252</v>
      </c>
      <c r="O38" s="1">
        <v>58</v>
      </c>
      <c r="P38" s="16" t="s">
        <v>286</v>
      </c>
      <c r="Q38" s="16" t="s">
        <v>293</v>
      </c>
      <c r="R38" s="16" t="s">
        <v>255</v>
      </c>
      <c r="S38" s="16" t="s">
        <v>252</v>
      </c>
      <c r="T38" s="16"/>
      <c r="U38" s="16"/>
    </row>
    <row r="39" spans="1:21" x14ac:dyDescent="0.3">
      <c r="B39" s="13"/>
    </row>
    <row r="40" spans="1:21" x14ac:dyDescent="0.3">
      <c r="B40" s="13"/>
    </row>
    <row r="41" spans="1:21" x14ac:dyDescent="0.3">
      <c r="B41" s="13"/>
    </row>
    <row r="42" spans="1:21" x14ac:dyDescent="0.3">
      <c r="B42" s="13"/>
    </row>
  </sheetData>
  <autoFilter ref="F1:F38" xr:uid="{12F29FD8-E34D-4D4D-B984-F810B5B20F2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Vassiliki Georgiou</dc:creator>
  <cp:lastModifiedBy>Dimitrios Andritsos</cp:lastModifiedBy>
  <dcterms:created xsi:type="dcterms:W3CDTF">2025-11-25T08:06:50Z</dcterms:created>
  <dcterms:modified xsi:type="dcterms:W3CDTF">2025-12-04T11:45:40Z</dcterms:modified>
</cp:coreProperties>
</file>