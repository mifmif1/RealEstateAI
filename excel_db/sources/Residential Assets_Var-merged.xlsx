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excel_db\sources\"/>
    </mc:Choice>
  </mc:AlternateContent>
  <xr:revisionPtr revIDLastSave="0" documentId="13_ncr:1_{64E4AFC9-5DBE-4CB1-9876-9FAC710E9A7F}" xr6:coauthVersionLast="47" xr6:coauthVersionMax="47" xr10:uidLastSave="{00000000-0000-0000-0000-000000000000}"/>
  <bookViews>
    <workbookView xWindow="-108" yWindow="-108" windowWidth="23256" windowHeight="12576" xr2:uid="{E83FF698-2A51-4DC3-8F48-9570939C591D}"/>
  </bookViews>
  <sheets>
    <sheet name="Sheet1" sheetId="3" r:id="rId1"/>
  </sheets>
  <definedNames>
    <definedName name="_xlnm._FilterDatabase" localSheetId="0" hidden="1">Sheet1!$F$1:$F$38</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8" i="3" l="1"/>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J2" i="3"/>
</calcChain>
</file>

<file path=xl/sharedStrings.xml><?xml version="1.0" encoding="utf-8"?>
<sst xmlns="http://schemas.openxmlformats.org/spreadsheetml/2006/main" count="622" uniqueCount="315">
  <si>
    <t>district_desc</t>
  </si>
  <si>
    <t>municipality_desc</t>
  </si>
  <si>
    <t>Correct Address (location, street, number…)</t>
  </si>
  <si>
    <t>Property Code</t>
  </si>
  <si>
    <t>Property Type</t>
  </si>
  <si>
    <t>Coordinate N</t>
  </si>
  <si>
    <t>Coordinate E</t>
  </si>
  <si>
    <t>Sale price</t>
  </si>
  <si>
    <t>Property floor from</t>
  </si>
  <si>
    <t>Property floor to</t>
  </si>
  <si>
    <t>Number of levels</t>
  </si>
  <si>
    <t>Property's Surface</t>
  </si>
  <si>
    <t>Land Surface</t>
  </si>
  <si>
    <t>Year of Construction</t>
  </si>
  <si>
    <t>No of Bedrooms</t>
  </si>
  <si>
    <t>No of Bathrooms</t>
  </si>
  <si>
    <t>Parking available</t>
  </si>
  <si>
    <t>Type of Parking</t>
  </si>
  <si>
    <t>Athinon</t>
  </si>
  <si>
    <t>Thessalonikis</t>
  </si>
  <si>
    <t>Thermaikou</t>
  </si>
  <si>
    <t>Anatolikis Attikis</t>
  </si>
  <si>
    <t>Oropou</t>
  </si>
  <si>
    <t>Kalyvion Thorikou</t>
  </si>
  <si>
    <t>Ηρώων πολυτεχνείου 6Α-6Β &amp; Σμηναγού Γ. Φιλίππου</t>
  </si>
  <si>
    <t>E-10677</t>
  </si>
  <si>
    <t>37.839458818743</t>
  </si>
  <si>
    <t>23.92404740926</t>
  </si>
  <si>
    <t>Avlonos</t>
  </si>
  <si>
    <t>Neas Smyrnis</t>
  </si>
  <si>
    <t>Agias Paraskevis</t>
  </si>
  <si>
    <t>Athinaion</t>
  </si>
  <si>
    <t>129.00</t>
  </si>
  <si>
    <t>Ampelokipon</t>
  </si>
  <si>
    <t>Καμέλιας 17</t>
  </si>
  <si>
    <t>E-14776</t>
  </si>
  <si>
    <t>40.651438</t>
  </si>
  <si>
    <t>22.931766</t>
  </si>
  <si>
    <t>Sykeon</t>
  </si>
  <si>
    <t>Μ. Ασίας 11-13, Συκιές</t>
  </si>
  <si>
    <t>E-9179</t>
  </si>
  <si>
    <t>40.651882034400</t>
  </si>
  <si>
    <t>22.94940865581</t>
  </si>
  <si>
    <t>Κομίνη</t>
  </si>
  <si>
    <t>38.252672</t>
  </si>
  <si>
    <t>23.693872</t>
  </si>
  <si>
    <t>Acharnon</t>
  </si>
  <si>
    <t>E-10261- 10311-10312</t>
  </si>
  <si>
    <t>Μυθύμνης 56</t>
  </si>
  <si>
    <t>E-14008</t>
  </si>
  <si>
    <t>38.0025165</t>
  </si>
  <si>
    <t>23.730981</t>
  </si>
  <si>
    <t>Evosmou</t>
  </si>
  <si>
    <t>E-12561</t>
  </si>
  <si>
    <t>40.6712156</t>
  </si>
  <si>
    <t>22.9200791</t>
  </si>
  <si>
    <t>Pylaias</t>
  </si>
  <si>
    <t>Καπετάν Άγρα &amp; Βουλγαροκτόνου</t>
  </si>
  <si>
    <t>E-14189</t>
  </si>
  <si>
    <t>40.602939</t>
  </si>
  <si>
    <t>22.984864</t>
  </si>
  <si>
    <t>Polichnis</t>
  </si>
  <si>
    <t>Κωλέττη 16</t>
  </si>
  <si>
    <t>E-12947</t>
  </si>
  <si>
    <t>40.658317605079</t>
  </si>
  <si>
    <t>22.95485452638</t>
  </si>
  <si>
    <t>https://www.cervedpropertyservices.com/el/akinita/6068</t>
  </si>
  <si>
    <t>https://www.cervedpropertyservices.com/el/akinita/8088</t>
  </si>
  <si>
    <t>https://www.cervedpropertyservices.com/el/akinita/8597</t>
  </si>
  <si>
    <t>https://www.cervedpropertyservices.com/el/akinita/8601</t>
  </si>
  <si>
    <t>https://www.cervedpropertyservices.com/el/akinita/8753</t>
  </si>
  <si>
    <t>https://www.cervedpropertyservices.com/el/akinita/8761</t>
  </si>
  <si>
    <t>https://www.cervedpropertyservices.com/el/akinita/8849</t>
  </si>
  <si>
    <t xml:space="preserve">Full description </t>
  </si>
  <si>
    <t>E-8976</t>
  </si>
  <si>
    <t>2-11574</t>
  </si>
  <si>
    <t>A-6012</t>
  </si>
  <si>
    <t>E-10310-10313-10314</t>
  </si>
  <si>
    <t>2-12725</t>
  </si>
  <si>
    <t>E-14289-14290-14291</t>
  </si>
  <si>
    <t>CPR-130</t>
  </si>
  <si>
    <t>CPR-191</t>
  </si>
  <si>
    <t>I-00152</t>
  </si>
  <si>
    <t>CPR-159</t>
  </si>
  <si>
    <t>Ι-00124</t>
  </si>
  <si>
    <t>CPR-152</t>
  </si>
  <si>
    <t>CPR-151</t>
  </si>
  <si>
    <t>E-10308-10303-10304</t>
  </si>
  <si>
    <t>CPR-278</t>
  </si>
  <si>
    <t>E-14571-14572</t>
  </si>
  <si>
    <t>E-14754</t>
  </si>
  <si>
    <t>H-528</t>
  </si>
  <si>
    <t>T-606</t>
  </si>
  <si>
    <t>T-5740</t>
  </si>
  <si>
    <t>T-8145</t>
  </si>
  <si>
    <t>CPR-187</t>
  </si>
  <si>
    <t>CPR-188</t>
  </si>
  <si>
    <t>T-555</t>
  </si>
  <si>
    <t>T-1270</t>
  </si>
  <si>
    <t>T-1412</t>
  </si>
  <si>
    <t>T-925</t>
  </si>
  <si>
    <t>H-815</t>
  </si>
  <si>
    <t>CPR-235</t>
  </si>
  <si>
    <t>Neon Liosion</t>
  </si>
  <si>
    <t>Neas Erythraias</t>
  </si>
  <si>
    <t>Chortiati</t>
  </si>
  <si>
    <t>Kallitheas</t>
  </si>
  <si>
    <t>Stavroupolis</t>
  </si>
  <si>
    <t>Galatsiou</t>
  </si>
  <si>
    <t>Menemenis</t>
  </si>
  <si>
    <t>Peristeriou</t>
  </si>
  <si>
    <t>Eleftheriou - Kordeliou</t>
  </si>
  <si>
    <t>Αλβανικού Έπους 53</t>
  </si>
  <si>
    <t>Θεσσαλονίκης 35</t>
  </si>
  <si>
    <t>Πλησίον Σχολής ΤΕΦΑΑ</t>
  </si>
  <si>
    <t>28ης Οκτωβρίου 68</t>
  </si>
  <si>
    <t>Εκάτης 26, Κυψέλη</t>
  </si>
  <si>
    <t>ΩΡΑΙΟΚΑΣΤΡΟΥ 97</t>
  </si>
  <si>
    <t>Πεσόντων Πυροσβεστών 3</t>
  </si>
  <si>
    <t>Αγίου Γεωργίου 18</t>
  </si>
  <si>
    <t>Αντιπάτρου 11, Θεσσαλονίκη</t>
  </si>
  <si>
    <t>Λεωφόρος Βασιλίσσης Όλγας 101, Θεσσαλονίκη</t>
  </si>
  <si>
    <t>Αριστομένους 20-22</t>
  </si>
  <si>
    <t>Ανοίξεως 39</t>
  </si>
  <si>
    <t>Λεωφόρος Γαλατσίου 26</t>
  </si>
  <si>
    <t>Καζαντζάκη 10Α</t>
  </si>
  <si>
    <t>Καρυδιές</t>
  </si>
  <si>
    <t>Τιμολέοντος 13, Άνω πόλη</t>
  </si>
  <si>
    <t>Μηδείας 29Α &amp; Ιωνίας, Περαία</t>
  </si>
  <si>
    <t>Χρυσοβιτσίου 34</t>
  </si>
  <si>
    <t>Μέμτσια 1, Νέα Παλάτια</t>
  </si>
  <si>
    <t>Χ.Τρικούπη 5 &amp; Δ.Γούναρη 6</t>
  </si>
  <si>
    <t>38.0321539</t>
  </si>
  <si>
    <t>23.685118999999986</t>
  </si>
  <si>
    <t>38.312920</t>
  </si>
  <si>
    <t>23.830618</t>
  </si>
  <si>
    <t>40.595959</t>
  </si>
  <si>
    <t>22.981329</t>
  </si>
  <si>
    <t>37.95676</t>
  </si>
  <si>
    <t>23.72840</t>
  </si>
  <si>
    <t>38.007182788769</t>
  </si>
  <si>
    <t>23.81865702883</t>
  </si>
  <si>
    <t>38.004875</t>
  </si>
  <si>
    <t>23.743139</t>
  </si>
  <si>
    <t>40.67085908308225</t>
  </si>
  <si>
    <t>22.933287654378354</t>
  </si>
  <si>
    <t>40.64660353810669</t>
  </si>
  <si>
    <t>22.92253602069866</t>
  </si>
  <si>
    <t>40.497428</t>
  </si>
  <si>
    <t>22.911416</t>
  </si>
  <si>
    <t>38.092706546888245</t>
  </si>
  <si>
    <t>23.814378637633700</t>
  </si>
  <si>
    <t>40.639525</t>
  </si>
  <si>
    <t>22.950169</t>
  </si>
  <si>
    <t>40.607794</t>
  </si>
  <si>
    <t>22.953640</t>
  </si>
  <si>
    <t>37.99435</t>
  </si>
  <si>
    <t>23.7237</t>
  </si>
  <si>
    <t>38.133389178077</t>
  </si>
  <si>
    <t>23.82476953068</t>
  </si>
  <si>
    <t>38.015777</t>
  </si>
  <si>
    <t>23.738717</t>
  </si>
  <si>
    <t>37.9558930</t>
  </si>
  <si>
    <t>23.7020975</t>
  </si>
  <si>
    <t>40.65603327669381</t>
  </si>
  <si>
    <t>22.90461373733861</t>
  </si>
  <si>
    <t>40.61219301512383</t>
  </si>
  <si>
    <t>23.09500228205511</t>
  </si>
  <si>
    <t>40.604045582694624</t>
  </si>
  <si>
    <t>22.980809897385</t>
  </si>
  <si>
    <t>40.64310</t>
  </si>
  <si>
    <t>22.94597</t>
  </si>
  <si>
    <t>40.503363</t>
  </si>
  <si>
    <t>22.924398</t>
  </si>
  <si>
    <t>38.02140469361957</t>
  </si>
  <si>
    <t>23.70282258887213</t>
  </si>
  <si>
    <t>38.084199</t>
  </si>
  <si>
    <t>23.741784</t>
  </si>
  <si>
    <t>38.317269</t>
  </si>
  <si>
    <t>23.791697</t>
  </si>
  <si>
    <t>37.943027114222154</t>
  </si>
  <si>
    <t>23.716372995752675</t>
  </si>
  <si>
    <t>40.669679</t>
  </si>
  <si>
    <t>22.889141</t>
  </si>
  <si>
    <t>https://www.cervedpropertyservices.com/el/akinita/107</t>
  </si>
  <si>
    <t>https://www.cervedpropertyservices.com/el/akinita/6218</t>
  </si>
  <si>
    <t>https://www.cervedpropertyservices.com/el/akinita/7025</t>
  </si>
  <si>
    <t>https://www.cervedpropertyservices.com/el/akinita/7361</t>
  </si>
  <si>
    <t>https://www.cervedpropertyservices.com/el/akinita/7429</t>
  </si>
  <si>
    <t>https://www.cervedpropertyservices.com/el/akinita/7680</t>
  </si>
  <si>
    <t>https://www.cervedpropertyservices.com/el/akinita/8096</t>
  </si>
  <si>
    <t>https://www.cervedpropertyservices.com/el/akinita/8122</t>
  </si>
  <si>
    <t>https://www.cervedpropertyservices.com/el/akinita/8128</t>
  </si>
  <si>
    <t>https://www.cervedpropertyservices.com/el/akinita/1038</t>
  </si>
  <si>
    <t>https://www.cervedpropertyservices.com/el/akinita/8177</t>
  </si>
  <si>
    <t>https://www.cervedpropertyservices.com/el/akinita/8181</t>
  </si>
  <si>
    <t>https://www.cervedpropertyservices.com/el/akinita/8200</t>
  </si>
  <si>
    <t>https://www.cervedpropertyservices.com/el/akinita/8201</t>
  </si>
  <si>
    <t>https://www.cervedpropertyservices.com/el/akinita/8248</t>
  </si>
  <si>
    <t>https://www.cervedpropertyservices.com/el/akinita/8262</t>
  </si>
  <si>
    <t>https://www.cervedpropertyservices.com/el/akinita/8291</t>
  </si>
  <si>
    <t>https://www.cervedpropertyservices.com/el/akinita/8320</t>
  </si>
  <si>
    <t>https://www.cervedpropertyservices.com/el/akinita/8404</t>
  </si>
  <si>
    <t>https://www.cervedpropertyservices.com/el/akinita/8707</t>
  </si>
  <si>
    <t>https://www.cervedpropertyservices.com/el/akinita/8772</t>
  </si>
  <si>
    <t>https://www.cervedpropertyservices.com/el/akinita/8783</t>
  </si>
  <si>
    <t>https://www.cervedpropertyservices.com/el/akinita/8792</t>
  </si>
  <si>
    <t>https://www.cervedpropertyservices.com/el/akinita/8793</t>
  </si>
  <si>
    <t>https://www.cervedpropertyservices.com/el/akinita/8803</t>
  </si>
  <si>
    <t>https://www.cervedpropertyservices.com/el/akinita/8870</t>
  </si>
  <si>
    <t>https://www.cervedpropertyservices.com/el/akinita/8873</t>
  </si>
  <si>
    <t>https://www.cervedpropertyservices.com/el/akinita/8907</t>
  </si>
  <si>
    <t>https://www.cervedpropertyservices.com/el/akinita/8960</t>
  </si>
  <si>
    <t>https://www.cervedpropertyservices.com/el/akinita/8962</t>
  </si>
  <si>
    <t>0</t>
  </si>
  <si>
    <t>Ground floor facade apartment of 95,05sqm., at 53 Alvanikou Epous street, Ilion, Attica. &lt;br /&gt;&lt;br /&gt;It is in a three-storey apartment building and was partially renovated in 2000. It is in excellent condition. It has 2 bedrooms, an open-plan kitchen and living room and 1 bathroom. It has new aluminum frame windows.&lt;br /&gt;&lt;br /&gt;Year of construction: 1971 &lt;br /&gt;Energy Efficiency Class: F</t>
  </si>
  <si>
    <t>Semi-finished ground floor apartment of 97sqm, within a plot of 1.528,10sqm, located on Iroon Polytechniou 6A-6B &amp;amp; Smin. Chr. Filippou Str. in Kalyvia Thorikou, 2km from Athinon-Souniou Avenue.&lt;br /&gt;&lt;br /&gt;More specifically, it consists of a living room in a single space with the kitchen, wc, hallway, 2 bedrooms and a ground floor parking space of 10,13sqm.&lt;br /&gt;&lt;br /&gt;The condition of it is considered good, the heating is autonomous and the building has elevator.&lt;br /&gt;Percentage of completion: 90%.&lt;br /&gt;&lt;br /&gt;Year of construction: 2007&lt;br /&gt;Energy Efficiency Class: E</t>
  </si>
  <si>
    <t>Third floor apartment of 50sqm, near the sea, in Markopoulo Oropos area. It is located 50km from the center of Athens.&lt;br /&gt;&lt;br /&gt;It consists of 2 bedrooms, bathroom, kitchen and balconies with sea view. Also there is a parking space.&lt;br /&gt;&lt;br /&gt;Energy Efficiency Class: Pending</t>
  </si>
  <si>
    <t>&lt;p&gt;First floor apartment of 106sqm, in a complex of two buildings, located on Thessalonikis 35 Str. in Pylaia of the Municipality of Pylaia Chortiatis in Thessaloniki.&lt;/p&gt;
&lt;p&gt;It consists of living room, kitchen, 2 bedrooms, bathroom, wc and has a basement storage area of 7sqm.&lt;/p&gt;
&lt;p&gt;Schools and sports facilities, supermarkets, pharmacies, restaurants and commercial stores are located nearby.&lt;/p&gt;
&lt;p&gt;Year of construction: 2008&lt;br /&gt;Energy Efficiency Class: E&lt;/p&gt;</t>
  </si>
  <si>
    <t>&lt;div&gt;2nd floor apartment of 73.87sqm, within a plot of 1,661sqm, on Komini Str., in Avlonas. &lt;/div&gt;
&lt;div&gt; &lt;/div&gt;
&lt;div&gt;The apartment consists of living room, kitchen, 3 bedrooms and 1 bathroom.&lt;/div&gt;
&lt;div&gt;It has 1 parking space and 2  storage spaces. &lt;/div&gt;
&lt;div&gt; &lt;/div&gt;
&lt;div&gt;Year of construction: 2004.&lt;/div&gt;
&lt;div&gt;Energy Efficiency Class: E. &lt;/div&gt;</t>
  </si>
  <si>
    <t>Third full floor apartment of 109sqm, renovated, 600m away from metro station, near Physical Education and Sport Science university of Athens, in Neos Kosmos.&lt;br /&gt;
&lt;br /&gt;
It consists of a living room with fireplace, kitchen, 2 bedrooms and 2 bathrooms.&lt;br /&gt;
&lt;br /&gt;
The heating system is autonomous. Furthermore, it has solar water heater, wooden floors, security door and 2 storages.&lt;br /&gt;
&lt;br /&gt;
Year of construction: 1974&lt;br /&gt;
Energy Efficiency Class: D</t>
  </si>
  <si>
    <t>Fourth floor apartment of 105sqm, located on 28is Oktovriou 68 Str., in Agia Paraskevi in ​​one of the best spots of the area. &lt;br /&gt;&lt;br /&gt;It consists of 3 bedrooms, 1 bathroom, closed parking space and a storage space. &lt;br /&gt;&lt;br /&gt;It is in very good condition. &lt;br /&gt;&lt;br /&gt;Year of construction: 1982&lt;br /&gt;Energy Efficiency Class: E</t>
  </si>
  <si>
    <t>1st floor apartment with a total area of ​​79.01sqm, within a plot of 308.25sqm, on 17 Kamelias Str., in Ampelokipoi, Thessaloniki.&lt;br /&gt;The apartment consists of living room, kitchen, 2 rooms and bathroom.&lt;br /&gt;It is located in an area with a particularly high urban development, as well as regular transportation, close to the center of Thessaloniki.&lt;br /&gt;&lt;br /&gt;Year of construction: 1968&lt;br /&gt;Energy Efficiency Class: D</t>
  </si>
  <si>
    <t>An apartment of 97 sqm, on the 2nd floor, at 26 Ekatis Str., in Kypseli. It has 2 bedrooms, bathroom, kitchen, living room and a 5 sqm storage room in the basement. &lt;br /&gt;&lt;br /&gt;EPC: G&lt;br /&gt;Construction year: 1972</t>
  </si>
  <si>
    <t>&lt;div&gt;First floor apartment with a total area of ​​102 sq m on a plot of 495 sq m on Oreokastrou Street number 97 in Stavroupoli Thessaloniki. The apartment consists of 2 rooms, living room, kitchen, bathroom.&lt;br /&gt;&lt;br /&gt;Year of construction: 1989&lt;/div&gt;
&lt;div&gt;&lt;br /&gt; EPC: G&lt;/div&gt;
&lt;div&gt; &lt;/div&gt;</t>
  </si>
  <si>
    <t>&lt;br /&gt;
Third-floor apartment with a total area of 64sqm, located on a plot of 246sqm in Thessaloniki.&lt;br /&gt;
It is situated near the western exit of the city, close to schools, Monastiriou main street, the railway station, and the City Gate-One Salonica shopping center.&lt;br /&gt;
It consists of an open-plan living room–kitchen, 2 bedrooms, and a bathroom.&lt;br /&gt;
It includes a 5sqm storage room as an accessory space.&lt;br /&gt;
&lt;br /&gt;
Year of construction: 2007&lt;br /&gt;
Energy class: E&lt;br /&gt;
&lt;br /&gt;
A property is also available on the 4th floor of the building.</t>
  </si>
  <si>
    <t>Fourth floor leased apartment of 105,28sqm, within a plot of 233,13sqm, on 11-13 M. Asias Str., in Sykies,in Thessaloniki.&lt;br /&gt;It is airy, facing Mikras Asias Str. and has view on the back uncovered area.&lt;br /&gt;It consists of open plan space of living room – kitchen, 3 bedrooms and a bathroom.&lt;br /&gt;The property is leased and is in a very good condition.&lt;br /&gt;&lt;br /&gt;Year of construction: 2003&lt;br /&gt;Energy efficiency class: C</t>
  </si>
  <si>
    <t>First floor apartment of 69 sqm, in a plot of 390.15sqm, located in 18 Agiou Georgiou Str, Neoi Epivates of Thessaloniki.&lt;br /&gt;It consists of living room, kitchen, 2 bedrooms and a bathroom.&lt;br /&gt;&lt;br /&gt;Year of construction: 1979&lt;br /&gt;EPC: G</t>
  </si>
  <si>
    <t>First floor apartment of 110sqm, in a small apartment building, within a 299.83sqm land plot, in Nea Erythraia. &lt;br /&gt;The property consists of a reception area with fireplace, kitchen, three bedrooms with a bathroom and wc.&lt;br /&gt;It has a 14sqm storage space in the basement and exclusive use of a 12 sqm parking space.&lt;br /&gt;&lt;br /&gt;Year of construction: 1990.&lt;br /&gt;&lt;br /&gt;Energy Efficiency Class: Z</t>
  </si>
  <si>
    <t>Third floor apartment of 55sqm, located on 11 Antipatrou Str, Thessaloniki.&lt;br /&gt;It consists of living room, kitchen, a bedroom and a bathroom.&lt;br /&gt;&lt;br /&gt;Year of construction: 1964&lt;br /&gt;Energy efficiency class: G</t>
  </si>
  <si>
    <t>Rented apartment on the 4th floor with a total area of 59sqm, located in Thessaloniki.&lt;br /&gt;The property's location is very good, as it is situated on the eastern side of the city, in a very central and commercial area.&lt;br /&gt;The apartment is side-facing and consists of 2 bedrooms, a living room, a kitchen, and a bathroom.&lt;br /&gt;&lt;br /&gt;Year of construction: 1965&lt;br /&gt;Energy Efficiency Class: F</t>
  </si>
  <si>
    <t>1st floor apartment of 73.87sqm, within a plot of 1,661 sqm, on Komini Str., in Avlonas. &lt;br /&gt;&lt;br /&gt;The apartment consists of living room, kitchen, 2 bedrooms and 1 bathroom.&lt;br /&gt;It has 2 storage spaces.&lt;br /&gt;&lt;br /&gt;Year of construction: 2004.&lt;br /&gt;Energy Efficiency Class: E.</t>
  </si>
  <si>
    <t>Penthouse apartment of 86sqm, located on the vibrant street of Aristomenous 20-22, in Athens.&lt;br /&gt;It consists of kitchen, bathroom, 2 bedrooms and offers great potential for customization.&lt;br /&gt;The apartment features generous balconies that create a seamless connection between indoor and outdoor living. This property has the potential to be transformed into a residence that maximizes both its space and location.&lt;br /&gt;&lt;br /&gt;Year of construction: 1969&lt;br /&gt;Energy Efficiency Class: G</t>
  </si>
  <si>
    <t>&lt;div&gt;A 117sqm maisonette is available for sale, in a building of three residences, built on a plot of 334sqm. The property is located in an excellent spot in Kryoneri, at 39 Anoixeos Street. The area has good accessibility, being only 500m from the main road, and is purely residential with housing complexes and luxury detached homes.&lt;/div&gt;
&lt;div&gt;The residence is developed on two levels:&lt;/div&gt;
&lt;div&gt;Level A: Three bedrooms, a bathroom, and an additional utility room. This level has direct access to a private-use garden.&lt;/div&gt;
&lt;div&gt;Level B: Spacious living room with fireplace, kitchen, WC, and large balconies.&lt;/div&gt;
&lt;div&gt;The property is of very good construction quality and in good condition, with comfortable, bright spaces.&lt;/div&gt;
&lt;div&gt;It includes a parking space within the complex.&lt;/div&gt;
&lt;div&gt;&lt;br /&gt;&lt;br /&gt;&lt;/div&gt;
&lt;div&gt;Energy class: E&lt;br /&gt;&lt;br /&gt;&lt;/div&gt;
&lt;div&gt;Year of construction: 2007&lt;/div&gt;
&lt;div&gt; &lt;/div&gt;</t>
  </si>
  <si>
    <t>4th floor apartment at 26, Galatsiou Avenue, in Galatsi.&lt;br /&gt;It has a surface of ​​95sqm with 3 bedrooms, living room, kitchen, bathroom, wc and balconies. The kitchen, bathroom and wc have been partially renovated, it has new closets and new aluminum frames.&lt;br /&gt;It is in excellent condition, except for the flooring in 2 rooms which needs repairing.&lt;br /&gt;&lt;br /&gt;Year of construction: 1972.&lt;br /&gt;Energy Efficiency Class: G.</t>
  </si>
  <si>
    <t>A 112 sqm apartment, with 3 bedrooms, a living-dining room, a large kitchen, 1 bathroom, and 1 WC. It is in very good condition, on the top floor (penthouse), and is cross-ventilated. The floors are made of marble, wood, and tiles. It has an internal storage room of 3 sqm, a basement storage room of 6 sqm, a 32 sqm veranda with a side view of Lycabettus Hill, and 2 large balconies at the back with awnings. It is also close to public transportation. &lt;br /&gt;&lt;br /&gt;Energy Efficiency Class: F&lt;br /&gt;Year of Construction: 1972</t>
  </si>
  <si>
    <t>Second-floor apartment with an area of 73sqm, on a plot of 1,661sqm, located on Komini Str., in Avlonas.&lt;br /&gt;The apartment consists of a living room, kitchen, 2 bedrooms, 1 bathroom, a basement parking area of 172sqm, and 1 storage room of 14sqm.&lt;br /&gt;&lt;br /&gt;Year of construction: 2004&lt;br /&gt;Energy Efficiency Class: E</t>
  </si>
  <si>
    <t>3rd-floor apartment with an area of 96sqm, located on Methymnis Street 56, in Patissia.&lt;br /&gt;The apartment features a living room, kitchen, 2 bedrooms, and a bathroom.&lt;br /&gt;&lt;br /&gt;Year of construction: 1964&lt;br /&gt;Energy Efficiency Class: G</t>
  </si>
  <si>
    <t>Third-floor apartment with a total area of 58sqm, located on a 3,165.59sqm plot at 10A Kazantzaki Street, Menemeni, Thessaloniki.&lt;br /&gt;It consists of a living room, kitchen, bedroom, and bathroom.&lt;br /&gt;&lt;br /&gt;Year of construction: 1979&lt;br /&gt;Energy Efficiency class: D</t>
  </si>
  <si>
    <t>First floor leased apartment of 44sqm, located in Evosmos of Thessaloniki.&lt;br /&gt;It consists of a living room, kitchen, bedroom and a bathroom&lt;br /&gt;The property is leased.&lt;br /&gt;&lt;br /&gt;Year of construction: 2008&lt;br /&gt;Energy efficiency class: F</t>
  </si>
  <si>
    <t>Ground floor apartment of 103sqm, located on Kapetan Agra &amp;amp; Voulgaroktonou Strs., in Pylaia of Thessaloniki.&lt;br /&gt;It consists of a living room, kitchen,2 bedrooms and a bathroom.&lt;br /&gt;&lt;br /&gt;Year of construction: 2011&lt;br /&gt;Energy efficiency class: C</t>
  </si>
  <si>
    <t>Unfinished ground floor apartment with a total surface area of 53.11 sq.m., located on a plot of 1,528 sq.m., on Karydies Street, in Chortiatis, Thessaloniki.&lt;br /&gt;It consists of an open-plan living room with kitchen, one bedroom, and a bathroom.&lt;br /&gt;The apartment includes an accessory basement storage room of 24.37 sq.m., connected to the apartment via an internal staircase.&lt;br /&gt;Additionally, it has an outdoor uncovered area of 13.75 sq.m. at the rear and 4.75 sq.m. at the front courtyard of the plot.&lt;br /&gt;&lt;br /&gt;Year of construction: 2004&lt;br /&gt;Energy class: C</t>
  </si>
  <si>
    <t>Fourth-floor apartment with a total area of 95.64 sq.m., located on a 400 sq.m. plot in Toumba, Thessaloniki. It consists of an open-plan living room and kitchen, three bedrooms, and a bathroom.&lt;br /&gt;&lt;br /&gt;The property is rented.&lt;br /&gt;&lt;br /&gt;Year of construction: 1989&lt;br /&gt;Energy class: D</t>
  </si>
  <si>
    <t>First-floor apartment of 40sqm, located at 13 Timoleontos Street, in the Tsinari area, Ano Poli, Thessaloniki.&lt;br /&gt;It consists of an open-plan living room with kitchen and a bathroom.&lt;br /&gt;&lt;br /&gt;Year of construction: 1995&lt;br /&gt;Energy class: C</t>
  </si>
  <si>
    <t>Second-floor apartment of 40sqm, located at 13 Timoleontos Street, in the Tsinari area, Ano Poli, Thessaloniki.&lt;br /&gt;It consists of an open-plan living room with kitchen and a bathroom.&lt;br /&gt;&lt;br /&gt;Year of construction: 1995&lt;br /&gt;Energy class: C</t>
  </si>
  <si>
    <t>Maisonette on two levels with a total area of 115sq.m., situated within a plot of 2,884.40sq.m. at 29A Mydeias &amp;amp; Ionias Street, Peraia, Thessaloniki. &lt;br /&gt;&lt;br /&gt;The semi-basement, covering 65.00sq.m., consists of a living room with kitchen and a bathroom. &lt;br /&gt;The upper floor, with an area of 50.00sq.m., comprises two bedrooms and a bathroom. &lt;br /&gt;All levels are connected by an internal staircase.&lt;br /&gt;&lt;br /&gt;The property also includes an outdoor parking space of 12sq.m. within the uncovered area of the plot.&lt;br /&gt;&lt;br /&gt;Year of construction: 2005&lt;br /&gt;Energy class: D</t>
  </si>
  <si>
    <t>Fifth-floor apartment with a total surface area of 70sqm (net 58sqm), located on a plot of 162sqm, at 16 Koleti Street, in Meteora, Thessaloniki.&lt;br /&gt;
It consists of an open-plan living room – kitchen, 2 bedrooms, and a bathroom.&lt;br /&gt;
&lt;br /&gt;
Year of construction: 2007&lt;br /&gt;
Energy class: E</t>
  </si>
  <si>
    <t>Ground floor apartment with a surface area of 74.40 sq.m., located on a plot of 129.58 sq.m., at 34 Chrysovitsiou &amp;amp; Nireos Street, in the Bournazi area of the Ilion Municipality, Attica.&lt;br /&gt;The apartment consists of two bedrooms, a hallway, an open-plan kitchen and living room, a bathroom, and a storage room.&lt;br /&gt;It also includes building rights for the construction of a first floor with an approximate area of 45 sq.m.&lt;br /&gt;&lt;br /&gt;Year of construction: 1981&lt;br /&gt;Energy class: G</t>
  </si>
  <si>
    <t>Central apartment located in the Agios Georgios area of the Municipality of Acharnes, on the fifth floor, with a surface area of 87.47 sq.m., situated on a plot of land with a total area of 770 sq.m. Additionally, it includes a basement storage room of 5.78 sq.m. and an exclusive parking space on the pilotis level with a surface area of 13.63 sq.m. The apartment features a living-dining area, kitchen, two bedrooms, a bathroom and a WC, and is equipped with a fireplace. The property is currently leased.&lt;br /&gt;&lt;br /&gt;Year of construction: 2002&lt;br /&gt;Energy class: C</t>
  </si>
  <si>
    <t>Two-level maisonette with a total area of 105sqm, located at 1 Memtsia Street, in the Nea Palatia settlement, in Oropos.&lt;br /&gt;&lt;br /&gt;It consists of a 53sqm ground floor and a 52sqm basement, both designated as main-use areas.&lt;br /&gt;&lt;br /&gt;Year of Construction: 2004&lt;br /&gt;Energy Class: D</t>
  </si>
  <si>
    <t>Renovated apartment in Nea Smyrni, located on the third floor, with a total area of 60 sq.m. The property consists of a spacious living room, a large hallway, an independent and functional kitchen, one bedroom, and a bathroom.&lt;br /&gt;The balcony offers an open view and plenty of natural light. The apartment features aluminum window frames with double glazing, granite tile flooring, a security door, autonomous oil heating, and air conditioning units.&lt;br /&gt;&lt;br /&gt;Year of Construction: 1973 &lt;br /&gt;Energy Efficiency Class: F</t>
  </si>
  <si>
    <t>Third-floor apartment with a total area of 58sqm, on a 546sqm plot, located at 5 Ch. Trikoupi &amp;amp; 6 D. Gounari streets, in Eleftherio Kordelio, Thessaloniki.&lt;br /&gt;The apartment consists of an open-plan living room – kitchen, 2 bedrooms, and a bathroom.&lt;br /&gt;Additionally, it includes a basement storage room of 6.53sqm.&lt;br /&gt;Year of construction: 2006&lt;br /&gt;Energy class: E</t>
  </si>
  <si>
    <t>1</t>
  </si>
  <si>
    <t>-1</t>
  </si>
  <si>
    <t>3</t>
  </si>
  <si>
    <t>2</t>
  </si>
  <si>
    <t>4</t>
  </si>
  <si>
    <t>5</t>
  </si>
  <si>
    <t>153.00</t>
  </si>
  <si>
    <t>0.00</t>
  </si>
  <si>
    <t>1528.10</t>
  </si>
  <si>
    <t>630.00</t>
  </si>
  <si>
    <t>400.00</t>
  </si>
  <si>
    <t>1.00</t>
  </si>
  <si>
    <t>233.00</t>
  </si>
  <si>
    <t>308.00</t>
  </si>
  <si>
    <t>156.38</t>
  </si>
  <si>
    <t>495.00</t>
  </si>
  <si>
    <t>246.17</t>
  </si>
  <si>
    <t>391.00</t>
  </si>
  <si>
    <t>299.83</t>
  </si>
  <si>
    <t>190.51</t>
  </si>
  <si>
    <t>1464.00</t>
  </si>
  <si>
    <t>1661.00</t>
  </si>
  <si>
    <t>385.00</t>
  </si>
  <si>
    <t>334.00</t>
  </si>
  <si>
    <t>502.00</t>
  </si>
  <si>
    <t>3165.59</t>
  </si>
  <si>
    <t>168.00</t>
  </si>
  <si>
    <t>2946.00</t>
  </si>
  <si>
    <t>1528.00</t>
  </si>
  <si>
    <t>2884.00</t>
  </si>
  <si>
    <t>162.00</t>
  </si>
  <si>
    <t>770.00</t>
  </si>
  <si>
    <t>440.00</t>
  </si>
  <si>
    <t>60.00</t>
  </si>
  <si>
    <t>546.14</t>
  </si>
  <si>
    <t>1971</t>
  </si>
  <si>
    <t>2008</t>
  </si>
  <si>
    <t>2007</t>
  </si>
  <si>
    <t>1981</t>
  </si>
  <si>
    <t>2002</t>
  </si>
  <si>
    <t>1974</t>
  </si>
  <si>
    <t>2006</t>
  </si>
  <si>
    <t>2005</t>
  </si>
  <si>
    <t>2004</t>
  </si>
  <si>
    <t>1979</t>
  </si>
  <si>
    <t>1982</t>
  </si>
  <si>
    <t>1989</t>
  </si>
  <si>
    <t>2011</t>
  </si>
  <si>
    <t>2003</t>
  </si>
  <si>
    <t>1972</t>
  </si>
  <si>
    <t>1968</t>
  </si>
  <si>
    <t>1973</t>
  </si>
  <si>
    <t>1995</t>
  </si>
  <si>
    <t>1969</t>
  </si>
  <si>
    <t>1990</t>
  </si>
  <si>
    <t>1965</t>
  </si>
  <si>
    <t>1071</t>
  </si>
  <si>
    <t>1964</t>
  </si>
  <si>
    <t>Ανοικτή</t>
  </si>
  <si>
    <t>Open</t>
  </si>
  <si>
    <t>Closed</t>
  </si>
  <si>
    <t>Apartment</t>
  </si>
  <si>
    <t>Apartment/Maisonette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</si>
</sst>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quot;"/>
  </numFmts>
  <fonts count="6" x14ac:knownFonts="1">
    <font>
      <sz val="11"/>
      <color theme="1"/>
      <name val="Aptos Narrow"/>
      <family val="2"/>
      <charset val="161"/>
      <scheme val="minor"/>
    </font>
    <font>
      <sz val="11"/>
      <color theme="1"/>
      <name val="Aptos Narrow"/>
      <family val="2"/>
      <scheme val="minor"/>
    </font>
    <font>
      <u/>
      <sz val="11"/>
      <color theme="10"/>
      <name val="Aptos Narrow"/>
      <family val="2"/>
      <charset val="161"/>
      <scheme val="minor"/>
    </font>
    <font>
      <b/>
      <sz val="14"/>
      <color theme="0"/>
      <name val="Aptos Narrow"/>
      <family val="2"/>
      <scheme val="minor"/>
    </font>
    <font>
      <sz val="11"/>
      <color theme="1"/>
      <name val="Aptos Narrow"/>
      <family val="2"/>
      <scheme val="minor"/>
    </font>
    <font>
      <u/>
      <sz val="11"/>
      <color theme="10"/>
      <name val="Aptos Narrow"/>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0" fillId="3" borderId="1" xfId="0" applyFill="1" applyBorder="1" applyAlignment="1">
      <alignment horizontal="right"/>
    </xf>
    <xf numFmtId="0" fontId="3" fillId="2" borderId="0" xfId="0" applyFont="1" applyFill="1"/>
    <xf numFmtId="164" fontId="3" fillId="2" borderId="0" xfId="0" applyNumberFormat="1" applyFont="1" applyFill="1"/>
    <xf numFmtId="3" fontId="3" fillId="2" borderId="0" xfId="0" applyNumberFormat="1" applyFont="1" applyFill="1"/>
    <xf numFmtId="3" fontId="0" fillId="0" borderId="0" xfId="0" applyNumberFormat="1" applyAlignment="1">
      <alignment horizontal="right"/>
    </xf>
    <xf numFmtId="0" fontId="4" fillId="4" borderId="1" xfId="0" applyFont="1" applyFill="1" applyBorder="1"/>
    <xf numFmtId="0" fontId="5" fillId="4" borderId="1" xfId="1" applyFont="1" applyFill="1" applyBorder="1"/>
    <xf numFmtId="3" fontId="4" fillId="4" borderId="1" xfId="0" applyNumberFormat="1" applyFont="1" applyFill="1" applyBorder="1" applyAlignment="1">
      <alignment horizontal="right"/>
    </xf>
    <xf numFmtId="0" fontId="4" fillId="4" borderId="1" xfId="0" applyFont="1" applyFill="1" applyBorder="1" applyAlignment="1">
      <alignment wrapText="1"/>
    </xf>
    <xf numFmtId="0" fontId="4" fillId="4" borderId="1" xfId="0" applyFont="1" applyFill="1" applyBorder="1" applyAlignment="1">
      <alignment horizontal="right"/>
    </xf>
    <xf numFmtId="0" fontId="4" fillId="4" borderId="0" xfId="0" applyFont="1" applyFill="1"/>
    <xf numFmtId="0" fontId="2" fillId="4" borderId="1" xfId="1" applyFill="1" applyBorder="1"/>
    <xf numFmtId="0" fontId="0" fillId="4" borderId="0" xfId="0" applyFill="1"/>
    <xf numFmtId="0" fontId="2" fillId="3" borderId="2" xfId="1" applyFill="1" applyBorder="1"/>
    <xf numFmtId="0" fontId="0" fillId="3" borderId="2" xfId="0" applyFill="1" applyBorder="1" applyAlignment="1">
      <alignment horizontal="right"/>
    </xf>
    <xf numFmtId="0" fontId="0" fillId="0" borderId="1" xfId="0" applyBorder="1"/>
    <xf numFmtId="3" fontId="0" fillId="0" borderId="1" xfId="0" applyNumberFormat="1" applyBorder="1" applyAlignment="1">
      <alignment horizontal="right"/>
    </xf>
    <xf numFmtId="0" fontId="2" fillId="4" borderId="2" xfId="1" applyFill="1" applyBorder="1"/>
    <xf numFmtId="0" fontId="1" fillId="4" borderId="1"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29FD8-E34D-4D4D-B984-F810B5B20F2A}">
  <dimension ref="A1:U42"/>
  <sheetViews>
    <sheetView tabSelected="1" topLeftCell="I1" zoomScale="83" zoomScaleNormal="83" workbookViewId="0">
      <selection activeCell="V2" sqref="V2"/>
    </sheetView>
  </sheetViews>
  <sheetFormatPr defaultRowHeight="14.4" x14ac:dyDescent="0.3"/>
  <cols>
    <col min="1" max="3" width="22.44140625" customWidth="1"/>
    <col min="4" max="4" width="20.77734375" bestFit="1" customWidth="1"/>
    <col min="5" max="5" width="22.44140625" customWidth="1"/>
    <col min="6" max="6" width="19.21875" bestFit="1" customWidth="1"/>
    <col min="7" max="8" width="18.77734375" bestFit="1" customWidth="1"/>
    <col min="9" max="9" width="11.44140625" bestFit="1" customWidth="1"/>
    <col min="10" max="10" width="5.5546875" bestFit="1" customWidth="1"/>
    <col min="11" max="11" width="22.44140625" customWidth="1"/>
    <col min="12" max="12" width="21.44140625" bestFit="1" customWidth="1"/>
    <col min="13" max="13" width="18.33203125" bestFit="1" customWidth="1"/>
    <col min="14" max="14" width="19.21875" bestFit="1" customWidth="1"/>
    <col min="15" max="15" width="20.6640625" bestFit="1" customWidth="1"/>
    <col min="16" max="16" width="14.88671875" bestFit="1" customWidth="1"/>
    <col min="17" max="17" width="23" bestFit="1" customWidth="1"/>
    <col min="18" max="18" width="18.21875" bestFit="1" customWidth="1"/>
    <col min="19" max="19" width="18.88671875" bestFit="1" customWidth="1"/>
    <col min="20" max="20" width="19.109375" bestFit="1" customWidth="1"/>
    <col min="21" max="21" width="17.109375" bestFit="1" customWidth="1"/>
  </cols>
  <sheetData>
    <row r="1" spans="1:21" ht="18" x14ac:dyDescent="0.35">
      <c r="A1" s="2" t="s">
        <v>3</v>
      </c>
      <c r="B1" s="2"/>
      <c r="C1" s="2" t="s">
        <v>0</v>
      </c>
      <c r="D1" s="2" t="s">
        <v>1</v>
      </c>
      <c r="E1" s="2" t="s">
        <v>2</v>
      </c>
      <c r="F1" s="2" t="s">
        <v>4</v>
      </c>
      <c r="G1" s="2" t="s">
        <v>5</v>
      </c>
      <c r="H1" s="2" t="s">
        <v>6</v>
      </c>
      <c r="I1" s="3" t="s">
        <v>7</v>
      </c>
      <c r="J1" s="3"/>
      <c r="K1" s="2" t="s">
        <v>73</v>
      </c>
      <c r="L1" s="2" t="s">
        <v>8</v>
      </c>
      <c r="M1" s="2" t="s">
        <v>9</v>
      </c>
      <c r="N1" s="2" t="s">
        <v>10</v>
      </c>
      <c r="O1" s="4" t="s">
        <v>11</v>
      </c>
      <c r="P1" s="2" t="s">
        <v>12</v>
      </c>
      <c r="Q1" s="2" t="s">
        <v>13</v>
      </c>
      <c r="R1" s="2" t="s">
        <v>14</v>
      </c>
      <c r="S1" s="2" t="s">
        <v>15</v>
      </c>
      <c r="T1" s="2" t="s">
        <v>16</v>
      </c>
      <c r="U1" s="2" t="s">
        <v>17</v>
      </c>
    </row>
    <row r="2" spans="1:21" s="11" customFormat="1" ht="19.95" customHeight="1" x14ac:dyDescent="0.3">
      <c r="A2" s="19" t="s">
        <v>74</v>
      </c>
      <c r="B2" s="7" t="s">
        <v>184</v>
      </c>
      <c r="C2" s="6" t="s">
        <v>18</v>
      </c>
      <c r="D2" s="6" t="s">
        <v>103</v>
      </c>
      <c r="E2" s="6" t="s">
        <v>112</v>
      </c>
      <c r="F2" s="6" t="s">
        <v>313</v>
      </c>
      <c r="G2" s="6" t="s">
        <v>132</v>
      </c>
      <c r="H2" s="6" t="s">
        <v>133</v>
      </c>
      <c r="I2" s="8">
        <v>95000</v>
      </c>
      <c r="J2" s="8">
        <f t="shared" ref="J2:J38" si="0">I2/O2</f>
        <v>1000</v>
      </c>
      <c r="K2" s="9" t="s">
        <v>215</v>
      </c>
      <c r="L2" s="6" t="s">
        <v>214</v>
      </c>
      <c r="M2" s="6" t="s">
        <v>214</v>
      </c>
      <c r="N2" s="6" t="s">
        <v>252</v>
      </c>
      <c r="O2" s="8">
        <v>95</v>
      </c>
      <c r="P2" s="10" t="s">
        <v>258</v>
      </c>
      <c r="Q2" s="6" t="s">
        <v>287</v>
      </c>
      <c r="R2" s="6" t="s">
        <v>255</v>
      </c>
      <c r="S2" s="6" t="s">
        <v>252</v>
      </c>
      <c r="T2" s="6"/>
      <c r="U2" s="6"/>
    </row>
    <row r="3" spans="1:21" s="11" customFormat="1" ht="19.95" customHeight="1" x14ac:dyDescent="0.3">
      <c r="A3" s="6" t="s">
        <v>25</v>
      </c>
      <c r="B3" s="7" t="s">
        <v>66</v>
      </c>
      <c r="C3" s="6" t="s">
        <v>21</v>
      </c>
      <c r="D3" s="6" t="s">
        <v>23</v>
      </c>
      <c r="E3" s="6" t="s">
        <v>24</v>
      </c>
      <c r="F3" s="6" t="s">
        <v>313</v>
      </c>
      <c r="G3" s="6" t="s">
        <v>26</v>
      </c>
      <c r="H3" s="6" t="s">
        <v>27</v>
      </c>
      <c r="I3" s="8">
        <v>167000</v>
      </c>
      <c r="J3" s="8">
        <f t="shared" si="0"/>
        <v>1721.6494845360826</v>
      </c>
      <c r="K3" s="9" t="s">
        <v>216</v>
      </c>
      <c r="L3" s="6" t="s">
        <v>214</v>
      </c>
      <c r="M3" s="6" t="s">
        <v>214</v>
      </c>
      <c r="N3" s="6" t="s">
        <v>252</v>
      </c>
      <c r="O3" s="10">
        <v>97</v>
      </c>
      <c r="P3" s="10" t="s">
        <v>260</v>
      </c>
      <c r="Q3" s="6" t="s">
        <v>289</v>
      </c>
      <c r="R3" s="6" t="s">
        <v>255</v>
      </c>
      <c r="S3" s="6" t="s">
        <v>252</v>
      </c>
      <c r="T3" s="6" t="s">
        <v>252</v>
      </c>
      <c r="U3" s="6" t="s">
        <v>311</v>
      </c>
    </row>
    <row r="4" spans="1:21" s="11" customFormat="1" ht="19.95" customHeight="1" x14ac:dyDescent="0.3">
      <c r="A4" s="6" t="s">
        <v>75</v>
      </c>
      <c r="B4" s="7" t="s">
        <v>185</v>
      </c>
      <c r="C4" s="6" t="s">
        <v>21</v>
      </c>
      <c r="D4" s="6" t="s">
        <v>22</v>
      </c>
      <c r="E4" s="6"/>
      <c r="F4" s="6" t="s">
        <v>313</v>
      </c>
      <c r="G4" s="6" t="s">
        <v>134</v>
      </c>
      <c r="H4" s="6" t="s">
        <v>135</v>
      </c>
      <c r="I4" s="8">
        <v>80000</v>
      </c>
      <c r="J4" s="8">
        <f t="shared" si="0"/>
        <v>1600</v>
      </c>
      <c r="K4" s="9" t="s">
        <v>217</v>
      </c>
      <c r="L4" s="6" t="s">
        <v>254</v>
      </c>
      <c r="M4" s="6" t="s">
        <v>254</v>
      </c>
      <c r="N4" s="6" t="s">
        <v>252</v>
      </c>
      <c r="O4" s="10">
        <v>50</v>
      </c>
      <c r="P4" s="10" t="s">
        <v>259</v>
      </c>
      <c r="Q4" s="6"/>
      <c r="R4" s="6" t="s">
        <v>255</v>
      </c>
      <c r="S4" s="6" t="s">
        <v>252</v>
      </c>
      <c r="T4" s="6" t="s">
        <v>252</v>
      </c>
      <c r="U4" s="6"/>
    </row>
    <row r="5" spans="1:21" ht="19.95" customHeight="1" x14ac:dyDescent="0.3">
      <c r="A5" s="16" t="s">
        <v>76</v>
      </c>
      <c r="B5" s="12" t="s">
        <v>186</v>
      </c>
      <c r="C5" s="16" t="s">
        <v>19</v>
      </c>
      <c r="D5" s="16" t="s">
        <v>56</v>
      </c>
      <c r="E5" s="16" t="s">
        <v>113</v>
      </c>
      <c r="F5" s="16" t="s">
        <v>313</v>
      </c>
      <c r="G5" s="16" t="s">
        <v>136</v>
      </c>
      <c r="H5" s="16" t="s">
        <v>137</v>
      </c>
      <c r="I5" s="17">
        <v>240000</v>
      </c>
      <c r="J5" s="17">
        <f t="shared" si="0"/>
        <v>2264.1509433962265</v>
      </c>
      <c r="K5" s="16" t="s">
        <v>218</v>
      </c>
      <c r="L5" s="16" t="s">
        <v>252</v>
      </c>
      <c r="M5" s="16" t="s">
        <v>252</v>
      </c>
      <c r="N5" s="16" t="s">
        <v>252</v>
      </c>
      <c r="O5" s="1">
        <v>106</v>
      </c>
      <c r="P5" s="16" t="s">
        <v>261</v>
      </c>
      <c r="Q5" s="16" t="s">
        <v>288</v>
      </c>
      <c r="R5" s="16" t="s">
        <v>255</v>
      </c>
      <c r="S5" s="16" t="s">
        <v>255</v>
      </c>
      <c r="T5" s="16"/>
      <c r="U5" s="16"/>
    </row>
    <row r="6" spans="1:21" ht="19.95" customHeight="1" x14ac:dyDescent="0.3">
      <c r="A6" s="16" t="s">
        <v>77</v>
      </c>
      <c r="B6" s="12" t="s">
        <v>187</v>
      </c>
      <c r="C6" s="16" t="s">
        <v>21</v>
      </c>
      <c r="D6" s="16" t="s">
        <v>28</v>
      </c>
      <c r="E6" s="16" t="s">
        <v>43</v>
      </c>
      <c r="F6" s="16" t="s">
        <v>313</v>
      </c>
      <c r="G6" s="16" t="s">
        <v>44</v>
      </c>
      <c r="H6" s="16" t="s">
        <v>45</v>
      </c>
      <c r="I6" s="17">
        <v>108000</v>
      </c>
      <c r="J6" s="17">
        <f t="shared" si="0"/>
        <v>1479.4520547945206</v>
      </c>
      <c r="K6" s="16" t="s">
        <v>219</v>
      </c>
      <c r="L6" s="16" t="s">
        <v>255</v>
      </c>
      <c r="M6" s="16" t="s">
        <v>255</v>
      </c>
      <c r="N6" s="16" t="s">
        <v>252</v>
      </c>
      <c r="O6" s="1">
        <v>73</v>
      </c>
      <c r="P6" s="16" t="s">
        <v>263</v>
      </c>
      <c r="Q6" s="16" t="s">
        <v>295</v>
      </c>
      <c r="R6" s="16" t="s">
        <v>255</v>
      </c>
      <c r="S6" s="16" t="s">
        <v>252</v>
      </c>
      <c r="T6" s="16" t="s">
        <v>252</v>
      </c>
      <c r="U6" s="16" t="s">
        <v>312</v>
      </c>
    </row>
    <row r="7" spans="1:21" ht="19.95" customHeight="1" x14ac:dyDescent="0.3">
      <c r="A7" s="16" t="s">
        <v>78</v>
      </c>
      <c r="B7" s="12" t="s">
        <v>188</v>
      </c>
      <c r="C7" s="16" t="s">
        <v>18</v>
      </c>
      <c r="D7" s="16" t="s">
        <v>31</v>
      </c>
      <c r="E7" s="16" t="s">
        <v>114</v>
      </c>
      <c r="F7" s="16" t="s">
        <v>313</v>
      </c>
      <c r="G7" s="16" t="s">
        <v>138</v>
      </c>
      <c r="H7" s="16" t="s">
        <v>139</v>
      </c>
      <c r="I7" s="17">
        <v>180000</v>
      </c>
      <c r="J7" s="17">
        <f t="shared" si="0"/>
        <v>1651.3761467889908</v>
      </c>
      <c r="K7" s="16" t="s">
        <v>220</v>
      </c>
      <c r="L7" s="16" t="s">
        <v>254</v>
      </c>
      <c r="M7" s="16" t="s">
        <v>254</v>
      </c>
      <c r="N7" s="16" t="s">
        <v>252</v>
      </c>
      <c r="O7" s="1">
        <v>109</v>
      </c>
      <c r="P7" s="16" t="s">
        <v>259</v>
      </c>
      <c r="Q7" s="16" t="s">
        <v>292</v>
      </c>
      <c r="R7" s="16" t="s">
        <v>255</v>
      </c>
      <c r="S7" s="16" t="s">
        <v>255</v>
      </c>
      <c r="T7" s="16" t="s">
        <v>214</v>
      </c>
      <c r="U7" s="16"/>
    </row>
    <row r="8" spans="1:21" ht="19.95" customHeight="1" x14ac:dyDescent="0.3">
      <c r="A8" s="16" t="s">
        <v>79</v>
      </c>
      <c r="B8" s="12" t="s">
        <v>189</v>
      </c>
      <c r="C8" s="16" t="s">
        <v>18</v>
      </c>
      <c r="D8" s="16" t="s">
        <v>30</v>
      </c>
      <c r="E8" s="16" t="s">
        <v>115</v>
      </c>
      <c r="F8" s="16" t="s">
        <v>313</v>
      </c>
      <c r="G8" s="16" t="s">
        <v>140</v>
      </c>
      <c r="H8" s="16" t="s">
        <v>141</v>
      </c>
      <c r="I8" s="17">
        <v>250000</v>
      </c>
      <c r="J8" s="17">
        <f t="shared" si="0"/>
        <v>2380.9523809523807</v>
      </c>
      <c r="K8" s="16" t="s">
        <v>221</v>
      </c>
      <c r="L8" s="16" t="s">
        <v>256</v>
      </c>
      <c r="M8" s="16" t="s">
        <v>256</v>
      </c>
      <c r="N8" s="16" t="s">
        <v>252</v>
      </c>
      <c r="O8" s="1">
        <v>105</v>
      </c>
      <c r="P8" s="16" t="s">
        <v>259</v>
      </c>
      <c r="Q8" s="16" t="s">
        <v>297</v>
      </c>
      <c r="R8" s="16" t="s">
        <v>254</v>
      </c>
      <c r="S8" s="16" t="s">
        <v>252</v>
      </c>
      <c r="T8" s="16" t="s">
        <v>252</v>
      </c>
      <c r="U8" s="16" t="s">
        <v>312</v>
      </c>
    </row>
    <row r="9" spans="1:21" ht="19.95" customHeight="1" x14ac:dyDescent="0.3">
      <c r="A9" s="16" t="s">
        <v>35</v>
      </c>
      <c r="B9" s="12" t="s">
        <v>67</v>
      </c>
      <c r="C9" s="16" t="s">
        <v>19</v>
      </c>
      <c r="D9" s="16" t="s">
        <v>33</v>
      </c>
      <c r="E9" s="16" t="s">
        <v>34</v>
      </c>
      <c r="F9" s="16" t="s">
        <v>313</v>
      </c>
      <c r="G9" s="16" t="s">
        <v>36</v>
      </c>
      <c r="H9" s="16" t="s">
        <v>37</v>
      </c>
      <c r="I9" s="17">
        <v>65000</v>
      </c>
      <c r="J9" s="17">
        <f t="shared" si="0"/>
        <v>822.78481012658233</v>
      </c>
      <c r="K9" s="16" t="s">
        <v>222</v>
      </c>
      <c r="L9" s="16" t="s">
        <v>252</v>
      </c>
      <c r="M9" s="16" t="s">
        <v>252</v>
      </c>
      <c r="N9" s="16" t="s">
        <v>252</v>
      </c>
      <c r="O9" s="1">
        <v>79</v>
      </c>
      <c r="P9" s="16" t="s">
        <v>265</v>
      </c>
      <c r="Q9" s="16" t="s">
        <v>302</v>
      </c>
      <c r="R9" s="16" t="s">
        <v>255</v>
      </c>
      <c r="S9" s="16" t="s">
        <v>252</v>
      </c>
      <c r="T9" s="16"/>
      <c r="U9" s="16"/>
    </row>
    <row r="10" spans="1:21" ht="19.95" customHeight="1" x14ac:dyDescent="0.3">
      <c r="A10" s="16" t="s">
        <v>80</v>
      </c>
      <c r="B10" s="12" t="s">
        <v>190</v>
      </c>
      <c r="C10" s="16" t="s">
        <v>18</v>
      </c>
      <c r="D10" s="16" t="s">
        <v>31</v>
      </c>
      <c r="E10" s="16" t="s">
        <v>116</v>
      </c>
      <c r="F10" s="16" t="s">
        <v>313</v>
      </c>
      <c r="G10" s="16" t="s">
        <v>142</v>
      </c>
      <c r="H10" s="16" t="s">
        <v>143</v>
      </c>
      <c r="I10" s="17">
        <v>173000</v>
      </c>
      <c r="J10" s="17">
        <f t="shared" si="0"/>
        <v>1783.5051546391753</v>
      </c>
      <c r="K10" s="16" t="s">
        <v>223</v>
      </c>
      <c r="L10" s="16" t="s">
        <v>255</v>
      </c>
      <c r="M10" s="16" t="s">
        <v>255</v>
      </c>
      <c r="N10" s="16" t="s">
        <v>252</v>
      </c>
      <c r="O10" s="1">
        <v>97</v>
      </c>
      <c r="P10" s="16" t="s">
        <v>266</v>
      </c>
      <c r="Q10" s="16" t="s">
        <v>308</v>
      </c>
      <c r="R10" s="16" t="s">
        <v>255</v>
      </c>
      <c r="S10" s="16" t="s">
        <v>252</v>
      </c>
      <c r="T10" s="16"/>
      <c r="U10" s="16"/>
    </row>
    <row r="11" spans="1:21" ht="19.95" customHeight="1" x14ac:dyDescent="0.3">
      <c r="A11" s="16" t="s">
        <v>81</v>
      </c>
      <c r="B11" s="12" t="s">
        <v>191</v>
      </c>
      <c r="C11" s="16" t="s">
        <v>19</v>
      </c>
      <c r="D11" s="16" t="s">
        <v>107</v>
      </c>
      <c r="E11" s="16" t="s">
        <v>117</v>
      </c>
      <c r="F11" s="16" t="s">
        <v>313</v>
      </c>
      <c r="G11" s="16" t="s">
        <v>144</v>
      </c>
      <c r="H11" s="16" t="s">
        <v>145</v>
      </c>
      <c r="I11" s="17">
        <v>117000</v>
      </c>
      <c r="J11" s="17">
        <f t="shared" si="0"/>
        <v>1147.0588235294117</v>
      </c>
      <c r="K11" s="16" t="s">
        <v>224</v>
      </c>
      <c r="L11" s="16" t="s">
        <v>252</v>
      </c>
      <c r="M11" s="16" t="s">
        <v>252</v>
      </c>
      <c r="N11" s="16" t="s">
        <v>252</v>
      </c>
      <c r="O11" s="1">
        <v>102</v>
      </c>
      <c r="P11" s="16" t="s">
        <v>267</v>
      </c>
      <c r="Q11" s="16" t="s">
        <v>298</v>
      </c>
      <c r="R11" s="16" t="s">
        <v>255</v>
      </c>
      <c r="S11" s="16" t="s">
        <v>252</v>
      </c>
      <c r="T11" s="16"/>
      <c r="U11" s="16"/>
    </row>
    <row r="12" spans="1:21" ht="19.95" customHeight="1" x14ac:dyDescent="0.3">
      <c r="A12" s="16" t="s">
        <v>82</v>
      </c>
      <c r="B12" s="12" t="s">
        <v>192</v>
      </c>
      <c r="C12" s="16" t="s">
        <v>19</v>
      </c>
      <c r="D12" s="16" t="s">
        <v>19</v>
      </c>
      <c r="E12" s="16" t="s">
        <v>118</v>
      </c>
      <c r="F12" s="16" t="s">
        <v>313</v>
      </c>
      <c r="G12" s="16" t="s">
        <v>146</v>
      </c>
      <c r="H12" s="16" t="s">
        <v>147</v>
      </c>
      <c r="I12" s="17">
        <v>80000</v>
      </c>
      <c r="J12" s="17">
        <f t="shared" si="0"/>
        <v>1250</v>
      </c>
      <c r="K12" s="16" t="s">
        <v>225</v>
      </c>
      <c r="L12" s="16" t="s">
        <v>254</v>
      </c>
      <c r="M12" s="16" t="s">
        <v>254</v>
      </c>
      <c r="N12" s="16" t="s">
        <v>252</v>
      </c>
      <c r="O12" s="1">
        <v>64</v>
      </c>
      <c r="P12" s="16" t="s">
        <v>268</v>
      </c>
      <c r="Q12" s="16" t="s">
        <v>289</v>
      </c>
      <c r="R12" s="16" t="s">
        <v>255</v>
      </c>
      <c r="S12" s="16" t="s">
        <v>252</v>
      </c>
      <c r="T12" s="16" t="s">
        <v>214</v>
      </c>
      <c r="U12" s="16"/>
    </row>
    <row r="13" spans="1:21" ht="19.95" customHeight="1" x14ac:dyDescent="0.3">
      <c r="A13" s="16" t="s">
        <v>40</v>
      </c>
      <c r="B13" s="12" t="s">
        <v>193</v>
      </c>
      <c r="C13" s="16" t="s">
        <v>19</v>
      </c>
      <c r="D13" s="16" t="s">
        <v>38</v>
      </c>
      <c r="E13" s="16" t="s">
        <v>39</v>
      </c>
      <c r="F13" s="16" t="s">
        <v>313</v>
      </c>
      <c r="G13" s="16" t="s">
        <v>41</v>
      </c>
      <c r="H13" s="16" t="s">
        <v>42</v>
      </c>
      <c r="I13" s="17">
        <v>190000</v>
      </c>
      <c r="J13" s="17">
        <f t="shared" si="0"/>
        <v>1809.5238095238096</v>
      </c>
      <c r="K13" s="16" t="s">
        <v>226</v>
      </c>
      <c r="L13" s="16" t="s">
        <v>256</v>
      </c>
      <c r="M13" s="16" t="s">
        <v>256</v>
      </c>
      <c r="N13" s="16" t="s">
        <v>252</v>
      </c>
      <c r="O13" s="1">
        <v>105</v>
      </c>
      <c r="P13" s="16" t="s">
        <v>264</v>
      </c>
      <c r="Q13" s="16" t="s">
        <v>300</v>
      </c>
      <c r="R13" s="16" t="s">
        <v>254</v>
      </c>
      <c r="S13" s="16" t="s">
        <v>252</v>
      </c>
      <c r="T13" s="16"/>
      <c r="U13" s="16"/>
    </row>
    <row r="14" spans="1:21" ht="19.95" customHeight="1" x14ac:dyDescent="0.3">
      <c r="A14" s="16" t="s">
        <v>83</v>
      </c>
      <c r="B14" s="12" t="s">
        <v>194</v>
      </c>
      <c r="C14" s="16" t="s">
        <v>19</v>
      </c>
      <c r="D14" s="16" t="s">
        <v>20</v>
      </c>
      <c r="E14" s="16" t="s">
        <v>119</v>
      </c>
      <c r="F14" s="16" t="s">
        <v>313</v>
      </c>
      <c r="G14" s="16" t="s">
        <v>148</v>
      </c>
      <c r="H14" s="16" t="s">
        <v>149</v>
      </c>
      <c r="I14" s="17">
        <v>78000</v>
      </c>
      <c r="J14" s="17">
        <f t="shared" si="0"/>
        <v>1130.4347826086957</v>
      </c>
      <c r="K14" s="16" t="s">
        <v>227</v>
      </c>
      <c r="L14" s="16" t="s">
        <v>252</v>
      </c>
      <c r="M14" s="16" t="s">
        <v>252</v>
      </c>
      <c r="N14" s="16" t="s">
        <v>252</v>
      </c>
      <c r="O14" s="1">
        <v>69</v>
      </c>
      <c r="P14" s="16" t="s">
        <v>269</v>
      </c>
      <c r="Q14" s="16" t="s">
        <v>296</v>
      </c>
      <c r="R14" s="16" t="s">
        <v>255</v>
      </c>
      <c r="S14" s="16" t="s">
        <v>252</v>
      </c>
      <c r="T14" s="16"/>
      <c r="U14" s="16"/>
    </row>
    <row r="15" spans="1:21" ht="19.95" customHeight="1" x14ac:dyDescent="0.3">
      <c r="A15" s="16" t="s">
        <v>84</v>
      </c>
      <c r="B15" s="12" t="s">
        <v>195</v>
      </c>
      <c r="C15" s="16" t="s">
        <v>18</v>
      </c>
      <c r="D15" s="16" t="s">
        <v>104</v>
      </c>
      <c r="E15" s="16"/>
      <c r="F15" s="16" t="s">
        <v>313</v>
      </c>
      <c r="G15" s="16" t="s">
        <v>150</v>
      </c>
      <c r="H15" s="16" t="s">
        <v>151</v>
      </c>
      <c r="I15" s="17">
        <v>312000</v>
      </c>
      <c r="J15" s="17">
        <f t="shared" si="0"/>
        <v>2836.3636363636365</v>
      </c>
      <c r="K15" s="16" t="s">
        <v>228</v>
      </c>
      <c r="L15" s="16" t="s">
        <v>252</v>
      </c>
      <c r="M15" s="16" t="s">
        <v>252</v>
      </c>
      <c r="N15" s="16" t="s">
        <v>252</v>
      </c>
      <c r="O15" s="1">
        <v>110</v>
      </c>
      <c r="P15" s="16" t="s">
        <v>270</v>
      </c>
      <c r="Q15" s="16" t="s">
        <v>306</v>
      </c>
      <c r="R15" s="16" t="s">
        <v>254</v>
      </c>
      <c r="S15" s="16" t="s">
        <v>255</v>
      </c>
      <c r="T15" s="16" t="s">
        <v>252</v>
      </c>
      <c r="U15" s="16" t="s">
        <v>311</v>
      </c>
    </row>
    <row r="16" spans="1:21" ht="19.95" customHeight="1" x14ac:dyDescent="0.3">
      <c r="A16" s="16" t="s">
        <v>85</v>
      </c>
      <c r="B16" s="12" t="s">
        <v>196</v>
      </c>
      <c r="C16" s="16" t="s">
        <v>19</v>
      </c>
      <c r="D16" s="16" t="s">
        <v>19</v>
      </c>
      <c r="E16" s="16" t="s">
        <v>120</v>
      </c>
      <c r="F16" s="16" t="s">
        <v>313</v>
      </c>
      <c r="G16" s="16" t="s">
        <v>152</v>
      </c>
      <c r="H16" s="16" t="s">
        <v>153</v>
      </c>
      <c r="I16" s="17">
        <v>82000</v>
      </c>
      <c r="J16" s="17">
        <f t="shared" si="0"/>
        <v>1490.909090909091</v>
      </c>
      <c r="K16" s="16" t="s">
        <v>229</v>
      </c>
      <c r="L16" s="16" t="s">
        <v>254</v>
      </c>
      <c r="M16" s="16" t="s">
        <v>254</v>
      </c>
      <c r="N16" s="16" t="s">
        <v>252</v>
      </c>
      <c r="O16" s="1">
        <v>55</v>
      </c>
      <c r="P16" s="16" t="s">
        <v>271</v>
      </c>
      <c r="Q16" s="16" t="s">
        <v>309</v>
      </c>
      <c r="R16" s="16" t="s">
        <v>252</v>
      </c>
      <c r="S16" s="16" t="s">
        <v>252</v>
      </c>
      <c r="T16" s="16"/>
      <c r="U16" s="16"/>
    </row>
    <row r="17" spans="1:21" ht="19.95" customHeight="1" x14ac:dyDescent="0.3">
      <c r="A17" s="16" t="s">
        <v>86</v>
      </c>
      <c r="B17" s="12" t="s">
        <v>197</v>
      </c>
      <c r="C17" s="16" t="s">
        <v>19</v>
      </c>
      <c r="D17" s="16" t="s">
        <v>19</v>
      </c>
      <c r="E17" s="16" t="s">
        <v>121</v>
      </c>
      <c r="F17" s="16" t="s">
        <v>313</v>
      </c>
      <c r="G17" s="16" t="s">
        <v>154</v>
      </c>
      <c r="H17" s="16" t="s">
        <v>155</v>
      </c>
      <c r="I17" s="17">
        <v>115000</v>
      </c>
      <c r="J17" s="17">
        <f t="shared" si="0"/>
        <v>1949.1525423728813</v>
      </c>
      <c r="K17" s="16" t="s">
        <v>230</v>
      </c>
      <c r="L17" s="16" t="s">
        <v>256</v>
      </c>
      <c r="M17" s="16" t="s">
        <v>256</v>
      </c>
      <c r="N17" s="16" t="s">
        <v>252</v>
      </c>
      <c r="O17" s="1">
        <v>59</v>
      </c>
      <c r="P17" s="16" t="s">
        <v>272</v>
      </c>
      <c r="Q17" s="16" t="s">
        <v>307</v>
      </c>
      <c r="R17" s="16" t="s">
        <v>255</v>
      </c>
      <c r="S17" s="16" t="s">
        <v>252</v>
      </c>
      <c r="T17" s="16"/>
      <c r="U17" s="16"/>
    </row>
    <row r="18" spans="1:21" ht="19.95" customHeight="1" x14ac:dyDescent="0.3">
      <c r="A18" s="16" t="s">
        <v>87</v>
      </c>
      <c r="B18" s="12" t="s">
        <v>198</v>
      </c>
      <c r="C18" s="16" t="s">
        <v>21</v>
      </c>
      <c r="D18" s="16" t="s">
        <v>28</v>
      </c>
      <c r="E18" s="16" t="s">
        <v>43</v>
      </c>
      <c r="F18" s="16" t="s">
        <v>313</v>
      </c>
      <c r="G18" s="16" t="s">
        <v>44</v>
      </c>
      <c r="H18" s="16" t="s">
        <v>45</v>
      </c>
      <c r="I18" s="17">
        <v>88000</v>
      </c>
      <c r="J18" s="17">
        <f t="shared" si="0"/>
        <v>1205.4794520547946</v>
      </c>
      <c r="K18" s="16" t="s">
        <v>231</v>
      </c>
      <c r="L18" s="16" t="s">
        <v>252</v>
      </c>
      <c r="M18" s="16" t="s">
        <v>252</v>
      </c>
      <c r="N18" s="16" t="s">
        <v>252</v>
      </c>
      <c r="O18" s="1">
        <v>73</v>
      </c>
      <c r="P18" s="16" t="s">
        <v>273</v>
      </c>
      <c r="Q18" s="16" t="s">
        <v>295</v>
      </c>
      <c r="R18" s="16" t="s">
        <v>255</v>
      </c>
      <c r="S18" s="16" t="s">
        <v>252</v>
      </c>
      <c r="T18" s="16"/>
      <c r="U18" s="16"/>
    </row>
    <row r="19" spans="1:21" ht="19.95" customHeight="1" x14ac:dyDescent="0.3">
      <c r="A19" s="16" t="s">
        <v>88</v>
      </c>
      <c r="B19" s="12" t="s">
        <v>199</v>
      </c>
      <c r="C19" s="16" t="s">
        <v>18</v>
      </c>
      <c r="D19" s="16" t="s">
        <v>31</v>
      </c>
      <c r="E19" s="16" t="s">
        <v>122</v>
      </c>
      <c r="F19" s="16" t="s">
        <v>313</v>
      </c>
      <c r="G19" s="16" t="s">
        <v>156</v>
      </c>
      <c r="H19" s="16" t="s">
        <v>157</v>
      </c>
      <c r="I19" s="17">
        <v>99000</v>
      </c>
      <c r="J19" s="17">
        <f t="shared" si="0"/>
        <v>1151.1627906976744</v>
      </c>
      <c r="K19" s="16" t="s">
        <v>232</v>
      </c>
      <c r="L19" s="16" t="s">
        <v>257</v>
      </c>
      <c r="M19" s="16" t="s">
        <v>257</v>
      </c>
      <c r="N19" s="16" t="s">
        <v>252</v>
      </c>
      <c r="O19" s="1">
        <v>86</v>
      </c>
      <c r="P19" s="16" t="s">
        <v>274</v>
      </c>
      <c r="Q19" s="16" t="s">
        <v>305</v>
      </c>
      <c r="R19" s="16" t="s">
        <v>255</v>
      </c>
      <c r="S19" s="16" t="s">
        <v>252</v>
      </c>
      <c r="T19" s="16"/>
      <c r="U19" s="16"/>
    </row>
    <row r="20" spans="1:21" ht="19.95" customHeight="1" x14ac:dyDescent="0.3">
      <c r="A20" t="s">
        <v>89</v>
      </c>
      <c r="B20" s="18" t="s">
        <v>200</v>
      </c>
      <c r="C20" t="s">
        <v>18</v>
      </c>
      <c r="D20" t="s">
        <v>104</v>
      </c>
      <c r="E20" t="s">
        <v>123</v>
      </c>
      <c r="F20" s="16" t="s">
        <v>314</v>
      </c>
      <c r="G20" t="s">
        <v>158</v>
      </c>
      <c r="H20" t="s">
        <v>159</v>
      </c>
      <c r="I20" s="5">
        <v>230000</v>
      </c>
      <c r="J20" s="5">
        <f t="shared" si="0"/>
        <v>1965.8119658119658</v>
      </c>
      <c r="K20" t="s">
        <v>233</v>
      </c>
      <c r="L20" t="s">
        <v>214</v>
      </c>
      <c r="M20" t="s">
        <v>255</v>
      </c>
      <c r="N20" t="s">
        <v>254</v>
      </c>
      <c r="O20" s="15">
        <v>117</v>
      </c>
      <c r="P20" t="s">
        <v>275</v>
      </c>
      <c r="Q20" t="s">
        <v>293</v>
      </c>
      <c r="R20" t="s">
        <v>254</v>
      </c>
      <c r="S20" t="s">
        <v>255</v>
      </c>
      <c r="T20" t="s">
        <v>252</v>
      </c>
    </row>
    <row r="21" spans="1:21" ht="19.95" customHeight="1" x14ac:dyDescent="0.3">
      <c r="A21" s="16" t="s">
        <v>90</v>
      </c>
      <c r="B21" s="12" t="s">
        <v>201</v>
      </c>
      <c r="C21" s="16" t="s">
        <v>18</v>
      </c>
      <c r="D21" s="16" t="s">
        <v>108</v>
      </c>
      <c r="E21" s="16" t="s">
        <v>124</v>
      </c>
      <c r="F21" s="16" t="s">
        <v>313</v>
      </c>
      <c r="G21" s="16" t="s">
        <v>160</v>
      </c>
      <c r="H21" s="16" t="s">
        <v>161</v>
      </c>
      <c r="I21" s="17">
        <v>190000</v>
      </c>
      <c r="J21" s="17">
        <f t="shared" si="0"/>
        <v>2000</v>
      </c>
      <c r="K21" s="16" t="s">
        <v>234</v>
      </c>
      <c r="L21" s="16" t="s">
        <v>256</v>
      </c>
      <c r="M21" s="16" t="s">
        <v>256</v>
      </c>
      <c r="N21" s="16" t="s">
        <v>252</v>
      </c>
      <c r="O21" s="1">
        <v>95</v>
      </c>
      <c r="P21" s="16" t="s">
        <v>276</v>
      </c>
      <c r="Q21" s="16" t="s">
        <v>301</v>
      </c>
      <c r="R21" s="16" t="s">
        <v>254</v>
      </c>
      <c r="S21" s="16" t="s">
        <v>255</v>
      </c>
      <c r="T21" s="16"/>
      <c r="U21" s="16"/>
    </row>
    <row r="22" spans="1:21" ht="19.95" customHeight="1" x14ac:dyDescent="0.3">
      <c r="A22" s="16" t="s">
        <v>91</v>
      </c>
      <c r="B22" s="12" t="s">
        <v>202</v>
      </c>
      <c r="C22" s="16" t="s">
        <v>18</v>
      </c>
      <c r="D22" s="16" t="s">
        <v>106</v>
      </c>
      <c r="E22" s="16"/>
      <c r="F22" s="16" t="s">
        <v>313</v>
      </c>
      <c r="G22" s="16" t="s">
        <v>162</v>
      </c>
      <c r="H22" s="16" t="s">
        <v>163</v>
      </c>
      <c r="I22" s="17">
        <v>225000</v>
      </c>
      <c r="J22" s="17">
        <f t="shared" si="0"/>
        <v>2008.9285714285713</v>
      </c>
      <c r="K22" s="16" t="s">
        <v>235</v>
      </c>
      <c r="L22" s="16" t="s">
        <v>256</v>
      </c>
      <c r="M22" s="16" t="s">
        <v>256</v>
      </c>
      <c r="N22" s="16" t="s">
        <v>252</v>
      </c>
      <c r="O22" s="1">
        <v>112</v>
      </c>
      <c r="P22" s="16" t="s">
        <v>259</v>
      </c>
      <c r="Q22" s="16" t="s">
        <v>301</v>
      </c>
      <c r="R22" s="16" t="s">
        <v>214</v>
      </c>
      <c r="S22" s="16" t="s">
        <v>214</v>
      </c>
      <c r="T22" s="16"/>
      <c r="U22" s="16"/>
    </row>
    <row r="23" spans="1:21" ht="19.95" customHeight="1" x14ac:dyDescent="0.3">
      <c r="A23" s="16" t="s">
        <v>47</v>
      </c>
      <c r="B23" s="12" t="s">
        <v>68</v>
      </c>
      <c r="C23" s="16" t="s">
        <v>21</v>
      </c>
      <c r="D23" s="16" t="s">
        <v>28</v>
      </c>
      <c r="E23" s="16" t="s">
        <v>43</v>
      </c>
      <c r="F23" s="16" t="s">
        <v>313</v>
      </c>
      <c r="G23" s="16" t="s">
        <v>44</v>
      </c>
      <c r="H23" s="16" t="s">
        <v>45</v>
      </c>
      <c r="I23" s="17">
        <v>138500</v>
      </c>
      <c r="J23" s="17">
        <f t="shared" si="0"/>
        <v>1897.2602739726028</v>
      </c>
      <c r="K23" s="16" t="s">
        <v>236</v>
      </c>
      <c r="L23" s="16" t="s">
        <v>255</v>
      </c>
      <c r="M23" s="16" t="s">
        <v>255</v>
      </c>
      <c r="N23" s="16" t="s">
        <v>252</v>
      </c>
      <c r="O23" s="1">
        <v>73</v>
      </c>
      <c r="P23" s="16" t="s">
        <v>273</v>
      </c>
      <c r="Q23" s="16" t="s">
        <v>295</v>
      </c>
      <c r="R23" s="16" t="s">
        <v>255</v>
      </c>
      <c r="S23" s="16" t="s">
        <v>252</v>
      </c>
      <c r="T23" s="16" t="s">
        <v>252</v>
      </c>
      <c r="U23" s="16" t="s">
        <v>312</v>
      </c>
    </row>
    <row r="24" spans="1:21" ht="19.95" customHeight="1" x14ac:dyDescent="0.3">
      <c r="A24" s="16" t="s">
        <v>49</v>
      </c>
      <c r="B24" s="12" t="s">
        <v>69</v>
      </c>
      <c r="C24" s="16" t="s">
        <v>18</v>
      </c>
      <c r="D24" s="16" t="s">
        <v>31</v>
      </c>
      <c r="E24" s="16" t="s">
        <v>48</v>
      </c>
      <c r="F24" s="16" t="s">
        <v>313</v>
      </c>
      <c r="G24" s="16" t="s">
        <v>50</v>
      </c>
      <c r="H24" s="16" t="s">
        <v>51</v>
      </c>
      <c r="I24" s="17">
        <v>135000</v>
      </c>
      <c r="J24" s="17">
        <f t="shared" si="0"/>
        <v>1406.25</v>
      </c>
      <c r="K24" s="16" t="s">
        <v>237</v>
      </c>
      <c r="L24" s="16" t="s">
        <v>254</v>
      </c>
      <c r="M24" s="16" t="s">
        <v>254</v>
      </c>
      <c r="N24" s="16" t="s">
        <v>252</v>
      </c>
      <c r="O24" s="1">
        <v>96</v>
      </c>
      <c r="P24" s="16" t="s">
        <v>259</v>
      </c>
      <c r="Q24" s="16" t="s">
        <v>309</v>
      </c>
      <c r="R24" s="16" t="s">
        <v>255</v>
      </c>
      <c r="S24" s="16" t="s">
        <v>252</v>
      </c>
      <c r="T24" s="16"/>
      <c r="U24" s="16"/>
    </row>
    <row r="25" spans="1:21" ht="19.95" customHeight="1" x14ac:dyDescent="0.3">
      <c r="A25" s="16" t="s">
        <v>92</v>
      </c>
      <c r="B25" s="12" t="s">
        <v>203</v>
      </c>
      <c r="C25" s="16" t="s">
        <v>19</v>
      </c>
      <c r="D25" s="16" t="s">
        <v>109</v>
      </c>
      <c r="E25" s="16" t="s">
        <v>125</v>
      </c>
      <c r="F25" s="16" t="s">
        <v>313</v>
      </c>
      <c r="G25" s="16" t="s">
        <v>164</v>
      </c>
      <c r="H25" s="16" t="s">
        <v>165</v>
      </c>
      <c r="I25" s="17">
        <v>70000</v>
      </c>
      <c r="J25" s="17">
        <f t="shared" si="0"/>
        <v>1206.8965517241379</v>
      </c>
      <c r="K25" s="16" t="s">
        <v>238</v>
      </c>
      <c r="L25" s="16" t="s">
        <v>254</v>
      </c>
      <c r="M25" s="16" t="s">
        <v>254</v>
      </c>
      <c r="N25" s="16" t="s">
        <v>252</v>
      </c>
      <c r="O25" s="1">
        <v>58</v>
      </c>
      <c r="P25" s="16" t="s">
        <v>277</v>
      </c>
      <c r="Q25" s="16" t="s">
        <v>296</v>
      </c>
      <c r="R25" s="16" t="s">
        <v>252</v>
      </c>
      <c r="S25" s="16" t="s">
        <v>252</v>
      </c>
      <c r="T25" s="16"/>
      <c r="U25" s="16"/>
    </row>
    <row r="26" spans="1:21" ht="19.95" customHeight="1" x14ac:dyDescent="0.3">
      <c r="A26" s="16" t="s">
        <v>53</v>
      </c>
      <c r="B26" s="12" t="s">
        <v>70</v>
      </c>
      <c r="C26" s="16" t="s">
        <v>19</v>
      </c>
      <c r="D26" s="16" t="s">
        <v>52</v>
      </c>
      <c r="E26" s="16"/>
      <c r="F26" s="16" t="s">
        <v>313</v>
      </c>
      <c r="G26" s="16" t="s">
        <v>54</v>
      </c>
      <c r="H26" s="16" t="s">
        <v>55</v>
      </c>
      <c r="I26" s="17">
        <v>85000</v>
      </c>
      <c r="J26" s="17">
        <f t="shared" si="0"/>
        <v>1931.8181818181818</v>
      </c>
      <c r="K26" s="16" t="s">
        <v>239</v>
      </c>
      <c r="L26" s="16" t="s">
        <v>252</v>
      </c>
      <c r="M26" s="16" t="s">
        <v>252</v>
      </c>
      <c r="N26" s="16" t="s">
        <v>252</v>
      </c>
      <c r="O26" s="1">
        <v>44</v>
      </c>
      <c r="P26" s="16" t="s">
        <v>278</v>
      </c>
      <c r="Q26" s="16" t="s">
        <v>288</v>
      </c>
      <c r="R26" s="16" t="s">
        <v>252</v>
      </c>
      <c r="S26" s="16" t="s">
        <v>252</v>
      </c>
      <c r="T26" s="16"/>
      <c r="U26" s="16"/>
    </row>
    <row r="27" spans="1:21" ht="19.95" customHeight="1" x14ac:dyDescent="0.3">
      <c r="A27" s="16" t="s">
        <v>58</v>
      </c>
      <c r="B27" s="12" t="s">
        <v>71</v>
      </c>
      <c r="C27" s="16" t="s">
        <v>19</v>
      </c>
      <c r="D27" s="16" t="s">
        <v>56</v>
      </c>
      <c r="E27" s="16" t="s">
        <v>57</v>
      </c>
      <c r="F27" s="16" t="s">
        <v>313</v>
      </c>
      <c r="G27" s="16" t="s">
        <v>59</v>
      </c>
      <c r="H27" s="16" t="s">
        <v>60</v>
      </c>
      <c r="I27" s="17">
        <v>250000</v>
      </c>
      <c r="J27" s="17">
        <f t="shared" si="0"/>
        <v>2427.1844660194174</v>
      </c>
      <c r="K27" s="16" t="s">
        <v>240</v>
      </c>
      <c r="L27" s="16" t="s">
        <v>214</v>
      </c>
      <c r="M27" s="16" t="s">
        <v>214</v>
      </c>
      <c r="N27" s="16" t="s">
        <v>252</v>
      </c>
      <c r="O27" s="1">
        <v>103</v>
      </c>
      <c r="P27" s="16" t="s">
        <v>279</v>
      </c>
      <c r="Q27" s="16" t="s">
        <v>299</v>
      </c>
      <c r="R27" s="16" t="s">
        <v>255</v>
      </c>
      <c r="S27" s="16" t="s">
        <v>252</v>
      </c>
      <c r="T27" s="16"/>
      <c r="U27" s="16"/>
    </row>
    <row r="28" spans="1:21" ht="19.95" customHeight="1" x14ac:dyDescent="0.3">
      <c r="A28" s="16" t="s">
        <v>93</v>
      </c>
      <c r="B28" s="12" t="s">
        <v>204</v>
      </c>
      <c r="C28" s="16" t="s">
        <v>19</v>
      </c>
      <c r="D28" s="16" t="s">
        <v>105</v>
      </c>
      <c r="E28" s="16" t="s">
        <v>126</v>
      </c>
      <c r="F28" s="16" t="s">
        <v>313</v>
      </c>
      <c r="G28" s="16" t="s">
        <v>166</v>
      </c>
      <c r="H28" s="16" t="s">
        <v>167</v>
      </c>
      <c r="I28" s="17">
        <v>80000</v>
      </c>
      <c r="J28" s="17">
        <f t="shared" si="0"/>
        <v>1038.9610389610389</v>
      </c>
      <c r="K28" s="16" t="s">
        <v>241</v>
      </c>
      <c r="L28" s="16" t="s">
        <v>253</v>
      </c>
      <c r="M28" s="16" t="s">
        <v>214</v>
      </c>
      <c r="N28" s="16" t="s">
        <v>255</v>
      </c>
      <c r="O28" s="1">
        <v>77</v>
      </c>
      <c r="P28" s="16" t="s">
        <v>280</v>
      </c>
      <c r="Q28" s="16" t="s">
        <v>295</v>
      </c>
      <c r="R28" s="16" t="s">
        <v>252</v>
      </c>
      <c r="S28" s="16" t="s">
        <v>252</v>
      </c>
      <c r="T28" s="16"/>
      <c r="U28" s="16"/>
    </row>
    <row r="29" spans="1:21" ht="19.95" customHeight="1" x14ac:dyDescent="0.3">
      <c r="A29" s="16" t="s">
        <v>94</v>
      </c>
      <c r="B29" s="12" t="s">
        <v>205</v>
      </c>
      <c r="C29" s="16" t="s">
        <v>19</v>
      </c>
      <c r="D29" s="16" t="s">
        <v>19</v>
      </c>
      <c r="E29" s="16"/>
      <c r="F29" s="16" t="s">
        <v>313</v>
      </c>
      <c r="G29" s="16" t="s">
        <v>168</v>
      </c>
      <c r="H29" s="16" t="s">
        <v>169</v>
      </c>
      <c r="I29" s="17">
        <v>250000</v>
      </c>
      <c r="J29" s="17">
        <f t="shared" si="0"/>
        <v>2631.5789473684213</v>
      </c>
      <c r="K29" s="16" t="s">
        <v>242</v>
      </c>
      <c r="L29" s="16" t="s">
        <v>256</v>
      </c>
      <c r="M29" s="16" t="s">
        <v>256</v>
      </c>
      <c r="N29" s="16" t="s">
        <v>252</v>
      </c>
      <c r="O29" s="1">
        <v>95</v>
      </c>
      <c r="P29" s="16" t="s">
        <v>262</v>
      </c>
      <c r="Q29" s="16" t="s">
        <v>298</v>
      </c>
      <c r="R29" s="16" t="s">
        <v>254</v>
      </c>
      <c r="S29" s="16" t="s">
        <v>252</v>
      </c>
      <c r="T29" s="16"/>
      <c r="U29" s="16"/>
    </row>
    <row r="30" spans="1:21" ht="19.95" customHeight="1" x14ac:dyDescent="0.3">
      <c r="A30" s="16" t="s">
        <v>95</v>
      </c>
      <c r="B30" s="12" t="s">
        <v>206</v>
      </c>
      <c r="C30" s="16" t="s">
        <v>19</v>
      </c>
      <c r="D30" s="16" t="s">
        <v>19</v>
      </c>
      <c r="E30" s="16" t="s">
        <v>127</v>
      </c>
      <c r="F30" s="16" t="s">
        <v>313</v>
      </c>
      <c r="G30" s="16" t="s">
        <v>170</v>
      </c>
      <c r="H30" s="16" t="s">
        <v>171</v>
      </c>
      <c r="I30" s="17">
        <v>85000</v>
      </c>
      <c r="J30" s="17">
        <f t="shared" si="0"/>
        <v>2125</v>
      </c>
      <c r="K30" s="16" t="s">
        <v>243</v>
      </c>
      <c r="L30" s="16" t="s">
        <v>252</v>
      </c>
      <c r="M30" s="16" t="s">
        <v>252</v>
      </c>
      <c r="N30" s="16" t="s">
        <v>252</v>
      </c>
      <c r="O30" s="1">
        <v>40</v>
      </c>
      <c r="P30" s="16" t="s">
        <v>259</v>
      </c>
      <c r="Q30" s="16" t="s">
        <v>304</v>
      </c>
      <c r="R30" s="16" t="s">
        <v>252</v>
      </c>
      <c r="S30" s="16" t="s">
        <v>252</v>
      </c>
      <c r="T30" s="16"/>
      <c r="U30" s="16"/>
    </row>
    <row r="31" spans="1:21" ht="19.95" customHeight="1" x14ac:dyDescent="0.3">
      <c r="A31" s="16" t="s">
        <v>96</v>
      </c>
      <c r="B31" s="12" t="s">
        <v>207</v>
      </c>
      <c r="C31" s="16" t="s">
        <v>19</v>
      </c>
      <c r="D31" s="16" t="s">
        <v>19</v>
      </c>
      <c r="E31" s="16" t="s">
        <v>127</v>
      </c>
      <c r="F31" s="16" t="s">
        <v>313</v>
      </c>
      <c r="G31" s="16" t="s">
        <v>170</v>
      </c>
      <c r="H31" s="16" t="s">
        <v>171</v>
      </c>
      <c r="I31" s="17">
        <v>91000</v>
      </c>
      <c r="J31" s="17">
        <f t="shared" si="0"/>
        <v>2275</v>
      </c>
      <c r="K31" s="16" t="s">
        <v>244</v>
      </c>
      <c r="L31" s="16" t="s">
        <v>255</v>
      </c>
      <c r="M31" s="16" t="s">
        <v>255</v>
      </c>
      <c r="N31" s="16" t="s">
        <v>252</v>
      </c>
      <c r="O31" s="1">
        <v>40</v>
      </c>
      <c r="P31" s="16" t="s">
        <v>259</v>
      </c>
      <c r="Q31" s="16" t="s">
        <v>304</v>
      </c>
      <c r="R31" s="16" t="s">
        <v>252</v>
      </c>
      <c r="S31" s="16" t="s">
        <v>252</v>
      </c>
      <c r="T31" s="16"/>
      <c r="U31" s="16"/>
    </row>
    <row r="32" spans="1:21" ht="19.95" customHeight="1" x14ac:dyDescent="0.3">
      <c r="A32" t="s">
        <v>97</v>
      </c>
      <c r="B32" s="14" t="s">
        <v>208</v>
      </c>
      <c r="C32" t="s">
        <v>19</v>
      </c>
      <c r="D32" t="s">
        <v>20</v>
      </c>
      <c r="E32" t="s">
        <v>128</v>
      </c>
      <c r="F32" s="16" t="s">
        <v>314</v>
      </c>
      <c r="G32" t="s">
        <v>172</v>
      </c>
      <c r="H32" t="s">
        <v>173</v>
      </c>
      <c r="I32" s="5">
        <v>220000</v>
      </c>
      <c r="J32" s="5">
        <f t="shared" si="0"/>
        <v>1913.0434782608695</v>
      </c>
      <c r="K32" t="s">
        <v>245</v>
      </c>
      <c r="L32" t="s">
        <v>253</v>
      </c>
      <c r="M32" t="s">
        <v>214</v>
      </c>
      <c r="N32" t="s">
        <v>255</v>
      </c>
      <c r="O32" s="15">
        <v>115</v>
      </c>
      <c r="P32" t="s">
        <v>281</v>
      </c>
      <c r="Q32" t="s">
        <v>294</v>
      </c>
      <c r="R32" t="s">
        <v>255</v>
      </c>
      <c r="S32" t="s">
        <v>255</v>
      </c>
      <c r="T32" t="s">
        <v>252</v>
      </c>
      <c r="U32" t="s">
        <v>310</v>
      </c>
    </row>
    <row r="33" spans="1:21" ht="19.95" customHeight="1" x14ac:dyDescent="0.3">
      <c r="A33" s="16" t="s">
        <v>63</v>
      </c>
      <c r="B33" s="12" t="s">
        <v>72</v>
      </c>
      <c r="C33" s="16" t="s">
        <v>19</v>
      </c>
      <c r="D33" s="16" t="s">
        <v>61</v>
      </c>
      <c r="E33" s="16" t="s">
        <v>62</v>
      </c>
      <c r="F33" s="16" t="s">
        <v>313</v>
      </c>
      <c r="G33" s="16" t="s">
        <v>64</v>
      </c>
      <c r="H33" s="16" t="s">
        <v>65</v>
      </c>
      <c r="I33" s="17">
        <v>115000</v>
      </c>
      <c r="J33" s="17">
        <f t="shared" si="0"/>
        <v>1642.8571428571429</v>
      </c>
      <c r="K33" s="16" t="s">
        <v>246</v>
      </c>
      <c r="L33" s="16" t="s">
        <v>257</v>
      </c>
      <c r="M33" s="16" t="s">
        <v>257</v>
      </c>
      <c r="N33" s="16" t="s">
        <v>252</v>
      </c>
      <c r="O33" s="1">
        <v>70</v>
      </c>
      <c r="P33" s="16" t="s">
        <v>282</v>
      </c>
      <c r="Q33" s="16" t="s">
        <v>289</v>
      </c>
      <c r="R33" s="16" t="s">
        <v>255</v>
      </c>
      <c r="S33" s="16" t="s">
        <v>252</v>
      </c>
      <c r="T33" s="16" t="s">
        <v>214</v>
      </c>
      <c r="U33" s="16"/>
    </row>
    <row r="34" spans="1:21" ht="19.95" customHeight="1" x14ac:dyDescent="0.3">
      <c r="A34" s="16" t="s">
        <v>98</v>
      </c>
      <c r="B34" s="12" t="s">
        <v>209</v>
      </c>
      <c r="C34" s="16" t="s">
        <v>18</v>
      </c>
      <c r="D34" s="16" t="s">
        <v>110</v>
      </c>
      <c r="E34" s="16" t="s">
        <v>129</v>
      </c>
      <c r="F34" s="16" t="s">
        <v>313</v>
      </c>
      <c r="G34" s="16" t="s">
        <v>174</v>
      </c>
      <c r="H34" s="16" t="s">
        <v>175</v>
      </c>
      <c r="I34" s="17">
        <v>160000</v>
      </c>
      <c r="J34" s="17">
        <f t="shared" si="0"/>
        <v>2162.1621621621621</v>
      </c>
      <c r="K34" s="16" t="s">
        <v>247</v>
      </c>
      <c r="L34" s="16" t="s">
        <v>214</v>
      </c>
      <c r="M34" s="16" t="s">
        <v>214</v>
      </c>
      <c r="N34" s="16" t="s">
        <v>252</v>
      </c>
      <c r="O34" s="1">
        <v>74</v>
      </c>
      <c r="P34" s="16" t="s">
        <v>32</v>
      </c>
      <c r="Q34" s="16" t="s">
        <v>290</v>
      </c>
      <c r="R34" s="16" t="s">
        <v>255</v>
      </c>
      <c r="S34" s="16" t="s">
        <v>252</v>
      </c>
      <c r="T34" s="16"/>
      <c r="U34" s="16"/>
    </row>
    <row r="35" spans="1:21" ht="19.95" customHeight="1" x14ac:dyDescent="0.3">
      <c r="A35" s="16" t="s">
        <v>99</v>
      </c>
      <c r="B35" s="12" t="s">
        <v>210</v>
      </c>
      <c r="C35" s="16" t="s">
        <v>21</v>
      </c>
      <c r="D35" s="16" t="s">
        <v>46</v>
      </c>
      <c r="E35" s="16"/>
      <c r="F35" s="16" t="s">
        <v>313</v>
      </c>
      <c r="G35" s="16" t="s">
        <v>176</v>
      </c>
      <c r="H35" s="16" t="s">
        <v>177</v>
      </c>
      <c r="I35" s="17">
        <v>210000</v>
      </c>
      <c r="J35" s="17">
        <f t="shared" si="0"/>
        <v>2121.212121212121</v>
      </c>
      <c r="K35" s="16" t="s">
        <v>248</v>
      </c>
      <c r="L35" s="16" t="s">
        <v>257</v>
      </c>
      <c r="M35" s="16" t="s">
        <v>257</v>
      </c>
      <c r="N35" s="16" t="s">
        <v>252</v>
      </c>
      <c r="O35" s="1">
        <v>99</v>
      </c>
      <c r="P35" s="16" t="s">
        <v>283</v>
      </c>
      <c r="Q35" s="16" t="s">
        <v>291</v>
      </c>
      <c r="R35" s="16" t="s">
        <v>255</v>
      </c>
      <c r="S35" s="16" t="s">
        <v>255</v>
      </c>
      <c r="T35" s="16" t="s">
        <v>252</v>
      </c>
      <c r="U35" s="16" t="s">
        <v>311</v>
      </c>
    </row>
    <row r="36" spans="1:21" ht="19.95" customHeight="1" x14ac:dyDescent="0.3">
      <c r="A36" t="s">
        <v>100</v>
      </c>
      <c r="B36" s="14" t="s">
        <v>211</v>
      </c>
      <c r="C36" t="s">
        <v>21</v>
      </c>
      <c r="D36" t="s">
        <v>22</v>
      </c>
      <c r="E36" t="s">
        <v>130</v>
      </c>
      <c r="F36" s="16" t="s">
        <v>314</v>
      </c>
      <c r="G36" t="s">
        <v>178</v>
      </c>
      <c r="H36" t="s">
        <v>179</v>
      </c>
      <c r="I36" s="5">
        <v>140000</v>
      </c>
      <c r="J36" s="5">
        <f t="shared" si="0"/>
        <v>1333.3333333333333</v>
      </c>
      <c r="K36" t="s">
        <v>249</v>
      </c>
      <c r="L36" t="s">
        <v>253</v>
      </c>
      <c r="M36" t="s">
        <v>214</v>
      </c>
      <c r="N36" t="s">
        <v>255</v>
      </c>
      <c r="O36" s="15">
        <v>105</v>
      </c>
      <c r="P36" t="s">
        <v>284</v>
      </c>
      <c r="Q36" t="s">
        <v>295</v>
      </c>
      <c r="R36" t="s">
        <v>254</v>
      </c>
      <c r="S36" t="s">
        <v>255</v>
      </c>
    </row>
    <row r="37" spans="1:21" ht="19.95" customHeight="1" x14ac:dyDescent="0.3">
      <c r="A37" s="16" t="s">
        <v>101</v>
      </c>
      <c r="B37" s="12" t="s">
        <v>212</v>
      </c>
      <c r="C37" s="16" t="s">
        <v>18</v>
      </c>
      <c r="D37" s="16" t="s">
        <v>29</v>
      </c>
      <c r="E37" s="16"/>
      <c r="F37" s="16" t="s">
        <v>313</v>
      </c>
      <c r="G37" s="16" t="s">
        <v>180</v>
      </c>
      <c r="H37" s="16" t="s">
        <v>181</v>
      </c>
      <c r="I37" s="17">
        <v>175000</v>
      </c>
      <c r="J37" s="17">
        <f t="shared" si="0"/>
        <v>2916.6666666666665</v>
      </c>
      <c r="K37" s="16" t="s">
        <v>250</v>
      </c>
      <c r="L37" s="16" t="s">
        <v>254</v>
      </c>
      <c r="M37" s="16" t="s">
        <v>254</v>
      </c>
      <c r="N37" s="16" t="s">
        <v>252</v>
      </c>
      <c r="O37" s="1">
        <v>60</v>
      </c>
      <c r="P37" s="16" t="s">
        <v>285</v>
      </c>
      <c r="Q37" s="16" t="s">
        <v>303</v>
      </c>
      <c r="R37" s="16" t="s">
        <v>214</v>
      </c>
      <c r="S37" s="16" t="s">
        <v>214</v>
      </c>
      <c r="T37" s="16"/>
      <c r="U37" s="16"/>
    </row>
    <row r="38" spans="1:21" ht="19.95" customHeight="1" x14ac:dyDescent="0.3">
      <c r="A38" s="16" t="s">
        <v>102</v>
      </c>
      <c r="B38" s="12" t="s">
        <v>213</v>
      </c>
      <c r="C38" s="16" t="s">
        <v>19</v>
      </c>
      <c r="D38" s="16" t="s">
        <v>111</v>
      </c>
      <c r="E38" s="16" t="s">
        <v>131</v>
      </c>
      <c r="F38" s="16" t="s">
        <v>313</v>
      </c>
      <c r="G38" s="16" t="s">
        <v>182</v>
      </c>
      <c r="H38" s="16" t="s">
        <v>183</v>
      </c>
      <c r="I38" s="17">
        <v>87000</v>
      </c>
      <c r="J38" s="17">
        <f t="shared" si="0"/>
        <v>1500</v>
      </c>
      <c r="K38" s="16" t="s">
        <v>251</v>
      </c>
      <c r="L38" s="16" t="s">
        <v>254</v>
      </c>
      <c r="M38" s="16" t="s">
        <v>254</v>
      </c>
      <c r="N38" s="16" t="s">
        <v>252</v>
      </c>
      <c r="O38" s="1">
        <v>58</v>
      </c>
      <c r="P38" s="16" t="s">
        <v>286</v>
      </c>
      <c r="Q38" s="16" t="s">
        <v>293</v>
      </c>
      <c r="R38" s="16" t="s">
        <v>255</v>
      </c>
      <c r="S38" s="16" t="s">
        <v>252</v>
      </c>
      <c r="T38" s="16"/>
      <c r="U38" s="16"/>
    </row>
    <row r="39" spans="1:21" x14ac:dyDescent="0.3">
      <c r="B39" s="13"/>
    </row>
    <row r="40" spans="1:21" x14ac:dyDescent="0.3">
      <c r="B40" s="13"/>
    </row>
    <row r="41" spans="1:21" x14ac:dyDescent="0.3">
      <c r="B41" s="13"/>
    </row>
    <row r="42" spans="1:21" x14ac:dyDescent="0.3">
      <c r="B42" s="13"/>
    </row>
  </sheetData>
  <autoFilter ref="F1:F38" xr:uid="{12F29FD8-E34D-4D4D-B984-F810B5B20F2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Vassiliki Georgiou</dc:creator>
  <cp:lastModifiedBy>מיכאל כפיר</cp:lastModifiedBy>
  <dcterms:created xsi:type="dcterms:W3CDTF">2025-11-25T08:06:50Z</dcterms:created>
  <dcterms:modified xsi:type="dcterms:W3CDTF">2025-12-22T14:41:48Z</dcterms:modified>
</cp:coreProperties>
</file>