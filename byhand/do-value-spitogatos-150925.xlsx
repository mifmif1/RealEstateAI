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byhand\"/>
    </mc:Choice>
  </mc:AlternateContent>
  <xr:revisionPtr revIDLastSave="0" documentId="13_ncr:1_{60CE2B8B-FBAF-4F34-A8C4-A9ACD4738646}" xr6:coauthVersionLast="47" xr6:coauthVersionMax="47" xr10:uidLastSave="{00000000-0000-0000-0000-000000000000}"/>
  <bookViews>
    <workbookView xWindow="-108" yWindow="-108" windowWidth="23256" windowHeight="12576" activeTab="1" xr2:uid="{446C909F-826B-4E61-B054-3CA9CE051873}"/>
  </bookViews>
  <sheets>
    <sheet name="Sheet1" sheetId="1" r:id="rId1"/>
    <sheet name="dovalue" sheetId="2" r:id="rId2"/>
    <sheet name="cepal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  <c r="F15" i="2"/>
  <c r="L56" i="2"/>
  <c r="L55" i="2"/>
  <c r="L54" i="2"/>
  <c r="L53" i="2"/>
  <c r="L52" i="2"/>
  <c r="L51" i="2"/>
  <c r="L50" i="2"/>
  <c r="L49" i="2"/>
  <c r="L48" i="2"/>
  <c r="L47" i="2"/>
  <c r="N47" i="2" s="1"/>
  <c r="Z45" i="2"/>
  <c r="Z44" i="2"/>
  <c r="Z43" i="2"/>
  <c r="Z42" i="2"/>
  <c r="Z41" i="2"/>
  <c r="Z40" i="2"/>
  <c r="Z39" i="2"/>
  <c r="Z38" i="2"/>
  <c r="Z37" i="2"/>
  <c r="Z36" i="2"/>
  <c r="F13" i="2"/>
  <c r="Z34" i="2"/>
  <c r="Z33" i="2"/>
  <c r="Z32" i="2"/>
  <c r="Z31" i="2"/>
  <c r="Z30" i="2"/>
  <c r="Z29" i="2"/>
  <c r="Z28" i="2"/>
  <c r="Z27" i="2"/>
  <c r="Z26" i="2"/>
  <c r="Z25" i="2"/>
  <c r="F12" i="2"/>
  <c r="Z23" i="2"/>
  <c r="Z22" i="2"/>
  <c r="Z21" i="2"/>
  <c r="Z20" i="2"/>
  <c r="Z19" i="2"/>
  <c r="Z18" i="2"/>
  <c r="Z17" i="2"/>
  <c r="Z16" i="2"/>
  <c r="AB14" i="2" s="1"/>
  <c r="Z15" i="2"/>
  <c r="Z14" i="2"/>
  <c r="E15" i="2"/>
  <c r="E14" i="2"/>
  <c r="E13" i="2"/>
  <c r="F11" i="2"/>
  <c r="AB3" i="2"/>
  <c r="AA3" i="2"/>
  <c r="Z11" i="2"/>
  <c r="Z12" i="2"/>
  <c r="Z10" i="2"/>
  <c r="Z9" i="2"/>
  <c r="Z8" i="2"/>
  <c r="Z7" i="2"/>
  <c r="Z6" i="2"/>
  <c r="Z5" i="2"/>
  <c r="Z4" i="2"/>
  <c r="Z3" i="2"/>
  <c r="F10" i="2"/>
  <c r="S45" i="2"/>
  <c r="S44" i="2"/>
  <c r="S43" i="2"/>
  <c r="S42" i="2"/>
  <c r="S41" i="2"/>
  <c r="S40" i="2"/>
  <c r="S39" i="2"/>
  <c r="S38" i="2"/>
  <c r="S37" i="2"/>
  <c r="S36" i="2"/>
  <c r="L45" i="2"/>
  <c r="L44" i="2"/>
  <c r="L43" i="2"/>
  <c r="L42" i="2"/>
  <c r="L41" i="2"/>
  <c r="L40" i="2"/>
  <c r="L39" i="2"/>
  <c r="L38" i="2"/>
  <c r="L37" i="2"/>
  <c r="L36" i="2"/>
  <c r="F8" i="2"/>
  <c r="S34" i="2"/>
  <c r="S33" i="2"/>
  <c r="S32" i="2"/>
  <c r="S31" i="2"/>
  <c r="S30" i="2"/>
  <c r="S29" i="2"/>
  <c r="S28" i="2"/>
  <c r="S27" i="2"/>
  <c r="S26" i="2"/>
  <c r="S25" i="2"/>
  <c r="F7" i="2"/>
  <c r="S23" i="2"/>
  <c r="S22" i="2"/>
  <c r="S21" i="2"/>
  <c r="S20" i="2"/>
  <c r="S19" i="2"/>
  <c r="S18" i="2"/>
  <c r="S17" i="2"/>
  <c r="S16" i="2"/>
  <c r="S15" i="2"/>
  <c r="S14" i="2"/>
  <c r="U14" i="2" s="1"/>
  <c r="F6" i="2"/>
  <c r="S12" i="2"/>
  <c r="S11" i="2"/>
  <c r="S10" i="2"/>
  <c r="S9" i="2"/>
  <c r="S8" i="2"/>
  <c r="S7" i="2"/>
  <c r="S6" i="2"/>
  <c r="S5" i="2"/>
  <c r="S4" i="2"/>
  <c r="U3" i="2"/>
  <c r="T3" i="2"/>
  <c r="S3" i="2"/>
  <c r="F5" i="2"/>
  <c r="L34" i="2"/>
  <c r="L33" i="2"/>
  <c r="L32" i="2"/>
  <c r="L31" i="2"/>
  <c r="L30" i="2"/>
  <c r="L29" i="2"/>
  <c r="L28" i="2"/>
  <c r="L27" i="2"/>
  <c r="L26" i="2"/>
  <c r="N25" i="2"/>
  <c r="L25" i="2"/>
  <c r="M25" i="2" s="1"/>
  <c r="F4" i="2"/>
  <c r="L23" i="2"/>
  <c r="L22" i="2"/>
  <c r="L21" i="2"/>
  <c r="L20" i="2"/>
  <c r="L19" i="2"/>
  <c r="L18" i="2"/>
  <c r="L17" i="2"/>
  <c r="L16" i="2"/>
  <c r="L15" i="2"/>
  <c r="N14" i="2"/>
  <c r="M14" i="2"/>
  <c r="L14" i="2"/>
  <c r="L4" i="2"/>
  <c r="L5" i="2"/>
  <c r="L6" i="2"/>
  <c r="L7" i="2"/>
  <c r="L8" i="2"/>
  <c r="L9" i="2"/>
  <c r="L10" i="2"/>
  <c r="L11" i="2"/>
  <c r="L12" i="2"/>
  <c r="L3" i="2"/>
  <c r="M3" i="2" s="1"/>
  <c r="E12" i="2"/>
  <c r="E11" i="2"/>
  <c r="E10" i="2"/>
  <c r="E9" i="2"/>
  <c r="E8" i="2"/>
  <c r="E7" i="2"/>
  <c r="E6" i="2"/>
  <c r="E5" i="2"/>
  <c r="E4" i="2"/>
  <c r="E3" i="2"/>
  <c r="E2" i="2"/>
  <c r="N3" i="2"/>
  <c r="M47" i="2" l="1"/>
  <c r="AB36" i="2"/>
  <c r="AA36" i="2"/>
  <c r="AA25" i="2"/>
  <c r="AB25" i="2"/>
  <c r="AA14" i="2"/>
  <c r="U36" i="2"/>
  <c r="T36" i="2"/>
  <c r="N36" i="2"/>
  <c r="M36" i="2"/>
  <c r="F9" i="2" s="1"/>
  <c r="U25" i="2"/>
  <c r="T25" i="2"/>
  <c r="T14" i="2"/>
  <c r="F3" i="2"/>
</calcChain>
</file>

<file path=xl/sharedStrings.xml><?xml version="1.0" encoding="utf-8"?>
<sst xmlns="http://schemas.openxmlformats.org/spreadsheetml/2006/main" count="81" uniqueCount="63">
  <si>
    <t>base link</t>
  </si>
  <si>
    <t>https://www.eauction.gr/en/Home/HlektronikoiPleistiriasmoi?conductFrom=08/10/2025&amp;sortAsc=true&amp;sortId=1&amp;conductedSubTypeId=1&amp;page=1&amp;type=1&amp;subType=5&amp;extendedFilter1=1,1,2&amp;extendedFilter2=1,2,40</t>
  </si>
  <si>
    <t>id</t>
  </si>
  <si>
    <t>LBQP7JEvwT-002</t>
  </si>
  <si>
    <t>price(thd)</t>
  </si>
  <si>
    <t>auction date</t>
  </si>
  <si>
    <t>sqm</t>
  </si>
  <si>
    <t>location</t>
  </si>
  <si>
    <t>Kononos 39</t>
  </si>
  <si>
    <t>notes</t>
  </si>
  <si>
    <t>verify address</t>
  </si>
  <si>
    <t>EWQrvvIyYx</t>
  </si>
  <si>
    <t>r7UhvjgSRy</t>
  </si>
  <si>
    <t>oLwOnc0jSI</t>
  </si>
  <si>
    <t>lckK8Q3AVD</t>
  </si>
  <si>
    <t>dyZv3KRrCM</t>
  </si>
  <si>
    <t>yvubFdheWO</t>
  </si>
  <si>
    <t>jPvhJgQDq6</t>
  </si>
  <si>
    <t>oTsu7EE6YP</t>
  </si>
  <si>
    <t>TxSCwuKwTG</t>
  </si>
  <si>
    <t>66s1QKNUfu-001</t>
  </si>
  <si>
    <t>66s1QKNUfu-002</t>
  </si>
  <si>
    <t>Sgqj47xuEc</t>
  </si>
  <si>
    <t>jtOX6GTXwm</t>
  </si>
  <si>
    <t>X0nG1YLUFv</t>
  </si>
  <si>
    <t>DnAkvDLITJ-001</t>
  </si>
  <si>
    <t>E2E1G2XfYD</t>
  </si>
  <si>
    <t>07vQgyAV2p-001</t>
  </si>
  <si>
    <t>07vQgyAV2p-002</t>
  </si>
  <si>
    <t>1jsDYSmgjc</t>
  </si>
  <si>
    <t>LaxMfYH6Xn</t>
  </si>
  <si>
    <t>50KZr7IY1k-001</t>
  </si>
  <si>
    <t>901VVuOG86</t>
  </si>
  <si>
    <t>QYgMGEiO67</t>
  </si>
  <si>
    <t>9DkoxhU3uf</t>
  </si>
  <si>
    <t>kalatzi 19</t>
  </si>
  <si>
    <t>Ippolitou 12</t>
  </si>
  <si>
    <t>total area 242</t>
  </si>
  <si>
    <t>alfeiou 1</t>
  </si>
  <si>
    <t>small</t>
  </si>
  <si>
    <t>re</t>
  </si>
  <si>
    <t>https://www.reinvest.gr/en/properties/1417412</t>
  </si>
  <si>
    <t>29 Marinou Antipa and Souri</t>
  </si>
  <si>
    <t>price</t>
  </si>
  <si>
    <t>address</t>
  </si>
  <si>
    <t>15 Aigiou and Salonon streets</t>
  </si>
  <si>
    <t>price/sqm</t>
  </si>
  <si>
    <t>(x-m)/s</t>
  </si>
  <si>
    <t>mean</t>
  </si>
  <si>
    <t>std</t>
  </si>
  <si>
    <t>key</t>
  </si>
  <si>
    <t>34 Aghias Paraskevis street</t>
  </si>
  <si>
    <t>114 Agios Meletiou Street</t>
  </si>
  <si>
    <t>1 Almyrou street</t>
  </si>
  <si>
    <t>33 Kapetan Hrona street</t>
  </si>
  <si>
    <t>184 Alkamenous and 35 Agriniou streets</t>
  </si>
  <si>
    <t>131 Asklipiou and 2 Komninon streets</t>
  </si>
  <si>
    <t>1 Anaxarchou Street</t>
  </si>
  <si>
    <t>41 Amorgou street</t>
  </si>
  <si>
    <t>24 Alopkis Street</t>
  </si>
  <si>
    <t>18 Athanasias &amp; 17-19 Aristoxenous str</t>
  </si>
  <si>
    <t>90 Oropou Street</t>
  </si>
  <si>
    <t>90 Orfanidou streets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</si>
</sst>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25D3-5ED9-414D-9705-94972FAAA171}">
  <dimension ref="A1:H26"/>
  <sheetViews>
    <sheetView workbookViewId="0">
      <selection activeCell="H20" sqref="H20"/>
    </sheetView>
  </sheetViews>
  <sheetFormatPr defaultRowHeight="14.4" x14ac:dyDescent="0.3"/>
  <cols>
    <col min="1" max="1" width="8.88671875" style="6"/>
    <col min="2" max="2" width="8.88671875" style="1"/>
    <col min="3" max="3" width="11.21875" style="3" bestFit="1" customWidth="1"/>
    <col min="4" max="4" width="8.88671875" style="1"/>
    <col min="5" max="5" width="9.5546875" style="4" bestFit="1" customWidth="1"/>
    <col min="6" max="6" width="8.88671875" style="4"/>
  </cols>
  <sheetData>
    <row r="1" spans="1:8" x14ac:dyDescent="0.3">
      <c r="A1" s="6" t="s">
        <v>0</v>
      </c>
      <c r="B1" s="1" t="s">
        <v>2</v>
      </c>
      <c r="C1" s="3" t="s">
        <v>5</v>
      </c>
      <c r="D1" s="1" t="s">
        <v>7</v>
      </c>
      <c r="E1" s="4" t="s">
        <v>6</v>
      </c>
      <c r="F1" s="4" t="s">
        <v>4</v>
      </c>
      <c r="H1" t="s">
        <v>9</v>
      </c>
    </row>
    <row r="2" spans="1:8" ht="20.399999999999999" x14ac:dyDescent="0.3">
      <c r="A2" s="6">
        <v>1</v>
      </c>
      <c r="B2" s="2" t="s">
        <v>3</v>
      </c>
      <c r="C2" s="3">
        <v>45879</v>
      </c>
      <c r="D2" s="1" t="s">
        <v>8</v>
      </c>
      <c r="E2" s="4">
        <v>72</v>
      </c>
      <c r="F2" s="4">
        <v>158</v>
      </c>
      <c r="H2" t="s">
        <v>10</v>
      </c>
    </row>
    <row r="3" spans="1:8" x14ac:dyDescent="0.3">
      <c r="A3" s="6">
        <v>2</v>
      </c>
      <c r="B3" s="5" t="s">
        <v>11</v>
      </c>
      <c r="C3" s="3">
        <v>45879</v>
      </c>
      <c r="F3" s="4">
        <v>47.25</v>
      </c>
      <c r="H3" s="1" t="s">
        <v>1</v>
      </c>
    </row>
    <row r="4" spans="1:8" x14ac:dyDescent="0.3">
      <c r="A4" s="6">
        <v>3</v>
      </c>
      <c r="B4" s="5" t="s">
        <v>12</v>
      </c>
      <c r="C4" s="3">
        <v>45879</v>
      </c>
      <c r="D4" s="1" t="s">
        <v>35</v>
      </c>
      <c r="E4" s="4">
        <v>72</v>
      </c>
      <c r="F4" s="4">
        <v>17</v>
      </c>
      <c r="H4" t="s">
        <v>37</v>
      </c>
    </row>
    <row r="5" spans="1:8" x14ac:dyDescent="0.3">
      <c r="A5" s="6">
        <v>4</v>
      </c>
      <c r="B5" s="5" t="s">
        <v>13</v>
      </c>
      <c r="C5" s="3">
        <v>45879</v>
      </c>
      <c r="F5" s="4">
        <v>62.4</v>
      </c>
    </row>
    <row r="6" spans="1:8" x14ac:dyDescent="0.3">
      <c r="A6" s="6">
        <v>5</v>
      </c>
      <c r="B6" s="5" t="s">
        <v>14</v>
      </c>
      <c r="C6" s="3">
        <v>45879</v>
      </c>
      <c r="D6" s="1" t="s">
        <v>36</v>
      </c>
      <c r="E6" s="4">
        <v>88</v>
      </c>
      <c r="F6" s="4">
        <v>127</v>
      </c>
    </row>
    <row r="7" spans="1:8" x14ac:dyDescent="0.3">
      <c r="A7" s="6">
        <v>6</v>
      </c>
      <c r="B7" s="5" t="s">
        <v>15</v>
      </c>
      <c r="C7" s="3">
        <v>45879</v>
      </c>
      <c r="F7" s="4">
        <v>81</v>
      </c>
    </row>
    <row r="8" spans="1:8" x14ac:dyDescent="0.3">
      <c r="A8" s="6">
        <v>7</v>
      </c>
      <c r="B8" s="5" t="s">
        <v>16</v>
      </c>
      <c r="C8" s="3">
        <v>45879</v>
      </c>
      <c r="F8" s="4">
        <v>79.099999999999994</v>
      </c>
    </row>
    <row r="9" spans="1:8" x14ac:dyDescent="0.3">
      <c r="A9" s="6">
        <v>8</v>
      </c>
      <c r="B9" s="5" t="s">
        <v>17</v>
      </c>
      <c r="C9" s="3">
        <v>45879</v>
      </c>
      <c r="D9" s="1" t="s">
        <v>38</v>
      </c>
      <c r="E9" s="4">
        <v>163</v>
      </c>
      <c r="F9" s="4">
        <v>122.68899999999999</v>
      </c>
    </row>
    <row r="10" spans="1:8" x14ac:dyDescent="0.3">
      <c r="A10" s="6">
        <v>9</v>
      </c>
      <c r="B10" s="5" t="s">
        <v>18</v>
      </c>
      <c r="C10" s="3">
        <v>45879</v>
      </c>
      <c r="E10" s="4">
        <v>101</v>
      </c>
      <c r="F10" s="4">
        <v>147</v>
      </c>
    </row>
    <row r="11" spans="1:8" x14ac:dyDescent="0.3">
      <c r="A11" s="6">
        <v>10</v>
      </c>
      <c r="B11" s="5" t="s">
        <v>19</v>
      </c>
      <c r="C11" s="3">
        <v>45879</v>
      </c>
      <c r="F11" s="4">
        <v>32</v>
      </c>
      <c r="H11" t="s">
        <v>39</v>
      </c>
    </row>
    <row r="12" spans="1:8" x14ac:dyDescent="0.3">
      <c r="A12" s="6">
        <v>11</v>
      </c>
      <c r="B12" s="5" t="s">
        <v>20</v>
      </c>
      <c r="C12" s="3">
        <v>45879</v>
      </c>
      <c r="F12" s="4">
        <v>84</v>
      </c>
    </row>
    <row r="13" spans="1:8" x14ac:dyDescent="0.3">
      <c r="A13" s="6">
        <v>12</v>
      </c>
      <c r="B13" s="5" t="s">
        <v>21</v>
      </c>
      <c r="C13" s="3">
        <v>45879</v>
      </c>
      <c r="F13" s="4">
        <v>84</v>
      </c>
    </row>
    <row r="14" spans="1:8" x14ac:dyDescent="0.3">
      <c r="A14" s="6">
        <v>13</v>
      </c>
      <c r="B14" s="5" t="s">
        <v>22</v>
      </c>
      <c r="C14" s="3">
        <v>45879</v>
      </c>
      <c r="F14" s="4">
        <v>64</v>
      </c>
    </row>
    <row r="15" spans="1:8" x14ac:dyDescent="0.3">
      <c r="A15" s="6">
        <v>14</v>
      </c>
      <c r="B15" s="5" t="s">
        <v>23</v>
      </c>
      <c r="C15" s="3">
        <v>45879</v>
      </c>
      <c r="F15" s="4">
        <v>51</v>
      </c>
    </row>
    <row r="16" spans="1:8" x14ac:dyDescent="0.3">
      <c r="A16" s="6">
        <v>15</v>
      </c>
      <c r="B16" s="5" t="s">
        <v>24</v>
      </c>
      <c r="C16" s="3">
        <v>45879</v>
      </c>
      <c r="F16" s="4">
        <v>40</v>
      </c>
    </row>
    <row r="17" spans="1:8" x14ac:dyDescent="0.3">
      <c r="A17" s="6">
        <v>16</v>
      </c>
      <c r="B17" s="5" t="s">
        <v>25</v>
      </c>
      <c r="C17" s="3">
        <v>45879</v>
      </c>
      <c r="F17" s="4">
        <v>72</v>
      </c>
    </row>
    <row r="18" spans="1:8" x14ac:dyDescent="0.3">
      <c r="A18" s="6">
        <v>17</v>
      </c>
      <c r="B18" s="5" t="s">
        <v>26</v>
      </c>
      <c r="C18" s="3">
        <v>45879</v>
      </c>
      <c r="F18" s="4">
        <v>12.42</v>
      </c>
      <c r="H18" t="s">
        <v>39</v>
      </c>
    </row>
    <row r="19" spans="1:8" x14ac:dyDescent="0.3">
      <c r="A19" s="6">
        <v>18</v>
      </c>
      <c r="B19" s="5" t="s">
        <v>27</v>
      </c>
      <c r="C19" s="3">
        <v>45879</v>
      </c>
      <c r="F19" s="4">
        <v>40</v>
      </c>
    </row>
    <row r="20" spans="1:8" x14ac:dyDescent="0.3">
      <c r="A20" s="6">
        <v>19</v>
      </c>
      <c r="B20" s="5" t="s">
        <v>28</v>
      </c>
      <c r="C20" s="3">
        <v>45879</v>
      </c>
      <c r="F20" s="4">
        <v>40</v>
      </c>
    </row>
    <row r="21" spans="1:8" x14ac:dyDescent="0.3">
      <c r="A21" s="6">
        <v>20</v>
      </c>
      <c r="B21" s="5" t="s">
        <v>29</v>
      </c>
      <c r="C21" s="3">
        <v>45879</v>
      </c>
      <c r="F21" s="4">
        <v>156</v>
      </c>
    </row>
    <row r="22" spans="1:8" x14ac:dyDescent="0.3">
      <c r="A22" s="6">
        <v>21</v>
      </c>
      <c r="B22" s="5" t="s">
        <v>30</v>
      </c>
      <c r="C22" s="3">
        <v>45879</v>
      </c>
      <c r="F22" s="4">
        <v>114.51300000000001</v>
      </c>
    </row>
    <row r="23" spans="1:8" x14ac:dyDescent="0.3">
      <c r="A23" s="6">
        <v>22</v>
      </c>
      <c r="B23" s="5" t="s">
        <v>31</v>
      </c>
      <c r="C23" s="3">
        <v>45879</v>
      </c>
      <c r="F23" s="4">
        <v>169.464</v>
      </c>
    </row>
    <row r="24" spans="1:8" x14ac:dyDescent="0.3">
      <c r="A24" s="6">
        <v>23</v>
      </c>
      <c r="B24" s="5" t="s">
        <v>32</v>
      </c>
      <c r="C24" s="3">
        <v>45879</v>
      </c>
      <c r="F24" s="4">
        <v>84</v>
      </c>
    </row>
    <row r="25" spans="1:8" x14ac:dyDescent="0.3">
      <c r="A25" s="6">
        <v>24</v>
      </c>
      <c r="B25" s="5" t="s">
        <v>33</v>
      </c>
      <c r="C25" s="3">
        <v>45879</v>
      </c>
      <c r="F25" s="4">
        <v>107.89700000000001</v>
      </c>
    </row>
    <row r="26" spans="1:8" x14ac:dyDescent="0.3">
      <c r="A26" s="6">
        <v>25</v>
      </c>
      <c r="B26" s="5" t="s">
        <v>34</v>
      </c>
      <c r="C26" s="3">
        <v>45879</v>
      </c>
      <c r="F26" s="4">
        <v>127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0B15-71C2-4B55-AD8F-55DBD9AE669B}">
  <dimension ref="A1:AB56"/>
  <sheetViews>
    <sheetView tabSelected="1" workbookViewId="0">
      <selection activeCell="K11" sqref="K11"/>
    </sheetView>
  </sheetViews>
  <sheetFormatPr defaultRowHeight="14.4" x14ac:dyDescent="0.3"/>
  <sheetData>
    <row r="1" spans="1:28" x14ac:dyDescent="0.3">
      <c r="A1" t="s">
        <v>2</v>
      </c>
      <c r="B1" t="s">
        <v>6</v>
      </c>
      <c r="C1" t="s">
        <v>44</v>
      </c>
      <c r="D1" t="s">
        <v>43</v>
      </c>
      <c r="E1" t="s">
        <v>46</v>
      </c>
      <c r="F1" t="s">
        <v>47</v>
      </c>
    </row>
    <row r="2" spans="1:28" x14ac:dyDescent="0.3">
      <c r="A2">
        <v>17972</v>
      </c>
      <c r="B2">
        <v>161</v>
      </c>
      <c r="C2" t="s">
        <v>42</v>
      </c>
      <c r="D2">
        <v>246</v>
      </c>
      <c r="E2">
        <f>D2/B2</f>
        <v>1.5279503105590062</v>
      </c>
      <c r="F2">
        <v>0</v>
      </c>
      <c r="I2" t="s">
        <v>50</v>
      </c>
      <c r="J2" t="s">
        <v>43</v>
      </c>
      <c r="K2" t="s">
        <v>6</v>
      </c>
      <c r="L2" t="s">
        <v>46</v>
      </c>
      <c r="M2" t="s">
        <v>48</v>
      </c>
      <c r="N2" t="s">
        <v>49</v>
      </c>
      <c r="P2" t="s">
        <v>50</v>
      </c>
      <c r="Q2" t="s">
        <v>43</v>
      </c>
      <c r="R2" t="s">
        <v>6</v>
      </c>
      <c r="S2" t="s">
        <v>46</v>
      </c>
      <c r="T2" t="s">
        <v>48</v>
      </c>
      <c r="U2" t="s">
        <v>49</v>
      </c>
      <c r="W2" t="s">
        <v>50</v>
      </c>
      <c r="X2" t="s">
        <v>43</v>
      </c>
      <c r="Y2" t="s">
        <v>6</v>
      </c>
      <c r="Z2" t="s">
        <v>46</v>
      </c>
      <c r="AA2" t="s">
        <v>48</v>
      </c>
      <c r="AB2" t="s">
        <v>49</v>
      </c>
    </row>
    <row r="3" spans="1:28" x14ac:dyDescent="0.3">
      <c r="A3">
        <v>17583</v>
      </c>
      <c r="B3">
        <v>111</v>
      </c>
      <c r="C3" t="s">
        <v>45</v>
      </c>
      <c r="D3">
        <v>264</v>
      </c>
      <c r="E3">
        <f t="shared" ref="E3:E15" si="0">D3/B3</f>
        <v>2.3783783783783785</v>
      </c>
      <c r="F3">
        <f>(E3-M3)/N3</f>
        <v>-0.44041885128049418</v>
      </c>
      <c r="I3">
        <v>17583</v>
      </c>
      <c r="J3">
        <v>240</v>
      </c>
      <c r="K3">
        <v>104</v>
      </c>
      <c r="L3">
        <f>J3/K3</f>
        <v>2.3076923076923075</v>
      </c>
      <c r="M3">
        <f>AVERAGE(L3:L12)</f>
        <v>2.5377419043595517</v>
      </c>
      <c r="N3">
        <f>_xlfn.STDEV.P(L3:L12)</f>
        <v>0.36184537859320121</v>
      </c>
      <c r="P3">
        <v>15670</v>
      </c>
      <c r="Q3">
        <v>120</v>
      </c>
      <c r="R3">
        <v>80</v>
      </c>
      <c r="S3">
        <f>Q3/R3</f>
        <v>1.5</v>
      </c>
      <c r="T3">
        <f>AVERAGE(S3:S12)</f>
        <v>2.2046584356887595</v>
      </c>
      <c r="U3">
        <f>_xlfn.STDEV.P(S3:S12)</f>
        <v>0.83286966729335143</v>
      </c>
      <c r="W3">
        <v>16267</v>
      </c>
      <c r="X3">
        <v>138</v>
      </c>
      <c r="Y3">
        <v>70</v>
      </c>
      <c r="Z3">
        <f>X3/Y3</f>
        <v>1.9714285714285715</v>
      </c>
      <c r="AA3">
        <f>AVERAGE(Z3:Z12)</f>
        <v>2.344837858220211</v>
      </c>
      <c r="AB3">
        <f>_xlfn.STDEV.P(Z3:Z12)</f>
        <v>0.67239063178937686</v>
      </c>
    </row>
    <row r="4" spans="1:28" x14ac:dyDescent="0.3">
      <c r="A4">
        <v>17582</v>
      </c>
      <c r="B4">
        <v>83</v>
      </c>
      <c r="C4" t="s">
        <v>51</v>
      </c>
      <c r="D4">
        <v>139</v>
      </c>
      <c r="E4">
        <f t="shared" si="0"/>
        <v>1.6746987951807228</v>
      </c>
      <c r="F4">
        <f>(E4-M14)/N14</f>
        <v>0.2818790961997899</v>
      </c>
      <c r="I4">
        <v>17583</v>
      </c>
      <c r="J4">
        <v>310</v>
      </c>
      <c r="K4">
        <v>112</v>
      </c>
      <c r="L4">
        <f t="shared" ref="L4:L12" si="1">J4/K4</f>
        <v>2.7678571428571428</v>
      </c>
      <c r="P4">
        <v>15670</v>
      </c>
      <c r="Q4">
        <v>135</v>
      </c>
      <c r="R4">
        <v>60</v>
      </c>
      <c r="S4">
        <f t="shared" ref="S4:S12" si="2">Q4/R4</f>
        <v>2.25</v>
      </c>
      <c r="W4">
        <v>16267</v>
      </c>
      <c r="X4">
        <v>230</v>
      </c>
      <c r="Y4">
        <v>75</v>
      </c>
      <c r="Z4">
        <f t="shared" ref="Z4:Z12" si="3">X4/Y4</f>
        <v>3.0666666666666669</v>
      </c>
    </row>
    <row r="5" spans="1:28" x14ac:dyDescent="0.3">
      <c r="A5">
        <v>15836</v>
      </c>
      <c r="B5">
        <v>101</v>
      </c>
      <c r="C5" t="s">
        <v>52</v>
      </c>
      <c r="D5">
        <v>113</v>
      </c>
      <c r="E5">
        <f t="shared" si="0"/>
        <v>1.1188118811881189</v>
      </c>
      <c r="F5">
        <f>(E5-M25)/N25</f>
        <v>-1.715321610017023</v>
      </c>
      <c r="I5">
        <v>17583</v>
      </c>
      <c r="J5">
        <v>335</v>
      </c>
      <c r="K5">
        <v>102</v>
      </c>
      <c r="L5">
        <f t="shared" si="1"/>
        <v>3.284313725490196</v>
      </c>
      <c r="P5">
        <v>15670</v>
      </c>
      <c r="Q5">
        <v>145</v>
      </c>
      <c r="R5">
        <v>75</v>
      </c>
      <c r="S5">
        <f t="shared" si="2"/>
        <v>1.9333333333333333</v>
      </c>
      <c r="W5">
        <v>16267</v>
      </c>
      <c r="X5">
        <v>95</v>
      </c>
      <c r="Y5">
        <v>60</v>
      </c>
      <c r="Z5">
        <f t="shared" si="3"/>
        <v>1.5833333333333333</v>
      </c>
    </row>
    <row r="6" spans="1:28" x14ac:dyDescent="0.3">
      <c r="A6">
        <v>15670</v>
      </c>
      <c r="B6">
        <v>71</v>
      </c>
      <c r="C6" t="s">
        <v>53</v>
      </c>
      <c r="D6">
        <v>135</v>
      </c>
      <c r="E6">
        <f t="shared" si="0"/>
        <v>1.9014084507042253</v>
      </c>
      <c r="F6">
        <f>(E6-T3)/U3</f>
        <v>-0.36410256837667287</v>
      </c>
      <c r="I6">
        <v>17583</v>
      </c>
      <c r="J6">
        <v>290</v>
      </c>
      <c r="K6">
        <v>110</v>
      </c>
      <c r="L6">
        <f t="shared" si="1"/>
        <v>2.6363636363636362</v>
      </c>
      <c r="P6">
        <v>15670</v>
      </c>
      <c r="Q6">
        <v>180</v>
      </c>
      <c r="R6">
        <v>70</v>
      </c>
      <c r="S6">
        <f t="shared" si="2"/>
        <v>2.5714285714285716</v>
      </c>
      <c r="W6">
        <v>16267</v>
      </c>
      <c r="X6">
        <v>138</v>
      </c>
      <c r="Y6">
        <v>72</v>
      </c>
      <c r="Z6">
        <f t="shared" si="3"/>
        <v>1.9166666666666667</v>
      </c>
    </row>
    <row r="7" spans="1:28" x14ac:dyDescent="0.3">
      <c r="A7">
        <v>15386</v>
      </c>
      <c r="B7">
        <v>95</v>
      </c>
      <c r="C7" t="s">
        <v>54</v>
      </c>
      <c r="D7">
        <v>330</v>
      </c>
      <c r="E7">
        <f t="shared" si="0"/>
        <v>3.4736842105263159</v>
      </c>
      <c r="F7">
        <f>(E7-T14)/U14</f>
        <v>0.29777295453305785</v>
      </c>
      <c r="I7">
        <v>17583</v>
      </c>
      <c r="J7">
        <v>225</v>
      </c>
      <c r="K7">
        <v>100</v>
      </c>
      <c r="L7">
        <f t="shared" si="1"/>
        <v>2.25</v>
      </c>
      <c r="P7">
        <v>15670</v>
      </c>
      <c r="Q7">
        <v>135</v>
      </c>
      <c r="R7">
        <v>71</v>
      </c>
      <c r="S7">
        <f t="shared" si="2"/>
        <v>1.9014084507042253</v>
      </c>
      <c r="W7">
        <v>16267</v>
      </c>
      <c r="X7">
        <v>135</v>
      </c>
      <c r="Y7">
        <v>72</v>
      </c>
      <c r="Z7">
        <f t="shared" si="3"/>
        <v>1.875</v>
      </c>
    </row>
    <row r="8" spans="1:28" x14ac:dyDescent="0.3">
      <c r="A8">
        <v>14612</v>
      </c>
      <c r="B8">
        <v>71</v>
      </c>
      <c r="C8" t="s">
        <v>55</v>
      </c>
      <c r="D8">
        <v>75</v>
      </c>
      <c r="E8">
        <f t="shared" si="0"/>
        <v>1.056338028169014</v>
      </c>
      <c r="F8">
        <f>(E8-T25)/U25</f>
        <v>-1.2186466541534358</v>
      </c>
      <c r="I8">
        <v>17583</v>
      </c>
      <c r="J8">
        <v>264</v>
      </c>
      <c r="K8">
        <v>111</v>
      </c>
      <c r="L8">
        <f t="shared" si="1"/>
        <v>2.3783783783783785</v>
      </c>
      <c r="P8">
        <v>15670</v>
      </c>
      <c r="Q8">
        <v>130</v>
      </c>
      <c r="R8">
        <v>60</v>
      </c>
      <c r="S8">
        <f t="shared" si="2"/>
        <v>2.1666666666666665</v>
      </c>
      <c r="W8">
        <v>16267</v>
      </c>
      <c r="X8">
        <v>220</v>
      </c>
      <c r="Y8">
        <v>70</v>
      </c>
      <c r="Z8">
        <f t="shared" si="3"/>
        <v>3.1428571428571428</v>
      </c>
    </row>
    <row r="9" spans="1:28" x14ac:dyDescent="0.3">
      <c r="A9">
        <v>12840</v>
      </c>
      <c r="B9">
        <v>56</v>
      </c>
      <c r="C9" t="s">
        <v>56</v>
      </c>
      <c r="D9">
        <v>140</v>
      </c>
      <c r="E9">
        <f t="shared" si="0"/>
        <v>2.5</v>
      </c>
      <c r="F9">
        <f>(E9-M36)/N36</f>
        <v>-0.62059587986492959</v>
      </c>
      <c r="I9">
        <v>17583</v>
      </c>
      <c r="J9">
        <v>290</v>
      </c>
      <c r="K9">
        <v>110</v>
      </c>
      <c r="L9">
        <f t="shared" si="1"/>
        <v>2.6363636363636362</v>
      </c>
      <c r="P9">
        <v>15670</v>
      </c>
      <c r="Q9">
        <v>200</v>
      </c>
      <c r="R9">
        <v>70</v>
      </c>
      <c r="S9">
        <f t="shared" si="2"/>
        <v>2.8571428571428572</v>
      </c>
      <c r="W9">
        <v>16267</v>
      </c>
      <c r="X9">
        <v>240</v>
      </c>
      <c r="Y9">
        <v>70</v>
      </c>
      <c r="Z9">
        <f t="shared" si="3"/>
        <v>3.4285714285714284</v>
      </c>
    </row>
    <row r="10" spans="1:28" x14ac:dyDescent="0.3">
      <c r="A10">
        <v>11973</v>
      </c>
      <c r="B10">
        <v>88</v>
      </c>
      <c r="C10" t="s">
        <v>57</v>
      </c>
      <c r="D10">
        <v>115</v>
      </c>
      <c r="E10">
        <f t="shared" si="0"/>
        <v>1.3068181818181819</v>
      </c>
      <c r="F10">
        <f>(E10-S36)/T36</f>
        <v>-0.5269345372823816</v>
      </c>
      <c r="I10">
        <v>17583</v>
      </c>
      <c r="J10">
        <v>250</v>
      </c>
      <c r="K10">
        <v>100</v>
      </c>
      <c r="L10">
        <f t="shared" si="1"/>
        <v>2.5</v>
      </c>
      <c r="P10">
        <v>15670</v>
      </c>
      <c r="Q10">
        <v>140</v>
      </c>
      <c r="R10">
        <v>80</v>
      </c>
      <c r="S10">
        <f t="shared" si="2"/>
        <v>1.75</v>
      </c>
      <c r="W10">
        <v>16267</v>
      </c>
      <c r="X10">
        <v>115</v>
      </c>
      <c r="Y10">
        <v>78</v>
      </c>
      <c r="Z10">
        <f t="shared" si="3"/>
        <v>1.4743589743589745</v>
      </c>
    </row>
    <row r="11" spans="1:28" x14ac:dyDescent="0.3">
      <c r="A11">
        <v>16267</v>
      </c>
      <c r="B11">
        <v>68</v>
      </c>
      <c r="C11" t="s">
        <v>58</v>
      </c>
      <c r="D11">
        <v>95</v>
      </c>
      <c r="E11">
        <f t="shared" si="0"/>
        <v>1.3970588235294117</v>
      </c>
      <c r="F11">
        <f>(E11-AA3)/AB3</f>
        <v>-1.4095660913189023</v>
      </c>
      <c r="I11">
        <v>17583</v>
      </c>
      <c r="J11">
        <v>290</v>
      </c>
      <c r="K11">
        <v>105</v>
      </c>
      <c r="L11">
        <f t="shared" si="1"/>
        <v>2.7619047619047619</v>
      </c>
      <c r="P11">
        <v>15670</v>
      </c>
      <c r="Q11">
        <v>280</v>
      </c>
      <c r="R11">
        <v>67</v>
      </c>
      <c r="S11">
        <f t="shared" si="2"/>
        <v>4.1791044776119399</v>
      </c>
      <c r="W11">
        <v>16267</v>
      </c>
      <c r="X11">
        <v>200</v>
      </c>
      <c r="Y11">
        <v>70</v>
      </c>
      <c r="Z11">
        <f>X11/Y11</f>
        <v>2.8571428571428572</v>
      </c>
    </row>
    <row r="12" spans="1:28" x14ac:dyDescent="0.3">
      <c r="A12">
        <v>6609</v>
      </c>
      <c r="B12">
        <v>79</v>
      </c>
      <c r="C12" t="s">
        <v>59</v>
      </c>
      <c r="D12">
        <v>421</v>
      </c>
      <c r="E12">
        <f t="shared" si="0"/>
        <v>5.3291139240506329</v>
      </c>
      <c r="F12">
        <f>(E12-AA14)/AB14</f>
        <v>-0.13838656561067075</v>
      </c>
      <c r="I12">
        <v>17583</v>
      </c>
      <c r="J12">
        <v>204</v>
      </c>
      <c r="K12">
        <v>110</v>
      </c>
      <c r="L12">
        <f t="shared" si="1"/>
        <v>1.8545454545454545</v>
      </c>
      <c r="P12">
        <v>15670</v>
      </c>
      <c r="Q12">
        <v>75</v>
      </c>
      <c r="R12">
        <v>80</v>
      </c>
      <c r="S12">
        <f t="shared" si="2"/>
        <v>0.9375</v>
      </c>
      <c r="W12">
        <v>16267</v>
      </c>
      <c r="X12">
        <v>145</v>
      </c>
      <c r="Y12">
        <v>68</v>
      </c>
      <c r="Z12">
        <f t="shared" si="3"/>
        <v>2.1323529411764706</v>
      </c>
    </row>
    <row r="13" spans="1:28" x14ac:dyDescent="0.3">
      <c r="A13">
        <v>17877</v>
      </c>
      <c r="B13">
        <v>48</v>
      </c>
      <c r="C13" t="s">
        <v>60</v>
      </c>
      <c r="D13">
        <v>73</v>
      </c>
      <c r="E13">
        <f t="shared" si="0"/>
        <v>1.5208333333333333</v>
      </c>
      <c r="F13">
        <f>(E13-AA25)/AB25</f>
        <v>-1.6650383730104907</v>
      </c>
    </row>
    <row r="14" spans="1:28" x14ac:dyDescent="0.3">
      <c r="A14">
        <v>4411</v>
      </c>
      <c r="B14">
        <v>134</v>
      </c>
      <c r="C14" t="s">
        <v>61</v>
      </c>
      <c r="D14">
        <v>206</v>
      </c>
      <c r="E14">
        <f t="shared" si="0"/>
        <v>1.5373134328358209</v>
      </c>
      <c r="F14">
        <f>(E14-AA36)/AB36</f>
        <v>-0.80834099693733841</v>
      </c>
      <c r="I14">
        <v>17582</v>
      </c>
      <c r="J14">
        <v>220</v>
      </c>
      <c r="K14">
        <v>103</v>
      </c>
      <c r="L14">
        <f>J14/K14</f>
        <v>2.1359223300970873</v>
      </c>
      <c r="M14">
        <f>AVERAGE(L14:L23)</f>
        <v>1.5644996363108183</v>
      </c>
      <c r="N14">
        <f>_xlfn.STDEV.P(L14:L23)</f>
        <v>0.39094477155481472</v>
      </c>
      <c r="P14">
        <v>15386</v>
      </c>
      <c r="Q14">
        <v>498</v>
      </c>
      <c r="R14">
        <v>94</v>
      </c>
      <c r="S14">
        <f>Q14/R14</f>
        <v>5.2978723404255321</v>
      </c>
      <c r="T14">
        <f>AVERAGE(S14:S23)</f>
        <v>3.2149181903152226</v>
      </c>
      <c r="U14">
        <f>_xlfn.STDEV.P(S14:S23)</f>
        <v>0.86900444204836569</v>
      </c>
      <c r="W14">
        <v>6609</v>
      </c>
      <c r="X14">
        <v>421</v>
      </c>
      <c r="Y14">
        <v>80</v>
      </c>
      <c r="Z14">
        <f>X14/Y14</f>
        <v>5.2625000000000002</v>
      </c>
      <c r="AA14">
        <f>AVERAGE(Z14:Z23)</f>
        <v>5.4649882815652857</v>
      </c>
      <c r="AB14">
        <f>_xlfn.STDEV.P(Z14:Z23)</f>
        <v>0.98184644524609677</v>
      </c>
    </row>
    <row r="15" spans="1:28" x14ac:dyDescent="0.3">
      <c r="A15">
        <v>4236</v>
      </c>
      <c r="B15">
        <v>127</v>
      </c>
      <c r="C15" t="s">
        <v>62</v>
      </c>
      <c r="D15">
        <v>173</v>
      </c>
      <c r="E15">
        <f t="shared" si="0"/>
        <v>1.3622047244094488</v>
      </c>
      <c r="F15">
        <f>(E15-M47)/N47</f>
        <v>-0.96917138829526972</v>
      </c>
      <c r="I15">
        <v>17582</v>
      </c>
      <c r="J15">
        <v>140</v>
      </c>
      <c r="K15">
        <v>108</v>
      </c>
      <c r="L15">
        <f t="shared" ref="L15:L23" si="4">J15/K15</f>
        <v>1.2962962962962963</v>
      </c>
      <c r="P15">
        <v>15386</v>
      </c>
      <c r="Q15">
        <v>330</v>
      </c>
      <c r="R15">
        <v>95</v>
      </c>
      <c r="S15">
        <f t="shared" ref="S15:S23" si="5">Q15/R15</f>
        <v>3.4736842105263159</v>
      </c>
      <c r="W15">
        <v>6609</v>
      </c>
      <c r="X15">
        <v>500</v>
      </c>
      <c r="Y15">
        <v>90</v>
      </c>
      <c r="Z15">
        <f t="shared" ref="Z15:Z21" si="6">X15/Y15</f>
        <v>5.5555555555555554</v>
      </c>
    </row>
    <row r="16" spans="1:28" x14ac:dyDescent="0.3">
      <c r="I16">
        <v>17582</v>
      </c>
      <c r="J16">
        <v>150</v>
      </c>
      <c r="K16">
        <v>105</v>
      </c>
      <c r="L16">
        <f t="shared" si="4"/>
        <v>1.4285714285714286</v>
      </c>
      <c r="P16">
        <v>15386</v>
      </c>
      <c r="Q16">
        <v>330</v>
      </c>
      <c r="R16">
        <v>98</v>
      </c>
      <c r="S16">
        <f t="shared" si="5"/>
        <v>3.3673469387755102</v>
      </c>
      <c r="W16">
        <v>6609</v>
      </c>
      <c r="X16">
        <v>421</v>
      </c>
      <c r="Y16">
        <v>78</v>
      </c>
      <c r="Z16">
        <f t="shared" si="6"/>
        <v>5.3974358974358978</v>
      </c>
    </row>
    <row r="17" spans="9:28" x14ac:dyDescent="0.3">
      <c r="I17">
        <v>17582</v>
      </c>
      <c r="J17">
        <v>150</v>
      </c>
      <c r="K17">
        <v>116</v>
      </c>
      <c r="L17">
        <f t="shared" si="4"/>
        <v>1.2931034482758621</v>
      </c>
      <c r="P17">
        <v>15386</v>
      </c>
      <c r="Q17">
        <v>220</v>
      </c>
      <c r="R17">
        <v>96</v>
      </c>
      <c r="S17">
        <f t="shared" si="5"/>
        <v>2.2916666666666665</v>
      </c>
      <c r="W17">
        <v>6609</v>
      </c>
      <c r="X17">
        <v>320</v>
      </c>
      <c r="Y17">
        <v>70</v>
      </c>
      <c r="Z17">
        <f t="shared" si="6"/>
        <v>4.5714285714285712</v>
      </c>
    </row>
    <row r="18" spans="9:28" x14ac:dyDescent="0.3">
      <c r="I18">
        <v>17582</v>
      </c>
      <c r="J18">
        <v>130</v>
      </c>
      <c r="K18">
        <v>120</v>
      </c>
      <c r="L18">
        <f t="shared" si="4"/>
        <v>1.0833333333333333</v>
      </c>
      <c r="P18">
        <v>15386</v>
      </c>
      <c r="Q18">
        <v>230</v>
      </c>
      <c r="R18">
        <v>96</v>
      </c>
      <c r="S18">
        <f t="shared" si="5"/>
        <v>2.3958333333333335</v>
      </c>
      <c r="W18">
        <v>6609</v>
      </c>
      <c r="X18">
        <v>421</v>
      </c>
      <c r="Y18">
        <v>78</v>
      </c>
      <c r="Z18">
        <f t="shared" si="6"/>
        <v>5.3974358974358978</v>
      </c>
    </row>
    <row r="19" spans="9:28" x14ac:dyDescent="0.3">
      <c r="I19">
        <v>17582</v>
      </c>
      <c r="J19">
        <v>185</v>
      </c>
      <c r="K19">
        <v>110</v>
      </c>
      <c r="L19">
        <f t="shared" si="4"/>
        <v>1.6818181818181819</v>
      </c>
      <c r="P19">
        <v>15386</v>
      </c>
      <c r="Q19">
        <v>285</v>
      </c>
      <c r="R19">
        <v>100</v>
      </c>
      <c r="S19">
        <f t="shared" si="5"/>
        <v>2.85</v>
      </c>
      <c r="W19">
        <v>6609</v>
      </c>
      <c r="X19">
        <v>400</v>
      </c>
      <c r="Y19">
        <v>70</v>
      </c>
      <c r="Z19">
        <f t="shared" si="6"/>
        <v>5.7142857142857144</v>
      </c>
    </row>
    <row r="20" spans="9:28" x14ac:dyDescent="0.3">
      <c r="I20">
        <v>17582</v>
      </c>
      <c r="J20">
        <v>250</v>
      </c>
      <c r="K20">
        <v>120</v>
      </c>
      <c r="L20">
        <f t="shared" si="4"/>
        <v>2.0833333333333335</v>
      </c>
      <c r="P20">
        <v>15386</v>
      </c>
      <c r="Q20">
        <v>330</v>
      </c>
      <c r="R20">
        <v>95</v>
      </c>
      <c r="S20">
        <f t="shared" si="5"/>
        <v>3.4736842105263159</v>
      </c>
      <c r="W20">
        <v>6609</v>
      </c>
      <c r="X20">
        <v>650</v>
      </c>
      <c r="Y20">
        <v>81</v>
      </c>
      <c r="Z20">
        <f t="shared" si="6"/>
        <v>8.0246913580246915</v>
      </c>
    </row>
    <row r="21" spans="9:28" x14ac:dyDescent="0.3">
      <c r="I21">
        <v>17582</v>
      </c>
      <c r="J21">
        <v>150</v>
      </c>
      <c r="K21">
        <v>116</v>
      </c>
      <c r="L21">
        <f t="shared" si="4"/>
        <v>1.2931034482758621</v>
      </c>
      <c r="P21">
        <v>15386</v>
      </c>
      <c r="Q21">
        <v>200</v>
      </c>
      <c r="R21">
        <v>96</v>
      </c>
      <c r="S21">
        <f t="shared" si="5"/>
        <v>2.0833333333333335</v>
      </c>
      <c r="W21">
        <v>6609</v>
      </c>
      <c r="X21">
        <v>320</v>
      </c>
      <c r="Y21">
        <v>80</v>
      </c>
      <c r="Z21">
        <f t="shared" si="6"/>
        <v>4</v>
      </c>
    </row>
    <row r="22" spans="9:28" x14ac:dyDescent="0.3">
      <c r="I22">
        <v>17582</v>
      </c>
      <c r="J22">
        <v>220</v>
      </c>
      <c r="K22">
        <v>103</v>
      </c>
      <c r="L22">
        <f t="shared" si="4"/>
        <v>2.1359223300970873</v>
      </c>
      <c r="P22">
        <v>15386</v>
      </c>
      <c r="Q22">
        <v>240</v>
      </c>
      <c r="R22">
        <v>69</v>
      </c>
      <c r="S22">
        <f t="shared" si="5"/>
        <v>3.4782608695652173</v>
      </c>
      <c r="W22">
        <v>6609</v>
      </c>
      <c r="X22">
        <v>421</v>
      </c>
      <c r="Y22">
        <v>78</v>
      </c>
      <c r="Z22">
        <f>X22/Y22</f>
        <v>5.3974358974358978</v>
      </c>
    </row>
    <row r="23" spans="9:28" x14ac:dyDescent="0.3">
      <c r="I23">
        <v>17582</v>
      </c>
      <c r="J23">
        <v>125</v>
      </c>
      <c r="K23">
        <v>103</v>
      </c>
      <c r="L23">
        <f t="shared" si="4"/>
        <v>1.2135922330097086</v>
      </c>
      <c r="P23">
        <v>15386</v>
      </c>
      <c r="Q23">
        <v>330</v>
      </c>
      <c r="R23">
        <v>96</v>
      </c>
      <c r="S23">
        <f t="shared" si="5"/>
        <v>3.4375</v>
      </c>
      <c r="W23">
        <v>6609</v>
      </c>
      <c r="X23">
        <v>421</v>
      </c>
      <c r="Y23">
        <v>79</v>
      </c>
      <c r="Z23">
        <f t="shared" ref="Z23" si="7">X23/Y23</f>
        <v>5.3291139240506329</v>
      </c>
    </row>
    <row r="25" spans="9:28" x14ac:dyDescent="0.3">
      <c r="I25">
        <v>15836</v>
      </c>
      <c r="J25">
        <v>150</v>
      </c>
      <c r="K25">
        <v>105</v>
      </c>
      <c r="L25">
        <f>J25/K25</f>
        <v>1.4285714285714286</v>
      </c>
      <c r="M25">
        <f>AVERAGE(L25:L34)</f>
        <v>1.4167710580882926</v>
      </c>
      <c r="N25">
        <f>_xlfn.STDEV.P(L25:L34)</f>
        <v>0.17370455497101603</v>
      </c>
      <c r="P25">
        <v>14612</v>
      </c>
      <c r="Q25">
        <v>220</v>
      </c>
      <c r="R25">
        <v>72</v>
      </c>
      <c r="S25">
        <f>Q25/R25</f>
        <v>3.0555555555555554</v>
      </c>
      <c r="T25">
        <f>AVERAGE(S25:S34)</f>
        <v>2.1948364834001786</v>
      </c>
      <c r="U25">
        <f>_xlfn.STDEV.P(S25:S34)</f>
        <v>0.93423179832389713</v>
      </c>
      <c r="W25">
        <v>17877</v>
      </c>
      <c r="X25">
        <v>180</v>
      </c>
      <c r="Y25">
        <v>42</v>
      </c>
      <c r="Z25">
        <f>X25/Y25</f>
        <v>4.2857142857142856</v>
      </c>
      <c r="AA25">
        <f>AVERAGE(Z25:Z34)</f>
        <v>2.8515850113554473</v>
      </c>
      <c r="AB25">
        <f>_xlfn.STDEV.P(Z25:Z34)</f>
        <v>0.79923183729155378</v>
      </c>
    </row>
    <row r="26" spans="9:28" x14ac:dyDescent="0.3">
      <c r="I26">
        <v>15836</v>
      </c>
      <c r="J26">
        <v>119</v>
      </c>
      <c r="K26">
        <v>95</v>
      </c>
      <c r="L26">
        <f t="shared" ref="L26:L34" si="8">J26/K26</f>
        <v>1.2526315789473683</v>
      </c>
      <c r="P26">
        <v>14612</v>
      </c>
      <c r="Q26">
        <v>225</v>
      </c>
      <c r="R26">
        <v>60</v>
      </c>
      <c r="S26">
        <f t="shared" ref="S26:S34" si="9">Q26/R26</f>
        <v>3.75</v>
      </c>
      <c r="W26">
        <v>17877</v>
      </c>
      <c r="X26">
        <v>125</v>
      </c>
      <c r="Y26">
        <v>50</v>
      </c>
      <c r="Z26">
        <f t="shared" ref="Z26:Z32" si="10">X26/Y26</f>
        <v>2.5</v>
      </c>
    </row>
    <row r="27" spans="9:28" x14ac:dyDescent="0.3">
      <c r="I27">
        <v>15836</v>
      </c>
      <c r="J27">
        <v>135</v>
      </c>
      <c r="K27">
        <v>90</v>
      </c>
      <c r="L27">
        <f t="shared" si="8"/>
        <v>1.5</v>
      </c>
      <c r="P27">
        <v>14612</v>
      </c>
      <c r="Q27">
        <v>120</v>
      </c>
      <c r="R27">
        <v>64</v>
      </c>
      <c r="S27">
        <f t="shared" si="9"/>
        <v>1.875</v>
      </c>
      <c r="W27">
        <v>17877</v>
      </c>
      <c r="X27">
        <v>150</v>
      </c>
      <c r="Y27">
        <v>56</v>
      </c>
      <c r="Z27">
        <f t="shared" si="10"/>
        <v>2.6785714285714284</v>
      </c>
    </row>
    <row r="28" spans="9:28" x14ac:dyDescent="0.3">
      <c r="I28">
        <v>15836</v>
      </c>
      <c r="J28">
        <v>120</v>
      </c>
      <c r="K28">
        <v>94</v>
      </c>
      <c r="L28">
        <f t="shared" si="8"/>
        <v>1.2765957446808511</v>
      </c>
      <c r="P28">
        <v>14612</v>
      </c>
      <c r="Q28">
        <v>185</v>
      </c>
      <c r="R28">
        <v>70</v>
      </c>
      <c r="S28">
        <f t="shared" si="9"/>
        <v>2.6428571428571428</v>
      </c>
      <c r="W28">
        <v>17877</v>
      </c>
      <c r="X28">
        <v>122</v>
      </c>
      <c r="Y28">
        <v>40</v>
      </c>
      <c r="Z28">
        <f t="shared" si="10"/>
        <v>3.05</v>
      </c>
    </row>
    <row r="29" spans="9:28" x14ac:dyDescent="0.3">
      <c r="I29">
        <v>15836</v>
      </c>
      <c r="J29">
        <v>125</v>
      </c>
      <c r="K29">
        <v>94</v>
      </c>
      <c r="L29">
        <f t="shared" si="8"/>
        <v>1.3297872340425532</v>
      </c>
      <c r="P29">
        <v>14612</v>
      </c>
      <c r="Q29">
        <v>85</v>
      </c>
      <c r="R29">
        <v>66</v>
      </c>
      <c r="S29">
        <f t="shared" si="9"/>
        <v>1.2878787878787878</v>
      </c>
      <c r="W29">
        <v>17877</v>
      </c>
      <c r="X29">
        <v>155</v>
      </c>
      <c r="Y29">
        <v>50</v>
      </c>
      <c r="Z29">
        <f t="shared" si="10"/>
        <v>3.1</v>
      </c>
    </row>
    <row r="30" spans="9:28" x14ac:dyDescent="0.3">
      <c r="I30">
        <v>15836</v>
      </c>
      <c r="J30">
        <v>135</v>
      </c>
      <c r="K30">
        <v>90</v>
      </c>
      <c r="L30">
        <f t="shared" si="8"/>
        <v>1.5</v>
      </c>
      <c r="P30">
        <v>14612</v>
      </c>
      <c r="Q30">
        <v>81</v>
      </c>
      <c r="R30">
        <v>74</v>
      </c>
      <c r="S30">
        <f t="shared" si="9"/>
        <v>1.0945945945945945</v>
      </c>
      <c r="W30">
        <v>17877</v>
      </c>
      <c r="X30">
        <v>175</v>
      </c>
      <c r="Y30">
        <v>47</v>
      </c>
      <c r="Z30">
        <f t="shared" si="10"/>
        <v>3.7234042553191489</v>
      </c>
    </row>
    <row r="31" spans="9:28" x14ac:dyDescent="0.3">
      <c r="I31">
        <v>15836</v>
      </c>
      <c r="J31">
        <v>185</v>
      </c>
      <c r="K31">
        <v>100</v>
      </c>
      <c r="L31">
        <f t="shared" si="8"/>
        <v>1.85</v>
      </c>
      <c r="P31">
        <v>14612</v>
      </c>
      <c r="Q31">
        <v>185</v>
      </c>
      <c r="R31">
        <v>70</v>
      </c>
      <c r="S31">
        <f t="shared" si="9"/>
        <v>2.6428571428571428</v>
      </c>
      <c r="W31">
        <v>17877</v>
      </c>
      <c r="X31">
        <v>159</v>
      </c>
      <c r="Y31">
        <v>52</v>
      </c>
      <c r="Z31">
        <f t="shared" si="10"/>
        <v>3.0576923076923075</v>
      </c>
    </row>
    <row r="32" spans="9:28" x14ac:dyDescent="0.3">
      <c r="I32">
        <v>15836</v>
      </c>
      <c r="J32">
        <v>150</v>
      </c>
      <c r="K32">
        <v>105</v>
      </c>
      <c r="L32">
        <f t="shared" si="8"/>
        <v>1.4285714285714286</v>
      </c>
      <c r="P32">
        <v>14612</v>
      </c>
      <c r="Q32">
        <v>240</v>
      </c>
      <c r="R32">
        <v>75</v>
      </c>
      <c r="S32">
        <f t="shared" si="9"/>
        <v>3.2</v>
      </c>
      <c r="W32">
        <v>17877</v>
      </c>
      <c r="X32">
        <v>169</v>
      </c>
      <c r="Y32">
        <v>57</v>
      </c>
      <c r="Z32">
        <f t="shared" si="10"/>
        <v>2.9649122807017543</v>
      </c>
    </row>
    <row r="33" spans="9:28" x14ac:dyDescent="0.3">
      <c r="I33">
        <v>15836</v>
      </c>
      <c r="J33">
        <v>130</v>
      </c>
      <c r="K33">
        <v>93</v>
      </c>
      <c r="L33">
        <f t="shared" si="8"/>
        <v>1.3978494623655915</v>
      </c>
      <c r="P33">
        <v>14612</v>
      </c>
      <c r="Q33">
        <v>90</v>
      </c>
      <c r="R33">
        <v>67</v>
      </c>
      <c r="S33">
        <f t="shared" si="9"/>
        <v>1.3432835820895523</v>
      </c>
      <c r="W33">
        <v>17877</v>
      </c>
      <c r="X33">
        <v>67</v>
      </c>
      <c r="Y33">
        <v>45</v>
      </c>
      <c r="Z33">
        <f>X33/Y33</f>
        <v>1.4888888888888889</v>
      </c>
    </row>
    <row r="34" spans="9:28" x14ac:dyDescent="0.3">
      <c r="I34">
        <v>15836</v>
      </c>
      <c r="J34">
        <v>130</v>
      </c>
      <c r="K34">
        <v>108</v>
      </c>
      <c r="L34">
        <f t="shared" si="8"/>
        <v>1.2037037037037037</v>
      </c>
      <c r="P34">
        <v>14612</v>
      </c>
      <c r="Q34">
        <v>75</v>
      </c>
      <c r="R34">
        <v>71</v>
      </c>
      <c r="S34">
        <f t="shared" si="9"/>
        <v>1.056338028169014</v>
      </c>
      <c r="W34">
        <v>17877</v>
      </c>
      <c r="X34">
        <v>75</v>
      </c>
      <c r="Y34">
        <v>45</v>
      </c>
      <c r="Z34">
        <f t="shared" ref="Z34" si="11">X34/Y34</f>
        <v>1.6666666666666667</v>
      </c>
    </row>
    <row r="36" spans="9:28" x14ac:dyDescent="0.3">
      <c r="I36">
        <v>12840</v>
      </c>
      <c r="J36">
        <v>210</v>
      </c>
      <c r="K36">
        <v>65</v>
      </c>
      <c r="L36">
        <f>J36/K36</f>
        <v>3.2307692307692308</v>
      </c>
      <c r="M36">
        <f>AVERAGE(L36:L45)</f>
        <v>2.9830798785626222</v>
      </c>
      <c r="N36">
        <f>_xlfn.STDEV.P(L36:L45)</f>
        <v>0.77841296443631369</v>
      </c>
      <c r="P36">
        <v>11973</v>
      </c>
      <c r="Q36">
        <v>214</v>
      </c>
      <c r="R36">
        <v>78</v>
      </c>
      <c r="S36">
        <f>Q36/R36</f>
        <v>2.7435897435897436</v>
      </c>
      <c r="T36">
        <f>AVERAGE(S36:S45)</f>
        <v>2.7266604485285484</v>
      </c>
      <c r="U36">
        <f>_xlfn.STDEV.P(S36:S45)</f>
        <v>0.57995993066759199</v>
      </c>
      <c r="W36">
        <v>4411</v>
      </c>
      <c r="X36">
        <v>475</v>
      </c>
      <c r="Y36">
        <v>137</v>
      </c>
      <c r="Z36">
        <f>X36/Y36</f>
        <v>3.4671532846715327</v>
      </c>
      <c r="AA36">
        <f>AVERAGE(Z36:Z45)</f>
        <v>2.4174179127581903</v>
      </c>
      <c r="AB36">
        <f>_xlfn.STDEV.P(Z36:Z45)</f>
        <v>1.0887787248907703</v>
      </c>
    </row>
    <row r="37" spans="9:28" x14ac:dyDescent="0.3">
      <c r="I37">
        <v>12840</v>
      </c>
      <c r="J37">
        <v>146</v>
      </c>
      <c r="K37">
        <v>50</v>
      </c>
      <c r="L37">
        <f t="shared" ref="L37:L45" si="12">J37/K37</f>
        <v>2.92</v>
      </c>
      <c r="P37">
        <v>11973</v>
      </c>
      <c r="Q37">
        <v>168</v>
      </c>
      <c r="R37">
        <v>98</v>
      </c>
      <c r="S37">
        <f t="shared" ref="S37:S45" si="13">Q37/R37</f>
        <v>1.7142857142857142</v>
      </c>
      <c r="W37">
        <v>4411</v>
      </c>
      <c r="X37">
        <v>206</v>
      </c>
      <c r="Y37">
        <v>134</v>
      </c>
      <c r="Z37">
        <f t="shared" ref="Z37:Z43" si="14">X37/Y37</f>
        <v>1.5373134328358209</v>
      </c>
    </row>
    <row r="38" spans="9:28" x14ac:dyDescent="0.3">
      <c r="I38">
        <v>12840</v>
      </c>
      <c r="J38">
        <v>210</v>
      </c>
      <c r="K38">
        <v>65</v>
      </c>
      <c r="L38">
        <f t="shared" si="12"/>
        <v>3.2307692307692308</v>
      </c>
      <c r="P38">
        <v>11973</v>
      </c>
      <c r="Q38">
        <v>300</v>
      </c>
      <c r="R38">
        <v>85</v>
      </c>
      <c r="S38">
        <f t="shared" si="13"/>
        <v>3.5294117647058822</v>
      </c>
      <c r="W38">
        <v>4411</v>
      </c>
      <c r="X38">
        <v>173</v>
      </c>
      <c r="Y38">
        <v>127</v>
      </c>
      <c r="Z38">
        <f t="shared" si="14"/>
        <v>1.3622047244094488</v>
      </c>
    </row>
    <row r="39" spans="9:28" x14ac:dyDescent="0.3">
      <c r="I39">
        <v>12840</v>
      </c>
      <c r="J39">
        <v>185</v>
      </c>
      <c r="K39">
        <v>61</v>
      </c>
      <c r="L39">
        <f t="shared" si="12"/>
        <v>3.0327868852459017</v>
      </c>
      <c r="P39">
        <v>11973</v>
      </c>
      <c r="Q39">
        <v>310</v>
      </c>
      <c r="R39">
        <v>97</v>
      </c>
      <c r="S39">
        <f t="shared" si="13"/>
        <v>3.195876288659794</v>
      </c>
      <c r="W39">
        <v>4411</v>
      </c>
      <c r="X39">
        <v>500</v>
      </c>
      <c r="Y39">
        <v>142</v>
      </c>
      <c r="Z39">
        <f t="shared" si="14"/>
        <v>3.5211267605633805</v>
      </c>
    </row>
    <row r="40" spans="9:28" x14ac:dyDescent="0.3">
      <c r="I40">
        <v>12840</v>
      </c>
      <c r="J40">
        <v>140</v>
      </c>
      <c r="K40">
        <v>55</v>
      </c>
      <c r="L40">
        <f t="shared" si="12"/>
        <v>2.5454545454545454</v>
      </c>
      <c r="P40">
        <v>11973</v>
      </c>
      <c r="Q40">
        <v>165</v>
      </c>
      <c r="R40">
        <v>95</v>
      </c>
      <c r="S40">
        <f t="shared" si="13"/>
        <v>1.736842105263158</v>
      </c>
      <c r="W40">
        <v>4411</v>
      </c>
      <c r="X40">
        <v>173</v>
      </c>
      <c r="Y40">
        <v>126</v>
      </c>
      <c r="Z40">
        <f t="shared" si="14"/>
        <v>1.373015873015873</v>
      </c>
    </row>
    <row r="41" spans="9:28" x14ac:dyDescent="0.3">
      <c r="I41">
        <v>12840</v>
      </c>
      <c r="J41">
        <v>65</v>
      </c>
      <c r="K41">
        <v>50</v>
      </c>
      <c r="L41">
        <f t="shared" si="12"/>
        <v>1.3</v>
      </c>
      <c r="P41">
        <v>11973</v>
      </c>
      <c r="Q41">
        <v>270</v>
      </c>
      <c r="R41">
        <v>89</v>
      </c>
      <c r="S41">
        <f t="shared" si="13"/>
        <v>3.0337078651685392</v>
      </c>
      <c r="W41">
        <v>4411</v>
      </c>
      <c r="X41">
        <v>206</v>
      </c>
      <c r="Y41">
        <v>134</v>
      </c>
      <c r="Z41">
        <f t="shared" si="14"/>
        <v>1.5373134328358209</v>
      </c>
    </row>
    <row r="42" spans="9:28" x14ac:dyDescent="0.3">
      <c r="I42">
        <v>12840</v>
      </c>
      <c r="J42">
        <v>200</v>
      </c>
      <c r="K42">
        <v>64</v>
      </c>
      <c r="L42">
        <f t="shared" si="12"/>
        <v>3.125</v>
      </c>
      <c r="P42">
        <v>11973</v>
      </c>
      <c r="Q42">
        <v>260</v>
      </c>
      <c r="R42">
        <v>97</v>
      </c>
      <c r="S42">
        <f t="shared" si="13"/>
        <v>2.6804123711340204</v>
      </c>
      <c r="W42">
        <v>4411</v>
      </c>
      <c r="X42">
        <v>215</v>
      </c>
      <c r="Y42">
        <v>130</v>
      </c>
      <c r="Z42">
        <f t="shared" si="14"/>
        <v>1.6538461538461537</v>
      </c>
    </row>
    <row r="43" spans="9:28" x14ac:dyDescent="0.3">
      <c r="I43">
        <v>12840</v>
      </c>
      <c r="J43">
        <v>140</v>
      </c>
      <c r="K43">
        <v>56</v>
      </c>
      <c r="L43">
        <f t="shared" si="12"/>
        <v>2.5</v>
      </c>
      <c r="P43">
        <v>11973</v>
      </c>
      <c r="Q43">
        <v>214</v>
      </c>
      <c r="R43">
        <v>78</v>
      </c>
      <c r="S43">
        <f t="shared" si="13"/>
        <v>2.7435897435897436</v>
      </c>
      <c r="W43">
        <v>4411</v>
      </c>
      <c r="X43">
        <v>480</v>
      </c>
      <c r="Y43">
        <v>121</v>
      </c>
      <c r="Z43">
        <f t="shared" si="14"/>
        <v>3.9669421487603307</v>
      </c>
    </row>
    <row r="44" spans="9:28" x14ac:dyDescent="0.3">
      <c r="I44">
        <v>12840</v>
      </c>
      <c r="J44">
        <v>220</v>
      </c>
      <c r="K44">
        <v>65</v>
      </c>
      <c r="L44">
        <f t="shared" si="12"/>
        <v>3.3846153846153846</v>
      </c>
      <c r="P44">
        <v>11973</v>
      </c>
      <c r="Q44">
        <v>300</v>
      </c>
      <c r="R44">
        <v>90</v>
      </c>
      <c r="S44">
        <f t="shared" si="13"/>
        <v>3.3333333333333335</v>
      </c>
      <c r="W44">
        <v>4411</v>
      </c>
      <c r="X44">
        <v>245</v>
      </c>
      <c r="Y44">
        <v>137</v>
      </c>
      <c r="Z44">
        <f>X44/Y44</f>
        <v>1.7883211678832116</v>
      </c>
    </row>
    <row r="45" spans="9:28" x14ac:dyDescent="0.3">
      <c r="I45">
        <v>12840</v>
      </c>
      <c r="J45">
        <v>260</v>
      </c>
      <c r="K45">
        <v>57</v>
      </c>
      <c r="L45">
        <f t="shared" si="12"/>
        <v>4.5614035087719298</v>
      </c>
      <c r="P45">
        <v>11973</v>
      </c>
      <c r="Q45">
        <v>230</v>
      </c>
      <c r="R45">
        <v>90</v>
      </c>
      <c r="S45">
        <f t="shared" si="13"/>
        <v>2.5555555555555554</v>
      </c>
      <c r="W45">
        <v>4411</v>
      </c>
      <c r="X45">
        <v>480</v>
      </c>
      <c r="Y45">
        <v>121</v>
      </c>
      <c r="Z45">
        <f t="shared" ref="Z45" si="15">X45/Y45</f>
        <v>3.9669421487603307</v>
      </c>
    </row>
    <row r="47" spans="9:28" x14ac:dyDescent="0.3">
      <c r="I47">
        <v>4236</v>
      </c>
      <c r="J47">
        <v>475</v>
      </c>
      <c r="K47">
        <v>137</v>
      </c>
      <c r="L47">
        <f>J47/K47</f>
        <v>3.4671532846715327</v>
      </c>
      <c r="M47">
        <f>AVERAGE(L47:L56)</f>
        <v>2.4174179127581903</v>
      </c>
      <c r="N47">
        <f>_xlfn.STDEV.P(L47:L56)</f>
        <v>1.0887787248907703</v>
      </c>
    </row>
    <row r="48" spans="9:28" x14ac:dyDescent="0.3">
      <c r="I48">
        <v>4236</v>
      </c>
      <c r="J48">
        <v>206</v>
      </c>
      <c r="K48">
        <v>134</v>
      </c>
      <c r="L48">
        <f t="shared" ref="L48:L54" si="16">J48/K48</f>
        <v>1.5373134328358209</v>
      </c>
    </row>
    <row r="49" spans="9:12" x14ac:dyDescent="0.3">
      <c r="I49">
        <v>4236</v>
      </c>
      <c r="J49">
        <v>173</v>
      </c>
      <c r="K49">
        <v>127</v>
      </c>
      <c r="L49">
        <f t="shared" si="16"/>
        <v>1.3622047244094488</v>
      </c>
    </row>
    <row r="50" spans="9:12" x14ac:dyDescent="0.3">
      <c r="I50">
        <v>4236</v>
      </c>
      <c r="J50">
        <v>500</v>
      </c>
      <c r="K50">
        <v>142</v>
      </c>
      <c r="L50">
        <f t="shared" si="16"/>
        <v>3.5211267605633805</v>
      </c>
    </row>
    <row r="51" spans="9:12" x14ac:dyDescent="0.3">
      <c r="I51">
        <v>4236</v>
      </c>
      <c r="J51">
        <v>173</v>
      </c>
      <c r="K51">
        <v>126</v>
      </c>
      <c r="L51">
        <f t="shared" si="16"/>
        <v>1.373015873015873</v>
      </c>
    </row>
    <row r="52" spans="9:12" x14ac:dyDescent="0.3">
      <c r="I52">
        <v>4236</v>
      </c>
      <c r="J52">
        <v>206</v>
      </c>
      <c r="K52">
        <v>134</v>
      </c>
      <c r="L52">
        <f t="shared" si="16"/>
        <v>1.5373134328358209</v>
      </c>
    </row>
    <row r="53" spans="9:12" x14ac:dyDescent="0.3">
      <c r="I53">
        <v>4236</v>
      </c>
      <c r="J53">
        <v>215</v>
      </c>
      <c r="K53">
        <v>130</v>
      </c>
      <c r="L53">
        <f t="shared" si="16"/>
        <v>1.6538461538461537</v>
      </c>
    </row>
    <row r="54" spans="9:12" x14ac:dyDescent="0.3">
      <c r="I54">
        <v>4236</v>
      </c>
      <c r="J54">
        <v>480</v>
      </c>
      <c r="K54">
        <v>121</v>
      </c>
      <c r="L54">
        <f t="shared" si="16"/>
        <v>3.9669421487603307</v>
      </c>
    </row>
    <row r="55" spans="9:12" x14ac:dyDescent="0.3">
      <c r="I55">
        <v>4236</v>
      </c>
      <c r="J55">
        <v>245</v>
      </c>
      <c r="K55">
        <v>137</v>
      </c>
      <c r="L55">
        <f>J55/K55</f>
        <v>1.7883211678832116</v>
      </c>
    </row>
    <row r="56" spans="9:12" x14ac:dyDescent="0.3">
      <c r="I56">
        <v>4236</v>
      </c>
      <c r="J56">
        <v>480</v>
      </c>
      <c r="K56">
        <v>121</v>
      </c>
      <c r="L56">
        <f t="shared" ref="L56" si="17">J56/K56</f>
        <v>3.9669421487603307</v>
      </c>
    </row>
  </sheetData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2012-CB5D-4D02-BE1C-0CA7E760E3CB}">
  <dimension ref="A1:D11"/>
  <sheetViews>
    <sheetView workbookViewId="0">
      <selection activeCell="D11" sqref="D11"/>
    </sheetView>
  </sheetViews>
  <sheetFormatPr defaultRowHeight="14.4" x14ac:dyDescent="0.3"/>
  <sheetData>
    <row r="1" spans="1:4" x14ac:dyDescent="0.3">
      <c r="A1" t="s">
        <v>40</v>
      </c>
    </row>
    <row r="11" spans="1:4" x14ac:dyDescent="0.3">
      <c r="D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dovalue</vt:lpstr>
      <vt:lpstr>cepal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מיכאל כפיר</dc:creator>
  <cp:lastModifiedBy>מיכאל כפיר</cp:lastModifiedBy>
  <dcterms:created xsi:type="dcterms:W3CDTF">2025-09-08T10:38:36Z</dcterms:created>
  <dcterms:modified xsi:type="dcterms:W3CDTF">2025-09-15T14:07:50Z</dcterms:modified>
</cp:coreProperties>
</file>