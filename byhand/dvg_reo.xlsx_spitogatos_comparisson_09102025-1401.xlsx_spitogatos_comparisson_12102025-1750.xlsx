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byhand\"/>
    </mc:Choice>
  </mc:AlternateContent>
  <xr:revisionPtr revIDLastSave="0" documentId="13_ncr:1_{8DE90E4F-388F-4DA5-BFEB-79389C591B40}"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81029"/>
</workbook>
</file>

<file path=xl/calcChain.xml><?xml version="1.0" encoding="utf-8"?>
<calcChain xmlns="http://schemas.openxmlformats.org/spreadsheetml/2006/main">
  <c r="W59" i="1" l="1"/>
  <c r="W106" i="1"/>
  <c r="W94" i="1"/>
  <c r="W122" i="1"/>
  <c r="W126" i="1"/>
  <c r="W124" i="1"/>
  <c r="W52" i="1"/>
  <c r="W129" i="1"/>
  <c r="W73" i="1"/>
  <c r="W6" i="1"/>
  <c r="W58" i="1"/>
  <c r="W103" i="1"/>
  <c r="W77" i="1"/>
  <c r="W22" i="1"/>
  <c r="W135" i="1"/>
  <c r="W29" i="1"/>
  <c r="W32" i="1"/>
  <c r="W17" i="1"/>
  <c r="W16" i="1"/>
  <c r="W31" i="1"/>
  <c r="W105" i="1"/>
  <c r="W51" i="1"/>
  <c r="W20" i="1"/>
  <c r="W65" i="1"/>
  <c r="W27" i="1"/>
  <c r="W42" i="1"/>
  <c r="W70" i="1"/>
  <c r="W45" i="1"/>
  <c r="W72" i="1"/>
  <c r="W24" i="1"/>
  <c r="W85" i="1"/>
  <c r="W54" i="1"/>
  <c r="W5" i="1"/>
  <c r="W90" i="1"/>
  <c r="W25" i="1"/>
  <c r="W12" i="1"/>
  <c r="W37" i="1"/>
  <c r="W34" i="1"/>
  <c r="W79" i="1"/>
  <c r="W101" i="1"/>
  <c r="W67" i="1"/>
  <c r="W48" i="1"/>
  <c r="W63" i="1"/>
  <c r="W114" i="1"/>
  <c r="W21" i="1"/>
  <c r="W19" i="1"/>
  <c r="W96" i="1"/>
  <c r="W50" i="1"/>
  <c r="W136" i="1"/>
  <c r="W40" i="1"/>
  <c r="W13" i="1"/>
  <c r="W4" i="1"/>
  <c r="W8" i="1"/>
  <c r="W137" i="1"/>
  <c r="W111" i="1"/>
  <c r="W104" i="1"/>
  <c r="W117" i="1"/>
  <c r="W82" i="1"/>
  <c r="W10" i="1"/>
  <c r="W35" i="1"/>
  <c r="W133" i="1"/>
  <c r="W71" i="1"/>
  <c r="W14" i="1"/>
  <c r="W62" i="1"/>
  <c r="W11" i="1"/>
  <c r="W43" i="1"/>
  <c r="W41" i="1"/>
  <c r="W138" i="1"/>
  <c r="W127" i="1"/>
  <c r="W80" i="1"/>
  <c r="W139" i="1"/>
  <c r="W2" i="1"/>
  <c r="W102" i="1"/>
  <c r="W116" i="1"/>
  <c r="W74" i="1"/>
  <c r="W118" i="1"/>
  <c r="W76" i="1"/>
  <c r="W120" i="1"/>
  <c r="W128" i="1"/>
  <c r="W98" i="1"/>
  <c r="W89" i="1"/>
  <c r="W53" i="1"/>
  <c r="W132" i="1"/>
  <c r="W66" i="1"/>
  <c r="W109" i="1"/>
  <c r="W60" i="1"/>
  <c r="W123" i="1"/>
  <c r="W33" i="1"/>
  <c r="W56" i="1"/>
  <c r="W88" i="1"/>
  <c r="W55" i="1"/>
  <c r="W113" i="1"/>
  <c r="W140" i="1"/>
  <c r="W141" i="1"/>
  <c r="W23" i="1"/>
  <c r="W125" i="1"/>
  <c r="W115" i="1"/>
  <c r="W97" i="1"/>
  <c r="W107" i="1"/>
  <c r="W92" i="1"/>
  <c r="W78" i="1"/>
  <c r="W134" i="1"/>
  <c r="W95" i="1"/>
  <c r="W86" i="1"/>
  <c r="W142" i="1"/>
  <c r="W143" i="1"/>
  <c r="W144" i="1"/>
  <c r="W145" i="1"/>
  <c r="W146" i="1"/>
  <c r="W100" i="1"/>
  <c r="W108" i="1"/>
  <c r="W91" i="1"/>
  <c r="W99" i="1"/>
  <c r="W130" i="1"/>
  <c r="W57" i="1"/>
  <c r="W49" i="1"/>
  <c r="W36" i="1"/>
  <c r="W18" i="1"/>
  <c r="W110" i="1"/>
  <c r="W75" i="1"/>
  <c r="W147" i="1"/>
  <c r="W131" i="1"/>
  <c r="W7" i="1"/>
  <c r="W93" i="1"/>
  <c r="W81" i="1"/>
  <c r="W38" i="1"/>
  <c r="W87" i="1"/>
  <c r="W39" i="1"/>
  <c r="W15" i="1"/>
  <c r="W47" i="1"/>
  <c r="W3" i="1"/>
  <c r="W30" i="1"/>
  <c r="W69" i="1"/>
  <c r="W46" i="1"/>
  <c r="W68" i="1"/>
  <c r="W148" i="1"/>
  <c r="W149" i="1"/>
  <c r="W112" i="1"/>
  <c r="W9" i="1"/>
  <c r="W150" i="1"/>
  <c r="W64" i="1"/>
  <c r="W84" i="1"/>
  <c r="W28" i="1"/>
  <c r="W61" i="1"/>
  <c r="W119" i="1"/>
  <c r="W151" i="1"/>
  <c r="W26" i="1"/>
  <c r="W83" i="1"/>
  <c r="W121" i="1"/>
  <c r="W152" i="1"/>
  <c r="W153" i="1"/>
  <c r="W44" i="1"/>
</calcChain>
</file>

<file path=xl/sharedStrings.xml><?xml version="1.0" encoding="utf-8"?>
<sst xmlns="http://schemas.openxmlformats.org/spreadsheetml/2006/main" count="1675" uniqueCount="1085">
  <si>
    <t>AM Portal</t>
  </si>
  <si>
    <t>Property Category</t>
  </si>
  <si>
    <t>Property Title</t>
  </si>
  <si>
    <t>Description</t>
  </si>
  <si>
    <t>Address</t>
  </si>
  <si>
    <t>zip code</t>
  </si>
  <si>
    <t>Region</t>
  </si>
  <si>
    <t>Regional Unit</t>
  </si>
  <si>
    <t>Municipality</t>
  </si>
  <si>
    <t>coords</t>
  </si>
  <si>
    <t>Year of Building Permit</t>
  </si>
  <si>
    <t>price</t>
  </si>
  <si>
    <t xml:space="preserve">Link </t>
  </si>
  <si>
    <t>sqm</t>
  </si>
  <si>
    <t>price/sqm</t>
  </si>
  <si>
    <t>comparison_average</t>
  </si>
  <si>
    <t>comparison_median</t>
  </si>
  <si>
    <t>#assets</t>
  </si>
  <si>
    <t>spitogatos_url</t>
  </si>
  <si>
    <t>searched_radius</t>
  </si>
  <si>
    <t>comparison_std</t>
  </si>
  <si>
    <t>score</t>
  </si>
  <si>
    <t>33779_0</t>
  </si>
  <si>
    <t>Residence</t>
  </si>
  <si>
    <t>Residencial building in Agia Varvara, Attica</t>
  </si>
  <si>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</si>
  <si>
    <t>53, P.P. Germanou Str.</t>
  </si>
  <si>
    <t>Attica</t>
  </si>
  <si>
    <t>West Sector of Athens</t>
  </si>
  <si>
    <t>Agia Varvara</t>
  </si>
  <si>
    <t xml:space="preserve"> 37° 59' 29.00" N  23° 39'  9.80" E</t>
  </si>
  <si>
    <t>https://www.realestateonline.gr/en/akinito/33779_0-RES_17532</t>
  </si>
  <si>
    <t>https://www.spitogatos.gr/en/for_sale-homes/map-search/minliving_area-30/maxliving_area-200?latitudeLow=37.990487&amp;latitudeHigh=37.992289&amp;longitudeLow=23.651583&amp;longitudeHigh=23.653860&amp;zoom=18</t>
  </si>
  <si>
    <t>33984_0</t>
  </si>
  <si>
    <t>Apartment</t>
  </si>
  <si>
    <t>Apartment in Agia Paraskevi, Attica</t>
  </si>
  <si>
    <t>First floor apartment of an area of 114,00 sq.m. on a land plot of an area of 178,80 sq.m. The property is leased at a monthly rent of €534.32. The lease agreement has become indefinite. The property is being sold without the possibility of demonstration.</t>
  </si>
  <si>
    <t xml:space="preserve">15, Kapsali Str. </t>
  </si>
  <si>
    <t>North Sector of Athens</t>
  </si>
  <si>
    <t>Agia Paraskevi</t>
  </si>
  <si>
    <t xml:space="preserve"> 38°  1' 12.00" N  23° 49' 48.00" E</t>
  </si>
  <si>
    <t>https://www.realestateonline.gr/en/akinito/33984_0-APP_15894</t>
  </si>
  <si>
    <t>https://www.spitogatos.gr/en/for_sale-homes/map-search/minliving_area-30/maxliving_area-200?latitudeLow=38.019099&amp;latitudeHigh=38.020900&amp;longitudeLow=23.828861&amp;longitudeHigh=23.831138&amp;zoom=18</t>
  </si>
  <si>
    <t>33634_0</t>
  </si>
  <si>
    <t>Apartment in Kato Patisia</t>
  </si>
  <si>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</si>
  <si>
    <t>312 Acharnon Str.</t>
  </si>
  <si>
    <t>Central Sector of Athens</t>
  </si>
  <si>
    <t>Athens</t>
  </si>
  <si>
    <t xml:space="preserve"> 38°  0' 38.00" N  23° 43' 46.10" E</t>
  </si>
  <si>
    <t>https://www.realestateonline.gr/en/akinito/33634_0-APP_15648</t>
  </si>
  <si>
    <t>https://www.spitogatos.gr/en/for_sale-homes/map-search/minliving_area-30/maxliving_area-200?latitudeLow=38.009654&amp;latitudeHigh=38.011456&amp;longitudeLow=23.728333&amp;longitudeHigh=23.730610&amp;zoom=18</t>
  </si>
  <si>
    <t>33762_0</t>
  </si>
  <si>
    <t>Apartment in Plateia Attikis, Athens</t>
  </si>
  <si>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</si>
  <si>
    <t>113, Pipinou str.</t>
  </si>
  <si>
    <t xml:space="preserve"> 38°  0'  0.00" N  23° 43' 12.00" E</t>
  </si>
  <si>
    <t>https://www.realestateonline.gr/en/akinito/33762_0-APP_15680</t>
  </si>
  <si>
    <t>https://www.spitogatos.gr/en/for_sale-homes/map-search/minliving_area-30/maxliving_area-200?latitudeLow=37.999099&amp;latitudeHigh=38.000900&amp;longitudeLow=23.718861&amp;longitudeHigh=23.721138&amp;zoom=18</t>
  </si>
  <si>
    <t>33800_4</t>
  </si>
  <si>
    <t>Apartment in Tourkovounia, Athens</t>
  </si>
  <si>
    <t>Ground floor apartment (I-1) of an area of ​​84.55 sq.m., with open parking space (P-3) of an area of 10.13 sq.m  and a basement warehouse  (AP-6) of ​​2.50 sq.m. on a plot of 263,86 sq.m. On the roof there is a  pool of 20.00 sq.m.</t>
  </si>
  <si>
    <t>3,Mega Ioannou str.</t>
  </si>
  <si>
    <t xml:space="preserve"> 37° 59' 56.80" N  23° 45' 36.40" E</t>
  </si>
  <si>
    <t>https://www.realestateonline.gr/en/akinito/33800_4-APP_16739</t>
  </si>
  <si>
    <t>https://www.spitogatos.gr/en/for_sale-homes/map-search/minliving_area-30/maxliving_area-200?latitudeLow=37.998210&amp;latitudeHigh=38.000012&amp;longitudeLow=23.758972&amp;longitudeHigh=23.761249&amp;zoom=18</t>
  </si>
  <si>
    <t>33800_5</t>
  </si>
  <si>
    <t>First  floor apartment (A-2)  of ​​82.30 sq.m., with exclusive use of the open parking space  (P-1) a of ​​10.13 sq.m. and a basement warehouse  (AP-3) of ​​3.72 sq.m. on a plot  of 263,86 sq.m. On the roof there is a  pool of 20.00 sq.m.</t>
  </si>
  <si>
    <t>https://www.realestateonline.gr/en/akinito/33800_5-APP_16740</t>
  </si>
  <si>
    <t>33800_6</t>
  </si>
  <si>
    <t>Third floor apartment (Γ-2) of an area of ​​82.83 sq.m.  on a plot of 263,86 sq.m.. On the roof there is a pool of 20.00 sq.m.</t>
  </si>
  <si>
    <t>https://www.realestateonline.gr/en/akinito/33800_6-APP_16741</t>
  </si>
  <si>
    <t>33877_1</t>
  </si>
  <si>
    <t>Apartment in Treis Gefyres, Athens</t>
  </si>
  <si>
    <t>Maisonette - apartment with a total area of ​​138.91 sq.m. which consists of the 3rd floor of 77.99 sq.m. and 4th floor 60.92 sq.m. It consists of 3 bedrooms, 2 bathrooms, dining room, kitchen and living room.</t>
  </si>
  <si>
    <t>39, Nirvana Str.</t>
  </si>
  <si>
    <t xml:space="preserve"> 38°  0' 36.00" N  23° 43' 12.00" E</t>
  </si>
  <si>
    <t>https://www.realestateonline.gr/en/akinito/33877_1-APP_19933</t>
  </si>
  <si>
    <t>https://www.spitogatos.gr/en/for_sale-homes/map-search/minliving_area-30/maxliving_area-200?latitudeLow=38.009099&amp;latitudeHigh=38.010900&amp;longitudeLow=23.718861&amp;longitudeHigh=23.721138&amp;zoom=18</t>
  </si>
  <si>
    <t>33890_0</t>
  </si>
  <si>
    <t>Apartment in Victoria Square, Athens</t>
  </si>
  <si>
    <t xml:space="preserve"> Fourth floor apartment (Δ-1) of 68.50 sq.m. with a basement storage space (9) of an area of 3.60 sq.m. and a basement parking space (4) of an area of 13.50 sq.m. on a land plot of 226.15 sq.m.</t>
  </si>
  <si>
    <t>65 Ioulianou Str.</t>
  </si>
  <si>
    <t xml:space="preserve"> 37° 59' 29.83" N  23° 43' 44.59" E</t>
  </si>
  <si>
    <t>https://www.realestateonline.gr/en/akinito/33890_0-APP_17159</t>
  </si>
  <si>
    <t>https://www.spitogatos.gr/en/for_sale-homes/map-search/minliving_area-30/maxliving_area-200?latitudeLow=37.990718&amp;latitudeHigh=37.992520&amp;longitudeLow=23.727914&amp;longitudeHigh=23.730191&amp;zoom=18</t>
  </si>
  <si>
    <t>33906_0</t>
  </si>
  <si>
    <t>Unfinished residential building in Sepolia, Athens</t>
  </si>
  <si>
    <t>Unfinished residential building of 782.41 sq.m. on a land plot of 227.78 sq.m. with Apartments on the first (A-2), second (B-2), third (Γ-2) and fourth floor (Δ-2) of 81.37 sq.m. each, A’-B’ floor maisonette (A1-B1) and C’-D’ floor maisonette of 93.64 sq.m. each (each floor is 46.82 sq.m. ), fifth floor Apartment of 105.68 sq.m., sixth floor apartment (ΣΤ-1) of 95.00 sq.m., with pilotis parking spaces (ΣΤ-1, ΣΤ-2, ΣΤ-3, ΣΤ-4) of 10.13 sq.m. each, underground storage spaces (A-1, A-2, A-3, A-4, A-5, A-6, A-7) of 22.60 sq.m. and underground parking spaces (ΣΤ-5, ΣΤ-6, ΣΤ-7, ΣΤ-8) of 46.37 sq.m. each.</t>
  </si>
  <si>
    <t>3, Deli Georgiou str.</t>
  </si>
  <si>
    <t xml:space="preserve"> 38°  0' 32.63" N  23° 43' 10.48" E</t>
  </si>
  <si>
    <t>https://www.realestateonline.gr/en/akinito/33906_0-APP_18673</t>
  </si>
  <si>
    <t>https://www.spitogatos.gr/en/for_sale-homes/map-search/minliving_area-30/maxliving_area-200?latitudeLow=38.008162&amp;latitudeHigh=38.009964&amp;longitudeLow=23.718439&amp;longitudeHigh=23.720716&amp;zoom=18</t>
  </si>
  <si>
    <t>33970_0</t>
  </si>
  <si>
    <t>Residence in Agios Panteleimonas</t>
  </si>
  <si>
    <t>Preserved roofless building of a total area of 310,98 sqm., that comprises of a basement of 15,60 sq.m., a ground floor of 132,44 sq.m. a 1st floor of 132,44 sq.m. and an attic of 30,50 sq.m. on a land plot of 165,00 sq.m. Visiting the property is not possible.</t>
  </si>
  <si>
    <t>15 Remoundou Str.</t>
  </si>
  <si>
    <t xml:space="preserve"> 38°  0'  0.00" N  23° 43' 48.00" E</t>
  </si>
  <si>
    <t>https://www.realestateonline.gr/en/akinito/33970_0-RES_15688</t>
  </si>
  <si>
    <t>https://www.spitogatos.gr/en/for_sale-homes/map-search/minliving_area-30/maxliving_area-200?latitudeLow=37.999099&amp;latitudeHigh=38.000900&amp;longitudeLow=23.728861&amp;longitudeHigh=23.731138&amp;zoom=18</t>
  </si>
  <si>
    <t>34017_0</t>
  </si>
  <si>
    <t>Apartment-Maisonette in Kolonos, Athens</t>
  </si>
  <si>
    <t>Unfinished apartment - maisonette 2nd &amp; 3rd floor (B1-Γ1) of a total area of 179.98 sq.m. It comprises of a 2nd floor with living room, kitchen, 3 bedrooms &amp; bathroom &amp; 3rd floor with living room, kitchen, 2 bedrooms &amp; bathroom. The building has an unfinished elevator.</t>
  </si>
  <si>
    <t>3, Epidaurou</t>
  </si>
  <si>
    <t xml:space="preserve"> 37° 59' 33.75" N  23° 43'  3.16" E</t>
  </si>
  <si>
    <t>https://www.realestateonline.gr/en/akinito/34017_0-APP_18063</t>
  </si>
  <si>
    <t>https://www.spitogatos.gr/en/for_sale-homes/map-search/minliving_area-30/maxliving_area-200?latitudeLow=37.991807&amp;latitudeHigh=37.993609&amp;longitudeLow=23.716406&amp;longitudeHigh=23.718682&amp;zoom=18</t>
  </si>
  <si>
    <t>34191_1</t>
  </si>
  <si>
    <t>Apartments in Koukaki, Athens</t>
  </si>
  <si>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</si>
  <si>
    <t>94-96, Veikou str</t>
  </si>
  <si>
    <t xml:space="preserve"> 37° 57' 36.00" N  23° 43' 12.00" E</t>
  </si>
  <si>
    <t>https://www.realestateonline.gr/en/akinito/34191_1-APP_20119</t>
  </si>
  <si>
    <t>https://www.spitogatos.gr/en/for_sale-homes/map-search/minliving_area-30/maxliving_area-200?latitudeLow=37.959099&amp;latitudeHigh=37.960900&amp;longitudeLow=23.718862&amp;longitudeHigh=23.721137&amp;zoom=18</t>
  </si>
  <si>
    <t>34274_0</t>
  </si>
  <si>
    <t>Apartment in Plateia Vathi</t>
  </si>
  <si>
    <t>Eighth floor apartment (11Α) of an area of 108,69 sq.m. on a landplot of a total area of 325,00 sq.m. with an exclusive use of an underground storage space (4) of an area of 5,20 sq.m.</t>
  </si>
  <si>
    <t>54, Chalkokondili str.</t>
  </si>
  <si>
    <t xml:space="preserve"> 37° 59' 11.40" N  23° 43' 35.76" E</t>
  </si>
  <si>
    <t>https://www.realestateonline.gr/en/akinito/34274_0-APP_16463</t>
  </si>
  <si>
    <t>https://www.spitogatos.gr/en/for_sale-homes/map-search/minliving_area-30/maxliving_area-200?latitudeLow=37.985599&amp;latitudeHigh=37.987400&amp;longitudeLow=23.725461&amp;longitudeHigh=23.727738&amp;zoom=18</t>
  </si>
  <si>
    <t>34304_0</t>
  </si>
  <si>
    <t>Apartment in Thymarakia, Athens</t>
  </si>
  <si>
    <t>Ground floor apartment of an area of 89,00 sq.m. that comprises of a living room, dining room, hall, kitchen, bathroom and a bedroom. It needs renovation.</t>
  </si>
  <si>
    <t>5, Sardeon str.</t>
  </si>
  <si>
    <t xml:space="preserve"> 38°  0'  5.04" N  23° 43' 31.80" E</t>
  </si>
  <si>
    <t>https://www.realestateonline.gr/en/akinito/34304_0-APP_18081</t>
  </si>
  <si>
    <t>https://www.spitogatos.gr/en/for_sale-homes/map-search/minliving_area-30/maxliving_area-200?latitudeLow=38.000499&amp;latitudeHigh=38.002300&amp;longitudeLow=23.724361&amp;longitudeHigh=23.726638&amp;zoom=18</t>
  </si>
  <si>
    <t>34356_1</t>
  </si>
  <si>
    <t>Apartment in Agios Loukas, Athens</t>
  </si>
  <si>
    <t>THE PROPERTY MIGHT BE ELIGIBLE FOR THE "MY HOME" MORTAGE PROGRAM.</t>
  </si>
  <si>
    <t>9, Stefanou Vizantiou &amp; Agiou Louka, Agios Loukas</t>
  </si>
  <si>
    <t xml:space="preserve"> 38°  0' 54.72" N  23° 44'  3.12" E</t>
  </si>
  <si>
    <t>https://www.realestateonline.gr/en/akinito/34356_1-APP_19475</t>
  </si>
  <si>
    <t>https://www.spitogatos.gr/en/for_sale-homes/map-search/minliving_area-30/maxliving_area-200?latitudeLow=38.014299&amp;latitudeHigh=38.016100&amp;longitudeLow=23.733061&amp;longitudeHigh=23.735338&amp;zoom=18</t>
  </si>
  <si>
    <t>34358_1</t>
  </si>
  <si>
    <t>Apartment in Attiki's square, Athens</t>
  </si>
  <si>
    <t>Fifth floor apartment (E-1) of an area of 57,68 sq.m., consisting of a hall, kitchen, living room, 1 bedroom, and a bathroom. There's an elevator in the building.</t>
  </si>
  <si>
    <t>1, Thirsiou str.</t>
  </si>
  <si>
    <t xml:space="preserve"> 37° 59' 52.80" N  23° 43' 20.28" E</t>
  </si>
  <si>
    <t>https://www.spitogatos.gr/en/for_sale-homes/map-search/minliving_area-30/maxliving_area-200?latitudeLow=37.997099&amp;latitudeHigh=37.998900&amp;longitudeLow=23.721161&amp;longitudeHigh=23.723438&amp;zoom=18</t>
  </si>
  <si>
    <t>34391_0</t>
  </si>
  <si>
    <t>Apartment in Ampelokipoi, Athens</t>
  </si>
  <si>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</si>
  <si>
    <t>23, Mikras Asias str.</t>
  </si>
  <si>
    <t xml:space="preserve"> 37° 58' 53.04" N  23° 45' 40.32" E</t>
  </si>
  <si>
    <t>https://www.realestateonline.gr/en/akinito/34391_0-APP_18086</t>
  </si>
  <si>
    <t>https://www.spitogatos.gr/en/for_sale-homes/map-search/minliving_area-30/maxliving_area-200?latitudeLow=37.980499&amp;latitudeHigh=37.982300&amp;longitudeLow=23.760061&amp;longitudeHigh=23.762338&amp;zoom=18</t>
  </si>
  <si>
    <t>34408_0</t>
  </si>
  <si>
    <t>Residence building in Gazi, Athens</t>
  </si>
  <si>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</si>
  <si>
    <t>60, Triptolemou Str.</t>
  </si>
  <si>
    <t xml:space="preserve"> 37° 58' 48.00" N  23° 42' 36.00" E</t>
  </si>
  <si>
    <t>https://www.realestateonline.gr/en/akinito/34408_0-RES_17700</t>
  </si>
  <si>
    <t>https://www.spitogatos.gr/en/for_sale-homes/map-search/minliving_area-30/maxliving_area-200?latitudeLow=37.979099&amp;latitudeHigh=37.980900&amp;longitudeLow=23.708861&amp;longitudeHigh=23.711138&amp;zoom=18</t>
  </si>
  <si>
    <t>34410_0</t>
  </si>
  <si>
    <t>Apartment in Amerikis Square, Athens</t>
  </si>
  <si>
    <t>Second floor apartment (B4) of an area of 76,85 sq.m. that comprises of a living room, kitchen, bathroom and two bedrooms. There is elevator in the building. The property is rented until 30/10/2026 with a monthly amount of 310 € and visiting it is not possible.</t>
  </si>
  <si>
    <t>62-64 Kefalinias &amp; 12 Kalymnou str.</t>
  </si>
  <si>
    <t xml:space="preserve"> 37° 59' 58.56" N  23° 43' 51.96" E</t>
  </si>
  <si>
    <t>https://www.realestateonline.gr/en/akinito/34410_0-APP_18303</t>
  </si>
  <si>
    <t>https://www.spitogatos.gr/en/for_sale-homes/map-search/minliving_area-30/maxliving_area-200?latitudeLow=37.998699&amp;latitudeHigh=38.000500&amp;longitudeLow=23.729961&amp;longitudeHigh=23.732238&amp;zoom=18</t>
  </si>
  <si>
    <t>34412_0</t>
  </si>
  <si>
    <t>Ground floor apartment (4) of an area of 79.73 sq.m. consisting of hall, living room, kitchen, 2 bedrooms, 1 storage room (former service room), bathroom. It, also, has 1 basement warehouse of an area of ​​2.50 m. It needs renovation. There is elevator in the building.</t>
  </si>
  <si>
    <t>24, Kalimnou str.</t>
  </si>
  <si>
    <t>https://www.realestateonline.gr/en/akinito/34412_0-APP_17976</t>
  </si>
  <si>
    <t>34437_0</t>
  </si>
  <si>
    <t>Apartment in Ano Patisia, Athens</t>
  </si>
  <si>
    <t xml:space="preserve"> Fourteenth Floor Apartment (6) of an area of 110,70 sq.m. on a landplot of a total area of 4.088,05 sq.m. </t>
  </si>
  <si>
    <t>8 Doxara, 10-12 Tirinthos &amp; Pandionos Ave.</t>
  </si>
  <si>
    <t xml:space="preserve"> 38°  1' 32.88" N  23° 44'  2.04" E</t>
  </si>
  <si>
    <t>https://www.realestateonline.gr/en/akinito/34437_0-APP_16542</t>
  </si>
  <si>
    <t>https://www.spitogatos.gr/en/for_sale-homes/map-search/minliving_area-30/maxliving_area-200?latitudeLow=38.024899&amp;latitudeHigh=38.026700&amp;longitudeLow=23.732761&amp;longitudeHigh=23.735038&amp;zoom=18</t>
  </si>
  <si>
    <t>34497_0</t>
  </si>
  <si>
    <t>Apartment in Plateia Vikotrias</t>
  </si>
  <si>
    <t xml:space="preserve"> Third floor apartment, C-1, surface 100.92 sq.m. on a plot of 127.95 sq.m.</t>
  </si>
  <si>
    <t>82, Fylis &amp; Filippidou str.</t>
  </si>
  <si>
    <t xml:space="preserve"> 37° 59' 39.63" N  23° 43' 42.88" E</t>
  </si>
  <si>
    <t>https://www.realestateonline.gr/en/akinito/34497_0-APP_16430</t>
  </si>
  <si>
    <t>https://www.spitogatos.gr/en/for_sale-homes/map-search/minliving_area-30/maxliving_area-200?latitudeLow=37.993440&amp;latitudeHigh=37.995242&amp;longitudeLow=23.727439&amp;longitudeHigh=23.729716&amp;zoom=18</t>
  </si>
  <si>
    <t>34512_0</t>
  </si>
  <si>
    <t>Apartment in Agios Panteleimonas, Athens</t>
  </si>
  <si>
    <t>Third floor apartment (no 36) of an area of 61,00 sq.m. that comprises of a living room-kitchen, bathroom and two bedrooms. There is an elevator in the building.</t>
  </si>
  <si>
    <t>107-109, Alkamenous str.</t>
  </si>
  <si>
    <t>https://www.realestateonline.gr/en/akinito/34512_0-APP_18918</t>
  </si>
  <si>
    <t>34514_0</t>
  </si>
  <si>
    <t>Apartment in Attica Square, Athens</t>
  </si>
  <si>
    <t>Ground floor elevated apartment (2) of a total area of 51,16 sq.m. Comprises of one bedroom, living room, kitchen, WC and a hall. The building has an elevator. The property is leased until 31/03/2027 for €240/month.</t>
  </si>
  <si>
    <t>Agaios 23A</t>
  </si>
  <si>
    <t xml:space="preserve"> 37° 59' 55.32" N  23° 43' 31.08" E</t>
  </si>
  <si>
    <t>https://www.realestateonline.gr/en/akinito/34514_0-APP_19066</t>
  </si>
  <si>
    <t>https://www.spitogatos.gr/en/for_sale-homes/map-search/minliving_area-30/maxliving_area-200?latitudeLow=37.997799&amp;latitudeHigh=37.999600&amp;longitudeLow=23.724161&amp;longitudeHigh=23.726438&amp;zoom=18</t>
  </si>
  <si>
    <t>34664_0</t>
  </si>
  <si>
    <t>Apartment in Kato Patisia, Athens</t>
  </si>
  <si>
    <t>Ground floor apartment (1) of an area of 53,20 sq.m. that comprises of a living room, kitchen, bathroom and a bedroom. Visiting the property is not possible.</t>
  </si>
  <si>
    <t>160 Ionias Ave</t>
  </si>
  <si>
    <t xml:space="preserve"> 38°  0' 39.24" N  23° 43' 42.96" E</t>
  </si>
  <si>
    <t>https://www.realestateonline.gr/en/akinito/34664_0-APP_18295</t>
  </si>
  <si>
    <t>https://www.spitogatos.gr/en/for_sale-homes/map-search/minliving_area-30/maxliving_area-200?latitudeLow=38.009999&amp;latitudeHigh=38.011800&amp;longitudeLow=23.727461&amp;longitudeHigh=23.729738&amp;zoom=18</t>
  </si>
  <si>
    <t>34688_0</t>
  </si>
  <si>
    <t>Apartment near Plateia Viktorias</t>
  </si>
  <si>
    <t>First floor apartment under data "A-3" with an area of ​​70.00 sq.m. on a plot of land of 264.80 sq.m. The apartment is rented until 31/10/2025 with an amount of 260 euros. Visiting the property is not possible.</t>
  </si>
  <si>
    <t>Evnardou and Alkiviadou 65</t>
  </si>
  <si>
    <t xml:space="preserve"> 37° 59' 40.56" N  23° 43' 34.32" E</t>
  </si>
  <si>
    <t>https://www.realestateonline.gr/en/akinito/34688_0-APP_16113</t>
  </si>
  <si>
    <t>https://www.spitogatos.gr/en/for_sale-homes/map-search/minliving_area-30/maxliving_area-200?latitudeLow=37.993699&amp;latitudeHigh=37.995500&amp;longitudeLow=23.725061&amp;longitudeHigh=23.727338&amp;zoom=18</t>
  </si>
  <si>
    <t>34694_0</t>
  </si>
  <si>
    <t>Apartment in Ampelokypoi, Athens</t>
  </si>
  <si>
    <t>5th floor apartment (E-1) total area of 79.80 sq.m. It consists of 1 bedroom, living room, dining room, kitchen &amp; bathroom. It has an open horizon view. The building has an elevator. Needs renovation.</t>
  </si>
  <si>
    <t>57-59 Khfisias Ave.</t>
  </si>
  <si>
    <t xml:space="preserve"> 37° 59' 23.28" N  23° 45' 52.20" E</t>
  </si>
  <si>
    <t>https://www.realestateonline.gr/en/akinito/34694_0-APP_17914</t>
  </si>
  <si>
    <t>https://www.spitogatos.gr/en/for_sale-homes/map-search/minliving_area-30/maxliving_area-200?latitudeLow=37.988899&amp;latitudeHigh=37.990700&amp;longitudeLow=23.763361&amp;longitudeHigh=23.765638&amp;zoom=18</t>
  </si>
  <si>
    <t>34709_0</t>
  </si>
  <si>
    <t>Ground floor apartment (6) of an area of 52,45 sq.m. that comprises of a living room, kitchen, bathroom and a bedroom.</t>
  </si>
  <si>
    <t>3, Karpathou str.</t>
  </si>
  <si>
    <t>https://www.realestateonline.gr/en/akinito/34709_0-APP_18296</t>
  </si>
  <si>
    <t>34751_0</t>
  </si>
  <si>
    <t>Apartment in Kypseli, Athens</t>
  </si>
  <si>
    <t xml:space="preserve">Ground floor apartment (ΣΤΟΥΝΤΙΟ) of an area of 19,81 sq.m. that comprises of one room with a kitchen. </t>
  </si>
  <si>
    <t>23, Spetson str.</t>
  </si>
  <si>
    <t xml:space="preserve"> 37° 59' 47.76" N  23° 44' 14.64" E</t>
  </si>
  <si>
    <t>https://www.realestateonline.gr/en/akinito/34751_0-APP_18104</t>
  </si>
  <si>
    <t>https://www.spitogatos.gr/en/for_sale-homes/map-search/minliving_area-30/maxliving_area-200?latitudeLow=37.995699&amp;latitudeHigh=37.997500&amp;longitudeLow=23.736261&amp;longitudeHigh=23.738538&amp;zoom=18</t>
  </si>
  <si>
    <t>34760_0</t>
  </si>
  <si>
    <t>Ground floor apartment (I3) of an area of 52,08 sq.m. consisting of a living room, kitchen, bathroom and a bedroom.</t>
  </si>
  <si>
    <t>135, Alkamenous str.</t>
  </si>
  <si>
    <t>https://www.realestateonline.gr/en/akinito/34760_0-APP_18304</t>
  </si>
  <si>
    <t>34768_0</t>
  </si>
  <si>
    <t>Apartment in Kolonos, Athens</t>
  </si>
  <si>
    <t xml:space="preserve">Second floor apartment (Β-1) of an area of 111,77 sq.m. with an exclusive use of a pilotis parking space (Ρ2) of an area of 10,13 sq.m. The apartment comprises of a living room, kitchen, 2 bathrooms, wc and 2 bedrooms. There is an elevator in the building. </t>
  </si>
  <si>
    <t>48, Epidavrou str.</t>
  </si>
  <si>
    <t xml:space="preserve"> 37° 59' 27.24" N  23° 42' 47.52" E</t>
  </si>
  <si>
    <t>https://www.realestateonline.gr/en/akinito/34768_0-APP_18220</t>
  </si>
  <si>
    <t>https://www.spitogatos.gr/en/for_sale-homes/map-search/minliving_area-30/maxliving_area-200?latitudeLow=37.989999&amp;latitudeHigh=37.991800&amp;longitudeLow=23.712061&amp;longitudeHigh=23.714338&amp;zoom=18</t>
  </si>
  <si>
    <t>34787_0</t>
  </si>
  <si>
    <t xml:space="preserve">Apartment  in Neos Kosmos, Athens </t>
  </si>
  <si>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</si>
  <si>
    <t>18A, Kriton str.</t>
  </si>
  <si>
    <t xml:space="preserve"> 37° 57' 15.12" N  23° 43' 28.20" E</t>
  </si>
  <si>
    <t>https://www.realestateonline.gr/en/akinito/34787_0-APP_18236</t>
  </si>
  <si>
    <t>https://www.spitogatos.gr/en/for_sale-homes/map-search/minliving_area-30/maxliving_area-200?latitudeLow=37.953299&amp;latitudeHigh=37.955100&amp;longitudeLow=23.723362&amp;longitudeHigh=23.725637&amp;zoom=18</t>
  </si>
  <si>
    <t>34834_0</t>
  </si>
  <si>
    <t>Second floor apartment (B2) of a total area of ​​158,10 sq.m. consisting of living room, kitchen, bathroom &amp; 2 bedrooms. Needs renovation. There's elevator in the building.</t>
  </si>
  <si>
    <t>Koraka &amp; 65 Strat.Dagkli str.</t>
  </si>
  <si>
    <t>https://www.realestateonline.gr/en/akinito/34834_0-APP_18307</t>
  </si>
  <si>
    <t>34848_0</t>
  </si>
  <si>
    <t>Apartment in Ano Kypseli</t>
  </si>
  <si>
    <t xml:space="preserve">  Sixth floor apartment (ΣΤ3) of a total area of 112,97 sq.m. on a landplot of a total area of  614,21 sq.m. The property is leased until 30/4/2025 with the amount of 763,85€. Visiting the property in not possible.</t>
  </si>
  <si>
    <t>56, Pithias str. &amp; Aeton, Ano Kipseli</t>
  </si>
  <si>
    <t xml:space="preserve"> 38°  0'  0.00" N  23° 45'  0.00" E</t>
  </si>
  <si>
    <t>https://www.realestateonline.gr/en/akinito/34848_0-APP_16826</t>
  </si>
  <si>
    <t>https://www.spitogatos.gr/en/for_sale-homes/map-search/minliving_area-30/maxliving_area-200?latitudeLow=37.999099&amp;latitudeHigh=38.000900&amp;longitudeLow=23.748861&amp;longitudeHigh=23.751138&amp;zoom=18</t>
  </si>
  <si>
    <t>34879_0</t>
  </si>
  <si>
    <t>Apartment in Larissa Station, Athens</t>
  </si>
  <si>
    <t>First floor apartment (A-2) of an area of 67 sq.m. on a land plot of a total area of 262,32 sq.m. Visiting the property is not possible.</t>
  </si>
  <si>
    <t>107, Samou str.</t>
  </si>
  <si>
    <t>Saronic Islands</t>
  </si>
  <si>
    <t>Salamis Island</t>
  </si>
  <si>
    <t xml:space="preserve"> 37° 59' 39.48" N  23° 43' 20.28" E</t>
  </si>
  <si>
    <t>https://www.realestateonline.gr/en/akinito/34879_0-APP_16436</t>
  </si>
  <si>
    <t>https://www.spitogatos.gr/en/for_sale-homes/map-search/minliving_area-30/maxliving_area-200?latitudeLow=37.993399&amp;latitudeHigh=37.995200&amp;longitudeLow=23.721161&amp;longitudeHigh=23.723438&amp;zoom=18</t>
  </si>
  <si>
    <t>34880_0</t>
  </si>
  <si>
    <t>Apartment in Plateia Viktorias</t>
  </si>
  <si>
    <t>Second floor apartment (8) of an area of 91,23 sq.m. on a land plot of total area of 240,56 sq.m. The apartment is rented until 31/10/2027 with a monthly amount of €290. Visiting the property is not possible.</t>
  </si>
  <si>
    <t>48, Acharnon Str.</t>
  </si>
  <si>
    <t xml:space="preserve"> 37° 59' 27.60" N  23° 43' 37.20" E</t>
  </si>
  <si>
    <t>https://www.realestateonline.gr/en/akinito/34880_0-APP_16112</t>
  </si>
  <si>
    <t>https://www.spitogatos.gr/en/for_sale-homes/map-search/minliving_area-30/maxliving_area-200?latitudeLow=37.990099&amp;latitudeHigh=37.991900&amp;longitudeLow=23.725861&amp;longitudeHigh=23.728138&amp;zoom=18</t>
  </si>
  <si>
    <t>34991_0</t>
  </si>
  <si>
    <t>Apartment in Attikis Square, Athens</t>
  </si>
  <si>
    <t xml:space="preserve">Fifth floor apartment (Ε-1) of an area of 88,10 sq.m. that comprises of a hall, living room, kitchen, bathroom and two bedrooms. There is an elevator in the building. </t>
  </si>
  <si>
    <t>82, Agathoupoleos str.</t>
  </si>
  <si>
    <t xml:space="preserve"> 38°  0'  7.92" N  23° 43' 36.12" E</t>
  </si>
  <si>
    <t>https://www.realestateonline.gr/en/akinito/34991_0-APP_18115</t>
  </si>
  <si>
    <t>https://www.spitogatos.gr/en/for_sale-homes/map-search/minliving_area-30/maxliving_area-200?latitudeLow=38.001299&amp;latitudeHigh=38.003100&amp;longitudeLow=23.725561&amp;longitudeHigh=23.727838&amp;zoom=18</t>
  </si>
  <si>
    <t>35005_0</t>
  </si>
  <si>
    <t>Apartment in Vathis Square, Athens</t>
  </si>
  <si>
    <t xml:space="preserve">Seventh floor apartment (33) of an area of 74,80 sq.m. that comprises of a hall, living room, kitchen, bathroom and two bedrooms. There is an elevator in the building. </t>
  </si>
  <si>
    <t>52, Chalkokondyli str.</t>
  </si>
  <si>
    <t xml:space="preserve"> 37° 59' 24.00" N  23° 43' 48.00" E</t>
  </si>
  <si>
    <t>https://www.realestateonline.gr/en/akinito/35005_0-APP_18116</t>
  </si>
  <si>
    <t>https://www.spitogatos.gr/en/for_sale-homes/map-search/minliving_area-30/maxliving_area-200?latitudeLow=37.989099&amp;latitudeHigh=37.990900&amp;longitudeLow=23.728861&amp;longitudeHigh=23.731138&amp;zoom=18</t>
  </si>
  <si>
    <t>35044_0</t>
  </si>
  <si>
    <t>Apartment in Pagrati</t>
  </si>
  <si>
    <t>Third floor apartment of an area of 101.97 sq.m. on a landplot of 138.50 sq.m. The property is rented until 31/8/2027 and monthly rental 750,00 euros.</t>
  </si>
  <si>
    <t>Laertou 42 &amp; Artotini 50</t>
  </si>
  <si>
    <t>37°57'58.4"N 23°45'17.4"E</t>
  </si>
  <si>
    <t>https://www.realestateonline.gr/en/akinito/35044_0-APP_16117</t>
  </si>
  <si>
    <t>https://www.spitogatos.gr/en/for_sale-homes/map-search/minliving_area-30/maxliving_area-200?latitudeLow=37.965321&amp;latitudeHigh=37.967123&amp;longitudeLow=23.753695&amp;longitudeHigh=23.755971&amp;zoom=18</t>
  </si>
  <si>
    <t>35058_0</t>
  </si>
  <si>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</si>
  <si>
    <t>6, Nektariou str.</t>
  </si>
  <si>
    <t xml:space="preserve"> 38°  0'  0.72" N  23° 43' 43.32" E</t>
  </si>
  <si>
    <t>https://www.realestateonline.gr/en/akinito/35058_0-APP_19013</t>
  </si>
  <si>
    <t>https://www.spitogatos.gr/en/for_sale-homes/map-search/minliving_area-30/maxliving_area-200?latitudeLow=37.999299&amp;latitudeHigh=38.001100&amp;longitudeLow=23.727561&amp;longitudeHigh=23.729838&amp;zoom=18</t>
  </si>
  <si>
    <t>35068_0</t>
  </si>
  <si>
    <t>Apartment in Agios Nikolaos, Athens</t>
  </si>
  <si>
    <t>Ground floor apartment (5) of an area of 43,00 sq.m. that comprises of a hall, living room, kitchen, bathroom and a bedroom.</t>
  </si>
  <si>
    <t>Ionias Ave &amp; 2, Sp. Georgiadi str.</t>
  </si>
  <si>
    <t xml:space="preserve"> 38°  0' 25.92" N  23° 43' 39.00" E</t>
  </si>
  <si>
    <t>https://www.realestateonline.gr/en/akinito/35068_0-APP_18122</t>
  </si>
  <si>
    <t>https://www.spitogatos.gr/en/for_sale-homes/map-search/minliving_area-30/maxliving_area-200?latitudeLow=38.006299&amp;latitudeHigh=38.008100&amp;longitudeLow=23.726361&amp;longitudeHigh=23.728638&amp;zoom=18</t>
  </si>
  <si>
    <t>35124_0</t>
  </si>
  <si>
    <t>First floor apartment (IIA2) of a total area of 89,90 sq.m. Comprises of a living room, a dining room, 2 bedrooms, hall, kitchen and a WC. Has a balcony facing the vacant lot of the building. Visiting the property is not possible.</t>
  </si>
  <si>
    <t>54 Kypselis Str.</t>
  </si>
  <si>
    <t xml:space="preserve"> 37° 59' 57.12" N  23° 44' 19.68" E</t>
  </si>
  <si>
    <t>https://www.realestateonline.gr/en/akinito/35124_0-APP_17877</t>
  </si>
  <si>
    <t>https://www.spitogatos.gr/en/for_sale-homes/map-search/minliving_area-30/maxliving_area-200?latitudeLow=37.998299&amp;latitudeHigh=38.000100&amp;longitudeLow=23.737661&amp;longitudeHigh=23.739938&amp;zoom=18</t>
  </si>
  <si>
    <t>35129_0</t>
  </si>
  <si>
    <t>Apartment in Nea Filothei, Athens</t>
  </si>
  <si>
    <t>First floor apartment (1) of an area of 66,45 sq.m. that comprises of a living room-kitchen, bathroom and two bedrooms. There is an elevator in the building. The property is leased up until 31/05/2027 with monthly lease of €500</t>
  </si>
  <si>
    <t>21, Nik.Florou str.</t>
  </si>
  <si>
    <t xml:space="preserve"> 37° 59' 55.68" N  23° 45' 47.88" E</t>
  </si>
  <si>
    <t>https://www.realestateonline.gr/en/akinito/35129_0-APP_18313</t>
  </si>
  <si>
    <t>https://www.spitogatos.gr/en/for_sale-homes/map-search/minliving_area-30/maxliving_area-200?latitudeLow=37.997899&amp;latitudeHigh=37.999700&amp;longitudeLow=23.762161&amp;longitudeHigh=23.764438&amp;zoom=18</t>
  </si>
  <si>
    <t>35162_0</t>
  </si>
  <si>
    <t>Apartment in Koliatsou Square, Athens</t>
  </si>
  <si>
    <t>Fifth floor apartment (E-1) of an area of 65.40 sq.m. with a basement storage space (No. 15) of an area of 2.22 sq.m. on a land plot of a total area of 345,97 sq.m.</t>
  </si>
  <si>
    <t>1, Sifnou Str.</t>
  </si>
  <si>
    <t xml:space="preserve"> 38°  0' 36.72" N  23° 44'  4.92" E</t>
  </si>
  <si>
    <t>https://www.realestateonline.gr/en/akinito/35162_0-APP_17380</t>
  </si>
  <si>
    <t>https://www.spitogatos.gr/en/for_sale-homes/map-search/minliving_area-30/maxliving_area-200?latitudeLow=38.009299&amp;latitudeHigh=38.011100&amp;longitudeLow=23.733561&amp;longitudeHigh=23.735838&amp;zoom=18</t>
  </si>
  <si>
    <t>35209_0</t>
  </si>
  <si>
    <t>Apartment in Kipseli, Athens</t>
  </si>
  <si>
    <t>Elevated ground floor apartment (1) of an area of ​​121.65 sq.m. consisting of living room, kitchen, storage room, 2 bedrooms, wc, bathroom. It has the exclusive use of a basement warehouse (1) of an area of ​​2.32 sq.m. It needs renovation.</t>
  </si>
  <si>
    <t>49, Lelas Karagianni str.</t>
  </si>
  <si>
    <t xml:space="preserve"> 38°  0' 11.16" N  23° 44' 10.68" E</t>
  </si>
  <si>
    <t>https://www.realestateonline.gr/en/akinito/35209_0-APP_17917</t>
  </si>
  <si>
    <t>https://www.spitogatos.gr/en/for_sale-homes/map-search/minliving_area-30/maxliving_area-200?latitudeLow=38.002199&amp;latitudeHigh=38.004000&amp;longitudeLow=23.735161&amp;longitudeHigh=23.737438&amp;zoom=18</t>
  </si>
  <si>
    <t>35225_0</t>
  </si>
  <si>
    <t xml:space="preserve">Ground floor apartment (Ι-2) of an area of 80,50 sq.m. that comprises of a living room, dining room, kitchen, bathroom and a bedroom. </t>
  </si>
  <si>
    <t>27, Prousis, 4-8 Adanon &amp; 96-96A Liosion str.</t>
  </si>
  <si>
    <t xml:space="preserve"> 37° 59' 24.00" N  23° 43' 12.00" E</t>
  </si>
  <si>
    <t>https://www.realestateonline.gr/en/akinito/35225_0-APP_18130</t>
  </si>
  <si>
    <t>https://www.spitogatos.gr/en/for_sale-homes/map-search/minliving_area-30/maxliving_area-200?latitudeLow=37.989099&amp;latitudeHigh=37.990900&amp;longitudeLow=23.718861&amp;longitudeHigh=23.721138&amp;zoom=18</t>
  </si>
  <si>
    <t>34087_1</t>
  </si>
  <si>
    <t>Apartment in Aigaleo</t>
  </si>
  <si>
    <t>Ground floor apartment (1) with a total area of ​​105.36 sq.m. with loft. Ground floor 73.51 sq.m. with living room, bathroom, kitchen &amp; 1 bedroom. Attic 31.85 sq.m. with bathroom &amp; 1 bedroom.</t>
  </si>
  <si>
    <t xml:space="preserve">48, Nestoros Str. </t>
  </si>
  <si>
    <t>Aigaleo</t>
  </si>
  <si>
    <t xml:space="preserve"> 37° 59'  9.27" N  23° 40' 17.31" E</t>
  </si>
  <si>
    <t>https://www.realestateonline.gr/en/akinito/34087_1-APP_18074</t>
  </si>
  <si>
    <t>https://www.spitogatos.gr/en/for_sale-homes/map-search/minliving_area-30/maxliving_area-200?latitudeLow=37.985007&amp;latitudeHigh=37.986809&amp;longitudeLow=23.670336&amp;longitudeHigh=23.672613&amp;zoom=18</t>
  </si>
  <si>
    <t>33686_0</t>
  </si>
  <si>
    <t>Residence in Aegina, Attica</t>
  </si>
  <si>
    <t>Two-storey house with a total area of ​​283,53 sq.m. within a landplot of area of ​​sq.m. It consists of a basement of 114,13 sq.m. with storage space &amp; wc. Ground floor 84,70sq.m. with 2 studios with independent entrances, kitchen, living room, 1 bedroom &amp; bathroom. First floor 84,70 sq.m. consisting of 2 studios with independent entrances, kitchen, living room, 1 bedroom &amp; bathroom.</t>
  </si>
  <si>
    <t>Location faneromeni or Lambiri</t>
  </si>
  <si>
    <t>Aegina</t>
  </si>
  <si>
    <t xml:space="preserve"> 37° 44' 24.00" N  23° 26' 24.00" E</t>
  </si>
  <si>
    <t>https://www.realestateonline.gr/en/akinito/33686_0-RES_18158</t>
  </si>
  <si>
    <t>https://www.spitogatos.gr/en/for_sale-homes/map-search/minliving_area-30/maxliving_area-200?latitudeLow=37.737972&amp;latitudeHigh=37.742027&amp;longitudeLow=23.437447&amp;longitudeHigh=23.442552&amp;zoom=18</t>
  </si>
  <si>
    <t>33893_0</t>
  </si>
  <si>
    <t>Residence in Aegina</t>
  </si>
  <si>
    <t>Residence of a total area of ​​224.15 sq.m. consisting of a basement of 101.35 sq.m. with auxiliary spaces, a ground floor of 101.35 sq.m. with kitchen, living room, 2 bedrooms, bathroom, wc &amp; a ground floor separate warehouse of 21.45 sq.m., on a land plot of 600.10 sq.m. The property is being used and visiting it is not possible.</t>
  </si>
  <si>
    <t>Municipal street</t>
  </si>
  <si>
    <t>37°45'48.0"N 23°27'55.3"E</t>
  </si>
  <si>
    <t>https://www.realestateonline.gr/en/akinito/33893_0-RES_18650</t>
  </si>
  <si>
    <t>34543_0</t>
  </si>
  <si>
    <t>Residence in Aigina</t>
  </si>
  <si>
    <t>Uncompleted residence of a total area of 267,71 sq.m. on a landplot of an area of 525 sq.m. It comprises of a basement of 108,48 sq.m. with a parking space, storage space &amp; wc, of a ground floor of 79,55 sq.m. with a living room, kitchen, bathroom &amp; a bedroom and of a first floor of 79,68 sq.m. with a living room, bathroom &amp; 2 bedrooms. The asset offers a sea view.</t>
  </si>
  <si>
    <t>Vathipotamos</t>
  </si>
  <si>
    <t xml:space="preserve"> 37° 46'  8.58" N  23° 29' 47.95" E</t>
  </si>
  <si>
    <t>https://www.realestateonline.gr/en/akinito/34543_0-RES_18919</t>
  </si>
  <si>
    <t>https://www.spitogatos.gr/en/for_sale-homes/map-search/minliving_area-30/maxliving_area-200?latitudeLow=37.768149&amp;latitudeHigh=37.769950&amp;longitudeLow=23.495517&amp;longitudeHigh=23.497787&amp;zoom=18</t>
  </si>
  <si>
    <t>33700_0</t>
  </si>
  <si>
    <t>Apartment in Alimos, Attica</t>
  </si>
  <si>
    <t>First floor apartment, 107.70 sq.m. consisting of 3 bedrooms, kitchen, living room, bathroom. The property does not have an elevator. The property is leased until 31/08/2027 at €600/month. It does not have an elevator.</t>
  </si>
  <si>
    <t>30 Aristofanous str.</t>
  </si>
  <si>
    <t>South Sector of Athens</t>
  </si>
  <si>
    <t>Alimos</t>
  </si>
  <si>
    <t xml:space="preserve"> 37° 55' 12.00" N  23° 44' 24.00" E</t>
  </si>
  <si>
    <t>https://www.realestateonline.gr/en/akinito/33700_0-APP_18023</t>
  </si>
  <si>
    <t>https://www.spitogatos.gr/en/for_sale-homes/map-search/minliving_area-30/maxliving_area-200?latitudeLow=37.919099&amp;latitudeHigh=37.920900&amp;longitudeLow=23.738862&amp;longitudeHigh=23.741137&amp;zoom=18</t>
  </si>
  <si>
    <t>33788_0</t>
  </si>
  <si>
    <t>Apartment in Alimos</t>
  </si>
  <si>
    <t xml:space="preserve">Maisonette of a total area of 337,93 sq.m. that comprises of a ground floor residence (ΙΣ) of an area of 183,48 sq.m and a basement storage space (ΑΠ-1) of an area of 154,45 sq.m. with  500؉ co-ownership on a land plot of 563,43 sq.m. </t>
  </si>
  <si>
    <t xml:space="preserve">22A Kosti Palama &amp; Mavili Av. </t>
  </si>
  <si>
    <t xml:space="preserve"> 37° 54' 35.80" N  23° 43' 18.40" E</t>
  </si>
  <si>
    <t>https://www.realestateonline.gr/en/akinito/33788_0-RES_15930</t>
  </si>
  <si>
    <t>https://www.spitogatos.gr/en/for_sale-homes/map-search/minliving_area-30/maxliving_area-200?latitudeLow=37.909043&amp;latitudeHigh=37.910845&amp;longitudeLow=23.720640&amp;longitudeHigh=23.722914&amp;zoom=18</t>
  </si>
  <si>
    <t>33747_0</t>
  </si>
  <si>
    <t>Mezonette in Marousi, Attica</t>
  </si>
  <si>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</si>
  <si>
    <t>3, Alkaiou str.</t>
  </si>
  <si>
    <t>Marousi</t>
  </si>
  <si>
    <t xml:space="preserve"> 38°  3' 36.00" N  23° 49' 48.00" E</t>
  </si>
  <si>
    <t>https://www.realestateonline.gr/en/akinito/33747_0-APP_18672</t>
  </si>
  <si>
    <t>https://www.spitogatos.gr/en/for_sale-homes/map-search/minliving_area-30/maxliving_area-200?latitudeLow=38.059099&amp;latitudeHigh=38.060900&amp;longitudeLow=23.828860&amp;longitudeHigh=23.831139&amp;zoom=18</t>
  </si>
  <si>
    <t>33392_0</t>
  </si>
  <si>
    <t>Maisonette in Thrakomakedones, Attica</t>
  </si>
  <si>
    <t xml:space="preserve">Two-storey residence-maisonette of a total area of 320,82 sq.m. consisting of a basement of 76,53 sq.m. with kitchen, living room, bedroom, storage room, wc, a ground floor of 129,28 sq.m. with kitchen, living room with fireplace, bedroom, bathroom, a first floor of 115,01 sq.m. with 3 bedrooms, bathroom, laundry room, on a part of land plot of 624,00 sq.m. </t>
  </si>
  <si>
    <t>9A, Rodopis str.</t>
  </si>
  <si>
    <t>East Attica</t>
  </si>
  <si>
    <t>Acharnes</t>
  </si>
  <si>
    <t xml:space="preserve"> 38°  7' 48.00" N  23° 45'  0.00" E</t>
  </si>
  <si>
    <t>https://www.realestateonline.gr/en/akinito/33392_0-RES_15928</t>
  </si>
  <si>
    <t>33738_1</t>
  </si>
  <si>
    <t>Apartment in Acharne, Attiki</t>
  </si>
  <si>
    <t>Basement apartment of 78,51 sq.m. consisting of 3 bedrooms, kitchen, bathroom, wc, living room, underground parking space 18.91 sq.m. &amp; apartment 21,40 sq.m. It does not have an elevator.</t>
  </si>
  <si>
    <t>31 Thivon str.</t>
  </si>
  <si>
    <t xml:space="preserve"> 38°  5' 40.05" N  23° 43' 46.37" E</t>
  </si>
  <si>
    <t>https://www.realestateonline.gr/en/akinito/33738_1-APP_18024</t>
  </si>
  <si>
    <t>https://www.spitogatos.gr/en/for_sale-homes/map-search/minliving_area-30/maxliving_area-200?latitudeLow=38.093557&amp;latitudeHigh=38.095359&amp;longitudeLow=23.728407&amp;longitudeHigh=23.730687&amp;zoom=18</t>
  </si>
  <si>
    <t>33738_3</t>
  </si>
  <si>
    <t>Apartment in Acharnai, Attica</t>
  </si>
  <si>
    <t>Ground floor apartment  (B) of 102.61 sq.m. It consists of 2 bedrooms, 1 bathroom, 1 WC, living room &amp; kitchen. The apartment is rented until 31/07/2026 for €370/month. The building does not have an elevator.</t>
  </si>
  <si>
    <t>31 Thivon str</t>
  </si>
  <si>
    <t xml:space="preserve"> 38°  5' 40.03" N  23° 43' 46.44" E</t>
  </si>
  <si>
    <t>https://www.realestateonline.gr/en/akinito/33738_3-APP_17904</t>
  </si>
  <si>
    <t>https://www.spitogatos.gr/en/for_sale-homes/map-search/minliving_area-30/maxliving_area-200?latitudeLow=38.093551&amp;latitudeHigh=38.095353&amp;longitudeLow=23.728426&amp;longitudeHigh=23.730706&amp;zoom=18</t>
  </si>
  <si>
    <t>34166_3</t>
  </si>
  <si>
    <t>3rd floor apartment (C-1) of 116.05 sq.m. consisting of 3 bedrooms, living room, kitchen &amp; 2 bathrooms with an exclusive use of a ground floor open parking space. The apartment has a basement storage room &amp; ground floor, closed parking space. The building has an elevator.</t>
  </si>
  <si>
    <t>9 Kallirois str.</t>
  </si>
  <si>
    <t xml:space="preserve"> 38°  5' 35.08" N  23° 43' 35.83" E</t>
  </si>
  <si>
    <t>https://www.realestateonline.gr/en/akinito/34166_3-APP_18077</t>
  </si>
  <si>
    <t>https://www.spitogatos.gr/en/for_sale-homes/map-search/minliving_area-30/maxliving_area-200?latitudeLow=38.092176&amp;latitudeHigh=38.093978&amp;longitudeLow=23.725479&amp;longitudeHigh=23.727759&amp;zoom=18</t>
  </si>
  <si>
    <t>35028_0</t>
  </si>
  <si>
    <t>Dual aspect second floor apartment (B-1) of a total area of 109,83 sq.m. Comprises of a hall, a living room, a dining room, 2 bedrooms, a kitchen and a WC.</t>
  </si>
  <si>
    <t>95 Kyprou Str. Charavgi or Goulioumes location</t>
  </si>
  <si>
    <t xml:space="preserve"> 38°  4' 28.56" N  23° 44' 36.60" E</t>
  </si>
  <si>
    <t>https://www.realestateonline.gr/en/akinito/35028_0-APP_17875</t>
  </si>
  <si>
    <t>https://www.spitogatos.gr/en/for_sale-homes/map-search/minliving_area-30/maxliving_area-200?latitudeLow=38.073699&amp;latitudeHigh=38.075500&amp;longitudeLow=23.742360&amp;longitudeHigh=23.744639&amp;zoom=18</t>
  </si>
  <si>
    <t>33547_1</t>
  </si>
  <si>
    <t>Maisonette in Voula, Attica</t>
  </si>
  <si>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</si>
  <si>
    <t>12 Spercheiados Str.</t>
  </si>
  <si>
    <t>Vari-Voula-Vouliagmeni</t>
  </si>
  <si>
    <t xml:space="preserve"> 37° 51' 36.00" N  23° 46' 48.00" E</t>
  </si>
  <si>
    <t>https://www.realestateonline.gr/en/akinito/33547_1-RES_15411</t>
  </si>
  <si>
    <t>https://www.spitogatos.gr/en/for_sale-homes/map-search/minliving_area-30/maxliving_area-200?latitudeLow=37.859099&amp;latitudeHigh=37.860900&amp;longitudeLow=23.778863&amp;longitudeHigh=23.781136&amp;zoom=18</t>
  </si>
  <si>
    <t>33547_2</t>
  </si>
  <si>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</si>
  <si>
    <t>35205_0</t>
  </si>
  <si>
    <t>Residence in Voula</t>
  </si>
  <si>
    <t xml:space="preserve"> Maisonette  (K2) of a total area of 308,00 sq.m. comprised of a underground floor of 127,89 sq.m., a groundfloor of an area of 87,04 sq.m., a first floor of an area of 84,70 sq.m. and a  room doma of an area of 8,32 sq.m,  on a landplot  of a total area of 478,14 sq.m.DETAILS: BASEMENT: 1 BEDROOM, KITCHEN-LIVING ROOM WITH FIREPLACE, 1 WC, PARKING, STORAGE, GARDEN. GROUND FLOOR: KITCHEN-LIVING ROOM WITH FIREPLACE, 1 WC, GARDEN. 1ST FLOOR: 2 BEDROOMS, 1 MASTER BEDROOM.</t>
  </si>
  <si>
    <t>42 Rodou str.</t>
  </si>
  <si>
    <t>41°07'52.9"N 24°06'52.7"E</t>
  </si>
  <si>
    <t>https://www.realestateonline.gr/en/akinito/35205_0-RES_16936</t>
  </si>
  <si>
    <t>https://www.spitogatos.gr/en/for_sale-homes/map-search/minliving_area-30/maxliving_area-200?latitudeLow=41.130460&amp;latitudeHigh=41.132261&amp;longitudeLow=24.113447&amp;longitudeHigh=24.115829&amp;zoom=18</t>
  </si>
  <si>
    <t>34949_0</t>
  </si>
  <si>
    <t>Apartment in Vyronas, Attica</t>
  </si>
  <si>
    <t>Third floor apartment (Γ-1) of an area of 69,22 sq.m. that comprises of a living room, kitchen, bathroom and two bedrooms. There isn't an elevator in the building.</t>
  </si>
  <si>
    <t>31, Odemisiou str.</t>
  </si>
  <si>
    <t>Vyronas</t>
  </si>
  <si>
    <t xml:space="preserve"> 37° 57' 50.76" N  23° 45' 24.48" E</t>
  </si>
  <si>
    <t>https://www.realestateonline.gr/en/akinito/34949_0-APP_18298</t>
  </si>
  <si>
    <t>https://www.spitogatos.gr/en/for_sale-homes/map-search/minliving_area-30/maxliving_area-200?latitudeLow=37.963199&amp;latitudeHigh=37.965000&amp;longitudeLow=23.755662&amp;longitudeHigh=23.757937&amp;zoom=18</t>
  </si>
  <si>
    <t>35311_0</t>
  </si>
  <si>
    <t>Apartment in Vironas</t>
  </si>
  <si>
    <t>Ground floor apartment of 57,83 sq.m.,consists of entrance, 3 rooms, kitchen and bathroom. Need renovation.</t>
  </si>
  <si>
    <t>46, Kristalli str&amp;  28, Patriarchou Gr. Str</t>
  </si>
  <si>
    <t xml:space="preserve"> 37° 57' 29.19" N  23° 45' 41.54" E</t>
  </si>
  <si>
    <t>προ του 1955</t>
  </si>
  <si>
    <t>https://www.realestateonline.gr/en/akinito/35311_0-APP_20117</t>
  </si>
  <si>
    <t>https://www.spitogatos.gr/en/for_sale-homes/map-search/minliving_area-30/maxliving_area-200?latitudeLow=37.957207&amp;latitudeHigh=37.959009&amp;longitudeLow=23.760401&amp;longitudeHigh=23.762676&amp;zoom=18</t>
  </si>
  <si>
    <t>35362_1</t>
  </si>
  <si>
    <t>Apartment in Vyrona, Attica</t>
  </si>
  <si>
    <t>First floor apartment (Α-1) of a total area of 60.85 sq.m. consists of an open living room-kitchen, 2 bedrooms, bathroom and a storage room. Partial renovation 2020. The building hasn't an elevator.</t>
  </si>
  <si>
    <t>21 Kerkyras str.</t>
  </si>
  <si>
    <t xml:space="preserve"> 37° 57' 14.84" N  23° 45' 10.36" E</t>
  </si>
  <si>
    <t>https://www.realestateonline.gr/en/akinito/35362_1-APP_20497</t>
  </si>
  <si>
    <t>https://www.spitogatos.gr/en/for_sale-homes/map-search/minliving_area-30/maxliving_area-200?latitudeLow=37.953221&amp;latitudeHigh=37.955023&amp;longitudeLow=23.751739&amp;longitudeHigh=23.754015&amp;zoom=18</t>
  </si>
  <si>
    <t>33687_0</t>
  </si>
  <si>
    <t>Apartment in Evriali,  Glyfada</t>
  </si>
  <si>
    <t xml:space="preserve">Dual-aspect ground floor apartment (1) of an area of 106,86 sq.m. that comprises of a living room, kitchen, office, bathroom &amp; 2 bedrooms. </t>
  </si>
  <si>
    <t>75, Achilleos &amp; Sofias str.</t>
  </si>
  <si>
    <t>Glyfada</t>
  </si>
  <si>
    <t xml:space="preserve"> 37° 52' 48.00" N  23° 45' 36.00" E</t>
  </si>
  <si>
    <t>https://www.realestateonline.gr/en/akinito/33687_0-APP_18294</t>
  </si>
  <si>
    <t>https://www.spitogatos.gr/en/for_sale-homes/map-search/minliving_area-30/maxliving_area-200?latitudeLow=37.879099&amp;latitudeHigh=37.880900&amp;longitudeLow=23.758863&amp;longitudeHigh=23.761136&amp;zoom=18</t>
  </si>
  <si>
    <t>33749_1</t>
  </si>
  <si>
    <t>Apartment in Glyfada</t>
  </si>
  <si>
    <t>2nd floor apartment (B-1) of a total area of 87,50 sq.m. Comprises of 3 bedrooms, living room, kitchen, 1 bathroom and 1 WC. There’s elevator in the building.</t>
  </si>
  <si>
    <t>7, Navarchou Votsi Str.</t>
  </si>
  <si>
    <t xml:space="preserve"> 37° 52' 35.90" N  23° 45'  3.50" E</t>
  </si>
  <si>
    <t>https://www.realestateonline.gr/en/akinito/33749_1-APP_20005</t>
  </si>
  <si>
    <t>https://www.spitogatos.gr/en/for_sale-homes/map-search/minliving_area-30/maxliving_area-200?latitudeLow=37.875737&amp;latitudeHigh=37.877539&amp;longitudeLow=23.749835&amp;longitudeHigh=23.752108&amp;zoom=18</t>
  </si>
  <si>
    <t>33946_0</t>
  </si>
  <si>
    <t>Residence in Glyfada</t>
  </si>
  <si>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</si>
  <si>
    <t>38, Dimokratias str.</t>
  </si>
  <si>
    <t xml:space="preserve"> 37° 52' 48.88" N  23° 44' 50.64" E</t>
  </si>
  <si>
    <t>https://www.realestateonline.gr/en/akinito/33946_0-RES_15755</t>
  </si>
  <si>
    <t>https://www.spitogatos.gr/en/for_sale-homes/map-search/minliving_area-30/maxliving_area-200?latitudeLow=37.879343&amp;latitudeHigh=37.881145&amp;longitudeLow=23.746263&amp;longitudeHigh=23.748536&amp;zoom=18</t>
  </si>
  <si>
    <t>33326_6</t>
  </si>
  <si>
    <t>Apartment Dafni, Attica</t>
  </si>
  <si>
    <t>Corner fifth floor apartment (Δ1) of an area of 103.51 sq.m., consisting of a kitchen, living-dining room, bedroom, office, wc and bathroom. The property is rented until 30/9/2026 with a monthly amount of 150.00 €. It has large balconys with barbecue offering a nice view. There is elevator in the building.</t>
  </si>
  <si>
    <t>Ploutonos and 46, Kuprou str., location Spithari</t>
  </si>
  <si>
    <t xml:space="preserve"> 38° 37'  2.71" N  24°  6' 33.22" E</t>
  </si>
  <si>
    <t>https://www.realestateonline.gr/en/akinito/33326_6-OFF_19439</t>
  </si>
  <si>
    <t>34867_0</t>
  </si>
  <si>
    <t>Apartment in Nea Magnesia, Thessaloniki</t>
  </si>
  <si>
    <t>First floor apartment (Α3) of an area of 64,16 sq.m. with a basement warehouse (Υ7) of an area of 5,39 sq.m. and an open parking space (Ρ11) of an area of 13,25 sq.m. The apartment consists of a living room, kitchen, bathroom &amp; 2 bedrooms. The building has an elevator.</t>
  </si>
  <si>
    <t>14, Ath. Diakou str.</t>
  </si>
  <si>
    <t>Central Macedonia</t>
  </si>
  <si>
    <t>Thessaloniki</t>
  </si>
  <si>
    <t>Delta</t>
  </si>
  <si>
    <t xml:space="preserve"> 40° 41' 14.10" N  22° 50' 50.76" E</t>
  </si>
  <si>
    <t>https://www.realestateonline.gr/en/akinito/34867_0-APP_18922</t>
  </si>
  <si>
    <t>https://www.spitogatos.gr/en/for_sale-homes/map-search/minliving_area-30/maxliving_area-200?latitudeLow=40.686349&amp;latitudeHigh=40.688150&amp;longitudeLow=22.846250&amp;longitudeHigh=22.848616&amp;zoom=18</t>
  </si>
  <si>
    <t>33357_0</t>
  </si>
  <si>
    <t>Residence in Anixi, Attica</t>
  </si>
  <si>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</si>
  <si>
    <t xml:space="preserve">23, Alkaiou &amp; Tourkovasili str. </t>
  </si>
  <si>
    <t>Dionysos</t>
  </si>
  <si>
    <t xml:space="preserve"> 38°  7' 24.19" N  23° 50' 28.08" E</t>
  </si>
  <si>
    <t>https://www.realestateonline.gr/en/akinito/33357_0-RES_18648</t>
  </si>
  <si>
    <t>https://www.spitogatos.gr/en/for_sale-homes/map-search/minliving_area-30/maxliving_area-200?latitudeLow=38.122485&amp;latitudeHigh=38.124287&amp;longitudeLow=23.839992&amp;longitudeHigh=23.842273&amp;zoom=18</t>
  </si>
  <si>
    <t>33729_0</t>
  </si>
  <si>
    <t>Residence in Stamata, Attica</t>
  </si>
  <si>
    <t>Two-storey house with basement, of total area of 531.65 sq.m.,  use as baby care school, consisting of a basement of 230.63 sq.m., a ground floor of 150.51 sq.m. and first floor of 150.51 sq.m. within a plot of 1,000.38 sq.m. It has a beautiful garden. The property is leased with a contractual lease ending on 06-30-2027 and the monthly rent is €1,615.00 plus stamp duty. The property is leased up until 30/6/2027 with a monthly lease of 1.663,45 €.</t>
  </si>
  <si>
    <t>6Β, Piperopoulou Str.</t>
  </si>
  <si>
    <t xml:space="preserve"> 38°  7' 43.90" N  23° 52' 22.00" E</t>
  </si>
  <si>
    <t>https://www.realestateonline.gr/en/akinito/33729_0-RES_17415</t>
  </si>
  <si>
    <t>33797_0</t>
  </si>
  <si>
    <t>Residence in Dionysos, Attica</t>
  </si>
  <si>
    <t>Unfinished residence of a total area of  619,97 sq.m., coprised of a second basement of an area of 158,49 sq.m. with parking spots, a first basement of an area of 149,69 sq.m., a ground floor of an area of 146,77 sq.m., a first floor of an area of 132,07 sq.m. and a second floor of an area of 32,95 sq.m. on a land plot part of an area of 806,68 sq.m. on a land plot of a total area of 1.596,33 sq.m.</t>
  </si>
  <si>
    <t>Dimokratias Av.</t>
  </si>
  <si>
    <t xml:space="preserve"> 37° 57' 38.50" N  23° 44' 20.70" E</t>
  </si>
  <si>
    <t>https://www.realestateonline.gr/en/akinito/33797_0-RES_17293</t>
  </si>
  <si>
    <t>https://www.spitogatos.gr/en/for_sale-homes/map-search/minliving_area-30/maxliving_area-200?latitudeLow=37.959793&amp;latitudeHigh=37.961595&amp;longitudeLow=23.737945&amp;longitudeHigh=23.740221&amp;zoom=18</t>
  </si>
  <si>
    <t>71030_1</t>
  </si>
  <si>
    <t>Maisonette in Kryoneri, Attica</t>
  </si>
  <si>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</si>
  <si>
    <t>11, Kimonos Rizou and Fillelinon Str.</t>
  </si>
  <si>
    <t xml:space="preserve"> 38°  8' 26.96" N  23° 49' 43.96" E</t>
  </si>
  <si>
    <t>https://www.realestateonline.gr/en/akinito/71030_1-RES_19555</t>
  </si>
  <si>
    <t>https://www.spitogatos.gr/en/for_sale-homes/map-search/minliving_area-30/maxliving_area-200?latitudeLow=38.139921&amp;latitudeHigh=38.141723&amp;longitudeLow=23.827737&amp;longitudeHigh=23.830018&amp;zoom=18</t>
  </si>
  <si>
    <t>71030_2</t>
  </si>
  <si>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</si>
  <si>
    <t xml:space="preserve"> 38°  8' 24.73" N  23° 49' 44.36" E</t>
  </si>
  <si>
    <t>https://www.realestateonline.gr/en/akinito/71030_2-RES_19556</t>
  </si>
  <si>
    <t>https://www.spitogatos.gr/en/for_sale-homes/map-search/minliving_area-30/maxliving_area-200?latitudeLow=38.139301&amp;latitudeHigh=38.141103&amp;longitudeLow=23.827848&amp;longitudeHigh=23.830129&amp;zoom=18</t>
  </si>
  <si>
    <t>33692_0</t>
  </si>
  <si>
    <t>Apartment in Eleusina</t>
  </si>
  <si>
    <t>First floor apartment (A) of an area of 104,90 sq.m. consisting of a living room-kitchen, bathroom, wc &amp; 2 bedrooms. Visiting the property is not possible.</t>
  </si>
  <si>
    <t>13, Adelfon Plelli str.</t>
  </si>
  <si>
    <t>West Attica</t>
  </si>
  <si>
    <t>Elefsina</t>
  </si>
  <si>
    <t xml:space="preserve"> 38°  3' 33.29" N  23° 31' 53.09" E</t>
  </si>
  <si>
    <t>https://www.realestateonline.gr/en/akinito/33692_0-APP_18300</t>
  </si>
  <si>
    <t>https://www.spitogatos.gr/en/for_sale-homes/map-search/minliving_area-30/maxliving_area-200?latitudeLow=38.058346&amp;latitudeHigh=38.060148&amp;longitudeLow=23.530274&amp;longitudeHigh=23.532553&amp;zoom=18</t>
  </si>
  <si>
    <t>34601_0</t>
  </si>
  <si>
    <t>Apartment in Elefsina, Attica</t>
  </si>
  <si>
    <t xml:space="preserve">Corner second floor apartment (Β-6) of an area of 83,69 sq.m. that comprises of a living room, kitchen, bathroom, storage space and two bedrooms. </t>
  </si>
  <si>
    <t>130 Afon Kypraiou str., Paradeisos area, Location "Alonia-Vragkou"</t>
  </si>
  <si>
    <t xml:space="preserve"> 38°  3' 51.48" N  23° 31' 50.88" E</t>
  </si>
  <si>
    <t>https://www.realestateonline.gr/en/akinito/34601_0-APP_18096</t>
  </si>
  <si>
    <t>https://www.spitogatos.gr/en/for_sale-homes/map-search/minliving_area-30/maxliving_area-200?latitudeLow=38.063399&amp;latitudeHigh=38.065200&amp;longitudeLow=23.529660&amp;longitudeHigh=23.531939&amp;zoom=18</t>
  </si>
  <si>
    <t>35234_1</t>
  </si>
  <si>
    <t>Apartment in Ilioupoli, Attica</t>
  </si>
  <si>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</si>
  <si>
    <t>2, Velissariou &amp; Al. Panagouli Str.</t>
  </si>
  <si>
    <t>Ilioupoli</t>
  </si>
  <si>
    <t>37°56'28.3"N 23°45'39.1"E</t>
  </si>
  <si>
    <t>https://www.realestateonline.gr/en/akinito/35234_1-APP_17778</t>
  </si>
  <si>
    <t>https://www.spitogatos.gr/en/for_sale-homes/map-search/minliving_area-30/maxliving_area-200?latitudeLow=37.940293&amp;latitudeHigh=37.942095&amp;longitudeLow=23.759723&amp;longitudeHigh=23.761998&amp;zoom=18</t>
  </si>
  <si>
    <t>33543_6</t>
  </si>
  <si>
    <t>Apartment in Irakleio, Attica</t>
  </si>
  <si>
    <t>Unfinished first floor apartment (Δ2) of an area of 63,17 sq.m. with an exclusive use of an open parking space (Π2) of an area of 12,00 sq.m., an underground storage space (2) of an area of 11,73 sq.m. and an underground storage space (3) of an area of 11,21 sq.m. on a landplot of a total area of 176,40 sq.m.</t>
  </si>
  <si>
    <t>2, Velissariou str.</t>
  </si>
  <si>
    <t>Heraklion</t>
  </si>
  <si>
    <t xml:space="preserve"> 38°  3'  1.10" N  23° 45'  8.40" E</t>
  </si>
  <si>
    <t>https://www.realestateonline.gr/en/akinito/33543_6-APP_16214</t>
  </si>
  <si>
    <t>https://www.spitogatos.gr/en/for_sale-homes/map-search/minliving_area-30/maxliving_area-200?latitudeLow=38.049404&amp;latitudeHigh=38.051206&amp;longitudeLow=23.751194&amp;longitudeHigh=23.753472&amp;zoom=18</t>
  </si>
  <si>
    <t>33543_7</t>
  </si>
  <si>
    <t>Unfinished 2nd &amp; 3rd floor maisonette (Δ3 - Γ' Δ4 &amp; Δ4 - Β' Δ3) of a total area of 84,95 sq.m. with an exclusive use of an open parking space (Π1) of an area of 12,00 sq.m., two flatroofs of a total area of 42,43 sq.m., an underground storage space (4) of an area of 18,40 sq.m. and an underground storage space (5) of an area of 18,34 sq.m. on a landplot of a total area of 176,40 sq.m.</t>
  </si>
  <si>
    <t>Vellisariou 2</t>
  </si>
  <si>
    <t>https://www.realestateonline.gr/en/akinito/33543_7-APP_16215</t>
  </si>
  <si>
    <t>33665_1</t>
  </si>
  <si>
    <t>Apartment in Herakleion, Attica</t>
  </si>
  <si>
    <t>Ground floor apartment (D-1) of a total area of 51,98 sq.m. comprises of 1 bedroom, living room, kitchen and 1 WC, with an exclusive use of an open space of 17,39 sq.m. Needs renovation.</t>
  </si>
  <si>
    <t>2, Velissariou Str.</t>
  </si>
  <si>
    <t xml:space="preserve"> 38°  3'  0.00" N  23° 45'  0.00" E</t>
  </si>
  <si>
    <t>https://www.realestateonline.gr/en/akinito/33665_1-APP_19432</t>
  </si>
  <si>
    <t>https://www.spitogatos.gr/en/for_sale-homes/map-search/minliving_area-30/maxliving_area-200?latitudeLow=38.049099&amp;latitudeHigh=38.050900&amp;longitudeLow=23.748860&amp;longitudeHigh=23.751139&amp;zoom=18</t>
  </si>
  <si>
    <t>33960_0</t>
  </si>
  <si>
    <t>Residence in Herakleion</t>
  </si>
  <si>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</si>
  <si>
    <t xml:space="preserve">21, Nimfon Str. </t>
  </si>
  <si>
    <t xml:space="preserve"> 38°  3'  0.00" N  23° 46' 12.00" E</t>
  </si>
  <si>
    <t>https://www.realestateonline.gr/en/akinito/33960_0-RES_12114</t>
  </si>
  <si>
    <t>https://www.spitogatos.gr/en/for_sale-homes/map-search/minliving_area-30/maxliving_area-200?latitudeLow=38.049099&amp;latitudeHigh=38.050900&amp;longitudeLow=23.768860&amp;longitudeHigh=23.771139&amp;zoom=18</t>
  </si>
  <si>
    <t>33506_3</t>
  </si>
  <si>
    <t>Apartment in Peraia Thessaloniki</t>
  </si>
  <si>
    <t>Ground floor apartment (Building A) of 108,27 sq.m., consists of living room, kitchen, 2 bedrooms, and a bathroom. It is also available for sale a rented retail store with ΑΜ 33506_2</t>
  </si>
  <si>
    <t xml:space="preserve">16 Apostolon Petrou &amp; Paulou </t>
  </si>
  <si>
    <t>Thermaikos</t>
  </si>
  <si>
    <t xml:space="preserve"> 40° 30' 27.29" N  22° 55' 39.47" E</t>
  </si>
  <si>
    <t>https://www.realestateonline.gr/en/akinito/33506_3-APP_20348</t>
  </si>
  <si>
    <t>https://www.spitogatos.gr/en/for_sale-homes/map-search/minliving_area-30/maxliving_area-200?latitudeLow=40.506680&amp;latitudeHigh=40.508481&amp;longitudeLow=22.926450&amp;longitudeHigh=22.928810&amp;zoom=18</t>
  </si>
  <si>
    <t>32684_0</t>
  </si>
  <si>
    <t>Residence in Souroti, Thessaloniki</t>
  </si>
  <si>
    <t>Residence (maisonette) that comprises of a basement of 63,58 sq.m., a ground floor of 63,58 sq.m. and a 1st floor of 60,08 sq.m. with exclusive use of a land plot of 102,00 sq.m. on a land plot of 520,94 sq.m.</t>
  </si>
  <si>
    <t>G. Oikonomou Str. BB 139 of Sourotis settlement</t>
  </si>
  <si>
    <t>Thermi</t>
  </si>
  <si>
    <t xml:space="preserve"> 40° 28' 18.20" N  23°  6' 12.30" E</t>
  </si>
  <si>
    <t>https://www.realestateonline.gr/en/akinito/32684_0-RES_6758</t>
  </si>
  <si>
    <t>https://www.spitogatos.gr/en/for_sale-homes/map-search/minliving_area-30/maxliving_area-200?latitudeLow=40.470821&amp;latitudeHigh=40.472622&amp;longitudeLow=23.102237&amp;longitudeHigh=23.104595&amp;zoom=18</t>
  </si>
  <si>
    <t>33414_0</t>
  </si>
  <si>
    <t>Residence in Kardia, Thessaloniki</t>
  </si>
  <si>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</si>
  <si>
    <t>Ippokratous str.</t>
  </si>
  <si>
    <t xml:space="preserve"> 40° 27' 54.68" N  22° 59' 44.30" E</t>
  </si>
  <si>
    <t>https://www.realestateonline.gr/en/akinito/33414_0-RES_15775</t>
  </si>
  <si>
    <t>https://www.spitogatos.gr/en/for_sale-homes/map-search/minliving_area-30/maxliving_area-200?latitudeLow=40.464288&amp;latitudeHigh=40.466089&amp;longitudeLow=22.994459&amp;longitudeHigh=22.996817&amp;zoom=18</t>
  </si>
  <si>
    <t>34300_0</t>
  </si>
  <si>
    <t>Apartment in Kardia, Thessaloniki</t>
  </si>
  <si>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</si>
  <si>
    <t>17, Dimokratias str. &amp; Riga Fereou str.</t>
  </si>
  <si>
    <t>40°28'13.2"N 22°59'34.9"E</t>
  </si>
  <si>
    <t>https://www.realestateonline.gr/en/akinito/34300_0-APP_18080</t>
  </si>
  <si>
    <t>https://www.spitogatos.gr/en/for_sale-homes/map-search/minliving_area-30/maxliving_area-200?latitudeLow=40.469432&amp;latitudeHigh=40.471233&amp;longitudeLow=22.991848&amp;longitudeHigh=22.994206&amp;zoom=18</t>
  </si>
  <si>
    <t>32612_0</t>
  </si>
  <si>
    <t>Bare ownership of apartment in Thessaloniki</t>
  </si>
  <si>
    <t>Bare ownership of a 1st floor Apartment (1) with an area of ​​27.17 sq.m. consisting of a room, bathroom &amp; kitchen. The building does not have an elevator.</t>
  </si>
  <si>
    <t>29 Panagias Faneromenis str.</t>
  </si>
  <si>
    <t xml:space="preserve"> 40° 38' 48.74" N  22° 56' 16.96" E</t>
  </si>
  <si>
    <t>https://www.realestateonline.gr/en/akinito/32612_0-APP_19148</t>
  </si>
  <si>
    <t>https://www.spitogatos.gr/en/for_sale-homes/map-search/minliving_area-30/maxliving_area-200?latitudeLow=40.645971&amp;latitudeHigh=40.647772&amp;longitudeLow=22.936862&amp;longitudeHigh=22.939226&amp;zoom=18</t>
  </si>
  <si>
    <t>33465_0</t>
  </si>
  <si>
    <t>Apartment in Analipsi, Thessaloniki</t>
  </si>
  <si>
    <t>Sixth Floor Apartment of an area of 126,77 sq.m. on a landplot of a total area of 723,20 sq.m.</t>
  </si>
  <si>
    <t>24, Markou Mpotsari &amp; 1, Patron str.</t>
  </si>
  <si>
    <t xml:space="preserve"> 40° 36' 24.60" N  22° 57' 19.10" E</t>
  </si>
  <si>
    <t>https://www.realestateonline.gr/en/akinito/33465_0-APP_16417</t>
  </si>
  <si>
    <t>https://www.spitogatos.gr/en/for_sale-homes/map-search/minliving_area-30/maxliving_area-200?latitudeLow=40.605932&amp;latitudeHigh=40.607733&amp;longitudeLow=22.954124&amp;longitudeHigh=22.956487&amp;zoom=18</t>
  </si>
  <si>
    <t>34821_0</t>
  </si>
  <si>
    <t>Apartment in Kato Toumba, Thessaloniki</t>
  </si>
  <si>
    <t>Third floor apartment of an area of 64,09 sq.m. consisting of a living room, kitchen, bathroom and two bedrooms. There' s no elevator in the building.</t>
  </si>
  <si>
    <t>100-102, Anatolikis Thrakis str.</t>
  </si>
  <si>
    <t xml:space="preserve"> 40° 36' 31.68" N  22° 58' 18.12" E</t>
  </si>
  <si>
    <t>https://www.realestateonline.gr/en/akinito/34821_0-APP_18306</t>
  </si>
  <si>
    <t>https://www.spitogatos.gr/en/for_sale-homes/map-search/minliving_area-30/maxliving_area-200?latitudeLow=40.607899&amp;latitudeHigh=40.609700&amp;longitudeLow=22.970518&amp;longitudeHigh=22.972881&amp;zoom=18</t>
  </si>
  <si>
    <t>33333_0</t>
  </si>
  <si>
    <t>Apartment in Kaisariani, Athens</t>
  </si>
  <si>
    <t>Second floor apartment of a total area of 106.50 sq.m. on a land plot of a total area of 135.20 sq.m. The apartment is leased up until 30/6/2025 with a monthly lease of €400</t>
  </si>
  <si>
    <t>86, Ethnikis Antistaseos Str.</t>
  </si>
  <si>
    <t>Kaisariani</t>
  </si>
  <si>
    <t xml:space="preserve"> 37° 58'  4.91" N  23° 45' 35.64" E</t>
  </si>
  <si>
    <t>https://www.realestateonline.gr/en/akinito/33333_0-APP_17533</t>
  </si>
  <si>
    <t>https://www.spitogatos.gr/en/for_sale-homes/map-search/minliving_area-30/maxliving_area-200?latitudeLow=37.967129&amp;latitudeHigh=37.968931&amp;longitudeLow=23.758761&amp;longitudeHigh=23.761038&amp;zoom=18</t>
  </si>
  <si>
    <t>33921_0</t>
  </si>
  <si>
    <t>Apartment in Kalamaria, Thessaloniki</t>
  </si>
  <si>
    <t>Second floor apartment (2) of an area of 94,39 sq.m. with kitchen, living room, office, 2 bedrooms, bathroom, wc. It has exclusive use of a basement warehouse (14) of 5 sq.m. and a pilotis parking space (6) of 12 sq.m. The building has an elevator. The property is in use and cannot be shown.</t>
  </si>
  <si>
    <t>34, Kyzikou str.</t>
  </si>
  <si>
    <t>Kalamaria</t>
  </si>
  <si>
    <t xml:space="preserve"> 40° 34' 57.44" N  22° 57' 30.93" E</t>
  </si>
  <si>
    <t>https://www.realestateonline.gr/en/akinito/33921_0-APP_18354</t>
  </si>
  <si>
    <t>https://www.spitogatos.gr/en/for_sale-homes/map-search/minliving_area-30/maxliving_area-200?latitudeLow=40.581721&amp;latitudeHigh=40.583522&amp;longitudeLow=22.957410&amp;longitudeHigh=22.959772&amp;zoom=18</t>
  </si>
  <si>
    <t>34595_0</t>
  </si>
  <si>
    <t>Apartment in Keratsini, Attica</t>
  </si>
  <si>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</si>
  <si>
    <t>18 Thrakis Str.</t>
  </si>
  <si>
    <t>Piraeus</t>
  </si>
  <si>
    <t>Keratsini-Drapetsona</t>
  </si>
  <si>
    <t xml:space="preserve"> 37° 57' 49.68" N  23° 37' 33.60" E</t>
  </si>
  <si>
    <t>https://www.realestateonline.gr/en/akinito/34595_0-APP_17897</t>
  </si>
  <si>
    <t>https://www.spitogatos.gr/en/for_sale-homes/map-search/minliving_area-30/maxliving_area-200?latitudeLow=37.962899&amp;latitudeHigh=37.964700&amp;longitudeLow=23.624862&amp;longitudeHigh=23.627137&amp;zoom=18</t>
  </si>
  <si>
    <t>33112_0</t>
  </si>
  <si>
    <t>Apartment in Ekali</t>
  </si>
  <si>
    <t>First floor apartment (Α2) of an area of 163,04 sq.m. on a land plot of a total area of 1.662,75 sq.m. There is a shared parking and storage space in the basement.</t>
  </si>
  <si>
    <t>96, Thiseos Ave.</t>
  </si>
  <si>
    <t>Kifisia</t>
  </si>
  <si>
    <t xml:space="preserve"> 38°  6' 54.23" N  23° 51'  7.70" E</t>
  </si>
  <si>
    <t>https://www.realestateonline.gr/en/akinito/33112_0-APP_15757</t>
  </si>
  <si>
    <t>https://www.spitogatos.gr/en/for_sale-homes/map-search/minliving_area-30/maxliving_area-200?latitudeLow=38.114162&amp;latitudeHigh=38.115964&amp;longitudeLow=23.850998&amp;longitudeHigh=23.853279&amp;zoom=18</t>
  </si>
  <si>
    <t>33119_1</t>
  </si>
  <si>
    <t>Residence in Kifisia, Attica</t>
  </si>
  <si>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</si>
  <si>
    <t>81, Chelidonous Str.</t>
  </si>
  <si>
    <t xml:space="preserve"> 38°  5' 24.00" N  23° 47' 24.00" E</t>
  </si>
  <si>
    <t>https://www.realestateonline.gr/en/akinito/33119_1-RES_17094</t>
  </si>
  <si>
    <t>33119_2</t>
  </si>
  <si>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</si>
  <si>
    <t>https://www.realestateonline.gr/en/akinito/33119_2-RES_17095</t>
  </si>
  <si>
    <t>33520_0</t>
  </si>
  <si>
    <t>Maisonette in Kifisia, Attica</t>
  </si>
  <si>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</si>
  <si>
    <t>10 Korytsas Str., B.B. 117, Profitis Ilias location</t>
  </si>
  <si>
    <t xml:space="preserve"> 38°  4' 12.00" N  23° 48' 36.00" E</t>
  </si>
  <si>
    <t>https://www.realestateonline.gr/en/akinito/33520_0-APP_18281</t>
  </si>
  <si>
    <t>https://www.spitogatos.gr/en/for_sale-homes/map-search/minliving_area-30/maxliving_area-200?latitudeLow=38.069099&amp;latitudeHigh=38.070900&amp;longitudeLow=23.808860&amp;longitudeHigh=23.811139&amp;zoom=18</t>
  </si>
  <si>
    <t>34913_0</t>
  </si>
  <si>
    <t>Landplot with residence in Ekali, Attica:</t>
  </si>
  <si>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</si>
  <si>
    <t>5, Dionysou  Aven.</t>
  </si>
  <si>
    <t xml:space="preserve"> 38°  6' 36.00" N  23° 51'  0.00" E</t>
  </si>
  <si>
    <t>https://www.realestateonline.gr/en/akinito/34913_0-RES_16935</t>
  </si>
  <si>
    <t>https://www.spitogatos.gr/en/for_sale-homes/map-search/minliving_area-30/maxliving_area-200?latitudeLow=38.109099&amp;latitudeHigh=38.110900&amp;longitudeLow=23.848859&amp;longitudeHigh=23.851140&amp;zoom=18</t>
  </si>
  <si>
    <t>34487_0</t>
  </si>
  <si>
    <t>Apartment in Evosmos, Thessaloniki</t>
  </si>
  <si>
    <t xml:space="preserve">Second floor apartment (Β) of an area of 75,67 sq.m. with an underground storage space (3) of an area of 9,72 sq.m. The apartment comprises of a living room, kitchen, bathroom and three bedrooms. There is an elevator in the building. Needs maintenance works. </t>
  </si>
  <si>
    <t>37, Archimidous str.</t>
  </si>
  <si>
    <t>Kordelio-Evosmos</t>
  </si>
  <si>
    <t xml:space="preserve"> 40° 39' 50.82" N  22° 54' 59.57" E</t>
  </si>
  <si>
    <t>https://www.realestateonline.gr/en/akinito/34487_0-APP_18653</t>
  </si>
  <si>
    <t>https://www.spitogatos.gr/en/for_sale-homes/map-search/minliving_area-30/maxliving_area-200?latitudeLow=40.663216&amp;latitudeHigh=40.665017&amp;longitudeLow=22.915364&amp;longitudeHigh=22.917729&amp;zoom=18</t>
  </si>
  <si>
    <t>34541_0</t>
  </si>
  <si>
    <t>Apartment in Kordelio, Thessaloniki</t>
  </si>
  <si>
    <t>Second floor apartment of an area of 103,00 sq.m. that comprises of a living room - kitchen, hall, bathroom, wc, storage space and three bedrooms. There is an elevator in the building.</t>
  </si>
  <si>
    <t>8, Ntortoglou str.</t>
  </si>
  <si>
    <t xml:space="preserve"> 40° 40' 12.00" N  22° 53' 24.00" E</t>
  </si>
  <si>
    <t>https://www.realestateonline.gr/en/akinito/34541_0-APP_18090</t>
  </si>
  <si>
    <t>https://www.spitogatos.gr/en/for_sale-homes/map-search/minliving_area-30/maxliving_area-200?latitudeLow=40.669099&amp;latitudeHigh=40.670900&amp;longitudeLow=22.888817&amp;longitudeHigh=22.891182&amp;zoom=18</t>
  </si>
  <si>
    <t>34740_0</t>
  </si>
  <si>
    <t xml:space="preserve">First floor apartment of 76.63 sq.m consists of living room, kitchen, 2 bedrooms &amp; bathroom. The apartment is rented until 31/01/2026 for €257,50/month. </t>
  </si>
  <si>
    <t>37 Papaflessa Str.</t>
  </si>
  <si>
    <t xml:space="preserve"> 40° 39' 55.08" N  22° 55'  6.60" E</t>
  </si>
  <si>
    <t>https://www.realestateonline.gr/en/akinito/34740_0-APP_17882</t>
  </si>
  <si>
    <t>https://www.spitogatos.gr/en/for_sale-homes/map-search/minliving_area-30/maxliving_area-200?latitudeLow=40.664399&amp;latitudeHigh=40.666200&amp;longitudeLow=22.917317&amp;longitudeHigh=22.919682&amp;zoom=18</t>
  </si>
  <si>
    <t>35090_0</t>
  </si>
  <si>
    <t>Apartment in Eleftherio-Kordelio, Thessaloniki</t>
  </si>
  <si>
    <t>First floor apartment of an area of 92.88 sq.m. that comprises of a living room, kitchen, bathroom &amp; 3 bedrooms. There is not an elevator in the building. The property is rented until 28/2/2027 with monthly rental €380.</t>
  </si>
  <si>
    <t>15, Kerasountos str.</t>
  </si>
  <si>
    <t xml:space="preserve"> 40° 40'  7.68" N  22° 53' 53.52" E</t>
  </si>
  <si>
    <t>https://www.realestateonline.gr/en/akinito/35090_0-APP_19068</t>
  </si>
  <si>
    <t>https://www.spitogatos.gr/en/for_sale-homes/map-search/minliving_area-30/maxliving_area-200?latitudeLow=40.667899&amp;latitudeHigh=40.669700&amp;longitudeLow=22.897017&amp;longitudeHigh=22.899382&amp;zoom=18</t>
  </si>
  <si>
    <t>34705_0</t>
  </si>
  <si>
    <t>Apartment in Korydallos, Attica</t>
  </si>
  <si>
    <t>Ground floor apartment (I1) of 73.94 sq.m. consisting of 2 bedrooms, living room, kitchen and external bathroom.</t>
  </si>
  <si>
    <t>60 Agios Nikolaos str. &amp; 41 Erechtheiou str.</t>
  </si>
  <si>
    <t>Korydallos</t>
  </si>
  <si>
    <t xml:space="preserve"> 37° 58' 57.72" N  23° 39' 33.84" E</t>
  </si>
  <si>
    <t>https://www.realestateonline.gr/en/akinito/34705_0-APP_19149</t>
  </si>
  <si>
    <t>https://www.spitogatos.gr/en/for_sale-homes/map-search/minliving_area-30/maxliving_area-200?latitudeLow=37.981799&amp;latitudeHigh=37.983600&amp;longitudeLow=23.658261&amp;longitudeHigh=23.660538&amp;zoom=18</t>
  </si>
  <si>
    <t>32993_0</t>
  </si>
  <si>
    <t>Maisonette located at Lagadas, Thessaloniki</t>
  </si>
  <si>
    <t xml:space="preserve">Two storey residence that comprises of a basement of a total area of 51,06 sq.m., ground floor of a total area of 51,06 sq.m., 1st floor of a total area of 46,03 sq.m. on a land plot of 500,00 sq.m. </t>
  </si>
  <si>
    <t>Place "Katothi Scholiou"</t>
  </si>
  <si>
    <t>Langadas</t>
  </si>
  <si>
    <t xml:space="preserve"> 40° 49'  2.70" N  23°  1' 45.30" E</t>
  </si>
  <si>
    <t>https://www.realestateonline.gr/en/akinito/32993_0-RES_5623</t>
  </si>
  <si>
    <t>https://www.spitogatos.gr/en/for_sale-homes/map-search/minliving_area-30/maxliving_area-200?latitudeLow=40.816516&amp;latitudeHigh=40.818317&amp;longitudeLow=23.028064&amp;longitudeHigh=23.030435&amp;zoom=18</t>
  </si>
  <si>
    <t>34218_0</t>
  </si>
  <si>
    <t>Maisonette in Lagyna, Thessaloniki</t>
  </si>
  <si>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</si>
  <si>
    <t>Municipal Str.</t>
  </si>
  <si>
    <t xml:space="preserve"> 40° 43' 26.68" N  23°  0' 15.76" E</t>
  </si>
  <si>
    <t>https://www.realestateonline.gr/en/akinito/34218_0-APP_18655</t>
  </si>
  <si>
    <t>https://www.spitogatos.gr/en/for_sale-homes/map-search/minliving_area-30/maxliving_area-200?latitudeLow=40.723177&amp;latitudeHigh=40.724978&amp;longitudeLow=23.003194&amp;longitudeHigh=23.005561&amp;zoom=18</t>
  </si>
  <si>
    <t>34837_0</t>
  </si>
  <si>
    <t>Αpartment in Likovrisi</t>
  </si>
  <si>
    <t>Ground floor apartment (D-2) of an area of 64,83 sq.m on a landplot of a total area of 411,50 sq.m.</t>
  </si>
  <si>
    <t>5, Paulou Mela str.</t>
  </si>
  <si>
    <t>Lykovrysi-Pefki</t>
  </si>
  <si>
    <t xml:space="preserve"> 38°  3' 59.76" N  23° 46' 49.08" E</t>
  </si>
  <si>
    <t>https://www.realestateonline.gr/en/akinito/34837_0-APP_16724</t>
  </si>
  <si>
    <t>https://www.spitogatos.gr/en/for_sale-homes/map-search/minliving_area-30/maxliving_area-200?latitudeLow=38.065699&amp;latitudeHigh=38.067500&amp;longitudeLow=23.779160&amp;longitudeHigh=23.781439&amp;zoom=18</t>
  </si>
  <si>
    <t>33988_1</t>
  </si>
  <si>
    <t>Apartment in Mandra, Attica</t>
  </si>
  <si>
    <t>THE PROPERTY MIGHT BE ELIGIBLE FOR THE "MY HOME" MORTAGE PROGRAM.First floor apartment (Α-3) of a total area of 52,29 sq.m. with a living room, a kitchen, 1 bedroom and 1 bathroom. The building has an elevator. Before submitting the offer, it is recommended to check/evaluate by a Legal and Technical consultant of your choice.</t>
  </si>
  <si>
    <t>157-159, Str. Nik. Rokka str.</t>
  </si>
  <si>
    <t>Mandra-Eidyllia</t>
  </si>
  <si>
    <t xml:space="preserve"> 38°  4' 50.97" N  23° 29' 34.95" E</t>
  </si>
  <si>
    <t>https://www.realestateonline.gr/en/akinito/33988_1-APP_18145</t>
  </si>
  <si>
    <t>33988_2</t>
  </si>
  <si>
    <t>Floor with 6 apartments in Mandra, Attica</t>
  </si>
  <si>
    <t>6 second floor apartments with a total area of ​​301.35 sq.m. Each apartment consists of a kitchen, living room, 1 bedroom &amp; bathroom. It has a warehouse on the roof of 36.02 sq.m.</t>
  </si>
  <si>
    <t>https://www.realestateonline.gr/en/akinito/33988_2-APP_18155</t>
  </si>
  <si>
    <t>33059_0</t>
  </si>
  <si>
    <t>Residence in Nea Makri, Xilokeriza</t>
  </si>
  <si>
    <t xml:space="preserve">Unfinished two-storey residence of a total area of 288,07 sq.m. on a land plot of a total area of 361,00 sq.m. It comprises of a basement of a total area of 128,30 sq.m. (86,83 sq.m. and 41,67 sq.m. auxilliary spaces), a ground floor of an area of 79,66 sq.m. and a first floor of an area of 80,11 sq.m. </t>
  </si>
  <si>
    <t>Ksylokeriza location</t>
  </si>
  <si>
    <t>Marathon</t>
  </si>
  <si>
    <t xml:space="preserve"> 38°  4' 30.10" N  23° 57' 53.90" E</t>
  </si>
  <si>
    <t>https://www.realestateonline.gr/en/akinito/33059_0-RES_16415</t>
  </si>
  <si>
    <t>33478_0</t>
  </si>
  <si>
    <t>Residence in Porto Rafti</t>
  </si>
  <si>
    <t>Residence No. 1, of a total area of 247,12 sq.m., with a basement of an area of 91,92 sq.m. (main spaces of 67,00 sq.m. and auxiliary spaces of 24,92 sq.m.), a ground floor of an area of 133,00 sq.m. and a loft of an area of 21,64  sq.m. on a land plot part of an area of 450,33 sq.m. on a land plot of a total area of 986,70 sq.m. The property is rented until 30/4/2027 and the monthly rental is 760 euros.</t>
  </si>
  <si>
    <t>Pri Petsi Place, Markopoulo Mesogaia</t>
  </si>
  <si>
    <t>Markopoulo Mesogaias</t>
  </si>
  <si>
    <t xml:space="preserve"> 37° 53' 25.71" N  23° 59' 49.43" E</t>
  </si>
  <si>
    <t>https://www.realestateonline.gr/en/akinito/33478_0-RES_16459</t>
  </si>
  <si>
    <t>33600_0</t>
  </si>
  <si>
    <t>Residential building in Porto Rafti</t>
  </si>
  <si>
    <t>Residential building with a total area of ​​492 sq.m. on a landplot of 4,834 sq.m. consisting of 1 maisonette &amp; 2 apartments. Maisonette 304 sq.m. (Ground floor: 152 sq.m., 1st floor: 152 sq.m.) It has 4 bedrooms, 2 bathrooms, wc &amp; a large terrace with an unlimited view. 1st First Floor Apartment 35 sq.m. It has a single room, kitchen, 1 bedroom, bathroom, terrace &amp; storage spaces in the basement &amp; in the uncovered area. 2nd First Floor Apartment 36 sq.m. It has a single room, kitchen, 1 bedroom, bathroom, veranda &amp; storage spaces.</t>
  </si>
  <si>
    <t>17 Krystálli Str.</t>
  </si>
  <si>
    <t xml:space="preserve"> 37° 54'  6.70" N  24°  0' 10.90" E</t>
  </si>
  <si>
    <t>https://www.realestateonline.gr/en/akinito/33600_0-RES_16447</t>
  </si>
  <si>
    <t>34537_0</t>
  </si>
  <si>
    <t>Apartment in Markopoulo, Attica</t>
  </si>
  <si>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</si>
  <si>
    <t>7, Attikis Str., Pistiko</t>
  </si>
  <si>
    <t>37°52'37.5"N 23°55'50.3"E</t>
  </si>
  <si>
    <t>https://www.realestateonline.gr/en/akinito/34537_0-APP_17529</t>
  </si>
  <si>
    <t>https://www.spitogatos.gr/en/for_sale-homes/map-search/minliving_area-30/maxliving_area-200?latitudeLow=37.876182&amp;latitudeHigh=37.877984&amp;longitudeLow=23.929502&amp;longitudeHigh=23.931775&amp;zoom=18</t>
  </si>
  <si>
    <t>32349_0</t>
  </si>
  <si>
    <t>Residence located at Megara</t>
  </si>
  <si>
    <t>Two-storey building of a total area of 158,07 sq.m. that comprises of a basement of 31,86 sq.m., a ground floor of 33,94 sq.m., an unfinished 1st floor of 75,36 sq.m. and a loft of 16,91 sq.m. on a land plot of 91,70 sq.m. The property is leased up until 30/6/2027 with a monthly lease of 125€</t>
  </si>
  <si>
    <t>16 Marathonos Ave.</t>
  </si>
  <si>
    <t>Megara</t>
  </si>
  <si>
    <t xml:space="preserve"> 38°  0'  2.16" N  23° 20' 43.14" E</t>
  </si>
  <si>
    <t>https://www.realestateonline.gr/en/akinito/32349_0-RES_5302</t>
  </si>
  <si>
    <t>https://www.spitogatos.gr/en/for_sale-homes/map-search/minliving_area-30/maxliving_area-200?latitudeLow=37.999699&amp;latitudeHigh=38.001500&amp;longitudeLow=23.344178&amp;longitudeHigh=23.346455&amp;zoom=18</t>
  </si>
  <si>
    <t>32682_1</t>
  </si>
  <si>
    <t>Residence in Megara, Attica</t>
  </si>
  <si>
    <t xml:space="preserve">Old ground floor residence of 75,70 sq.m. on a land plot of a total area of 172,56 sq.m. </t>
  </si>
  <si>
    <t>32 Grevenon Str.</t>
  </si>
  <si>
    <t xml:space="preserve"> 37° 59' 53.90" N  23° 20' 22.10" E</t>
  </si>
  <si>
    <t>https://www.realestateonline.gr/en/akinito/32682_1-RES_6757</t>
  </si>
  <si>
    <t>https://www.spitogatos.gr/en/for_sale-homes/map-search/minliving_area-30/maxliving_area-200?latitudeLow=37.997404&amp;latitudeHigh=37.999206&amp;longitudeLow=23.338333&amp;longitudeHigh=23.340610&amp;zoom=18</t>
  </si>
  <si>
    <t>70155_0</t>
  </si>
  <si>
    <t>Apartment in Megara</t>
  </si>
  <si>
    <t>First floor apartment of 112.68 sq.m. consists of 2 bedrooms, living room, dining room, bathroom &amp; storage room.</t>
  </si>
  <si>
    <t>28th Oktovriou &amp; 58 Kolokotroni Str.</t>
  </si>
  <si>
    <t xml:space="preserve"> 37° 59' 41.90" N  23° 20' 37.90" E</t>
  </si>
  <si>
    <t>https://www.realestateonline.gr/en/akinito/70155_0-APP_7316</t>
  </si>
  <si>
    <t>https://www.spitogatos.gr/en/for_sale-homes/map-search/minliving_area-30/maxliving_area-200?latitudeLow=37.994071&amp;latitudeHigh=37.995873&amp;longitudeLow=23.342722&amp;longitudeHigh=23.344999&amp;zoom=18</t>
  </si>
  <si>
    <t>34367_0</t>
  </si>
  <si>
    <t>Apartment in Sykies, Thesaloniki</t>
  </si>
  <si>
    <t>THE PROPERTY MIGHT BE ELIGIBLE FOR THE "MY HOME" MORTAGE PROGRAM.First floor apartment (Δ-1) of an area of 41.16 sq.m., on a land plot of a total area of 187.73 sq.m. Before submitting the offer, it is recommended to check/evaluate by a Legal and Technical consultant of your choice.</t>
  </si>
  <si>
    <t>14-16, Piliou Str.</t>
  </si>
  <si>
    <t>Neapoli-Sykies</t>
  </si>
  <si>
    <t xml:space="preserve"> 40° 39'  8.64" N  22° 57' 10.80" E</t>
  </si>
  <si>
    <t>https://www.realestateonline.gr/en/akinito/34367_0-APP_17166</t>
  </si>
  <si>
    <t>https://www.spitogatos.gr/en/for_sale-homes/map-search/minliving_area-30/maxliving_area-200?latitudeLow=40.651499&amp;latitudeHigh=40.653300&amp;longitudeLow=22.951817&amp;longitudeHigh=22.954182&amp;zoom=18</t>
  </si>
  <si>
    <t>33418_0</t>
  </si>
  <si>
    <t>Maisonette in Nea Ionia, Attica</t>
  </si>
  <si>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</si>
  <si>
    <t>19, Kizikou &amp; Kavalas str.</t>
  </si>
  <si>
    <t>Nea Ionia</t>
  </si>
  <si>
    <t xml:space="preserve"> 38°  2' 47.90" N  23° 45' 19.90" E</t>
  </si>
  <si>
    <t>https://www.realestateonline.gr/en/akinito/33418_0-RES_17780</t>
  </si>
  <si>
    <t>https://www.spitogatos.gr/en/for_sale-homes/map-search/minliving_area-30/maxliving_area-200?latitudeLow=38.045737&amp;latitudeHigh=38.047539&amp;longitudeLow=23.754388&amp;longitudeHigh=23.756667&amp;zoom=18</t>
  </si>
  <si>
    <t>34748_0</t>
  </si>
  <si>
    <t>Apartment in Agios Ioannis-Rentis, Attica</t>
  </si>
  <si>
    <t>First floor corner apartment o an area of 71.22 sq.m. consisting of a living room, kitchen, 2 bedrooms, 1 bathroom. Visiting the property is not possible.</t>
  </si>
  <si>
    <t>87 Kallipoleos Str.</t>
  </si>
  <si>
    <t>Nikaia-Agios Ioannis Rentis</t>
  </si>
  <si>
    <t xml:space="preserve"> 37° 58' 12.00" N  23° 39'  0.00" E</t>
  </si>
  <si>
    <t>https://www.realestateonline.gr/en/akinito/34748_0-APP_17678</t>
  </si>
  <si>
    <t>https://www.spitogatos.gr/en/for_sale-homes/map-search/minliving_area-30/maxliving_area-200?latitudeLow=37.969099&amp;latitudeHigh=37.970900&amp;longitudeLow=23.648861&amp;longitudeHigh=23.651138&amp;zoom=18</t>
  </si>
  <si>
    <t>33541_0</t>
  </si>
  <si>
    <t>Residential Building in Glyka Nera, Attica</t>
  </si>
  <si>
    <t>Unfinished residential building with a total area of ​​459.02 sq.m. within a landplot of 341.46 sq.m. which includes three horizontal properties. Maisonette 137.27 sq.m. with 1 BEDROOM &amp; WC in the basement and living room, kitchen, bathroom &amp; 2 BEDROOMS on the ground floor with exclusive use in outdoor parking space. First floor apartment 96.65 sq.m. with living room, kitchen, bathroom &amp; 2 bedrooms. 2nd floor maisonette 96.65 sq.m. with living room, bathroom, kitchen, 2 bedrooms and attic 96.65 sq.m. with a single room and bathroom. It has a central staircase, an elevator, common areas, 3 warehouses, 2 parking spaces in the basement.</t>
  </si>
  <si>
    <t xml:space="preserve">61, Olympionikon Str. </t>
  </si>
  <si>
    <t>Paiania</t>
  </si>
  <si>
    <t xml:space="preserve"> 37° 59' 57.00" N  23° 51'  8.00" E</t>
  </si>
  <si>
    <t>https://www.realestateonline.gr/en/akinito/33541_0-RES_17886</t>
  </si>
  <si>
    <t>https://www.spitogatos.gr/en/for_sale-homes/map-search/minliving_area-30/maxliving_area-200?latitudeLow=37.998265&amp;latitudeHigh=38.000067&amp;longitudeLow=23.851083&amp;longitudeHigh=23.853360&amp;zoom=18</t>
  </si>
  <si>
    <t>32805_0</t>
  </si>
  <si>
    <t>Apartment in Palaio Faliro, Attica</t>
  </si>
  <si>
    <t>First floor apartment (1) of 83.70 sq.m. consisting of 1 bedroom, living room, dining room, kitchen &amp; bathroom. It does not have an elevator.</t>
  </si>
  <si>
    <t>8 Delfon Str.</t>
  </si>
  <si>
    <t>Palaio Faliro</t>
  </si>
  <si>
    <t xml:space="preserve"> 37° 55' 35.04" N  23° 42'  7.49" E</t>
  </si>
  <si>
    <t>https://www.realestateonline.gr/en/akinito/32805_0-APP_5674</t>
  </si>
  <si>
    <t>https://www.spitogatos.gr/en/for_sale-homes/map-search/minliving_area-30/maxliving_area-200?latitudeLow=37.925499&amp;latitudeHigh=37.927300&amp;longitudeLow=23.700943&amp;longitudeHigh=23.703217&amp;zoom=18</t>
  </si>
  <si>
    <t>33097_0</t>
  </si>
  <si>
    <t>Apartment in Palaio Faliro</t>
  </si>
  <si>
    <t>Sixth floor apartment (ΣΤ1) of a total area of 174.66 sq.m. on a land plot of 3.875,20 sq.m. with an exclusive use of a basement storage space (ΑΠ10) of an area of 9,9 sq.m. and two basement parking spots P6 and P7 of 14,45 sq.m. and 13,39 sq.m.</t>
  </si>
  <si>
    <t>Odysseos and 49, Terpsitheas Str.</t>
  </si>
  <si>
    <t xml:space="preserve"> 37° 55' 31.08" N  23° 42' 39.96" E</t>
  </si>
  <si>
    <t>https://www.realestateonline.gr/en/akinito/33097_0-APP_16639</t>
  </si>
  <si>
    <t>https://www.spitogatos.gr/en/for_sale-homes/map-search/minliving_area-30/maxliving_area-200?latitudeLow=37.924399&amp;latitudeHigh=37.926200&amp;longitudeLow=23.709962&amp;longitudeHigh=23.712237&amp;zoom=18</t>
  </si>
  <si>
    <t>33996_1</t>
  </si>
  <si>
    <t>Apartment in Paleo Faliro</t>
  </si>
  <si>
    <t>Fourth floor apartment (Δ-3) of an area of 119.90 sq.m. that comprises of living room - dining room, kitchen, 3 bedrooms, bathroom &amp; w.c. and an underground storage space (ΥΑ-12) of an area of 6.70 sq.m. The property is rented until 31/3/2026 with monthly rental €916,70.</t>
  </si>
  <si>
    <t>44, Parthenonos str.</t>
  </si>
  <si>
    <t xml:space="preserve"> 37° 55' 35.13" N  23° 41' 57.66" E</t>
  </si>
  <si>
    <t>https://www.realestateonline.gr/en/akinito/33996_1-APP_19401</t>
  </si>
  <si>
    <t>https://www.spitogatos.gr/en/for_sale-homes/map-search/minliving_area-30/maxliving_area-200?latitudeLow=37.925524&amp;latitudeHigh=37.927325&amp;longitudeLow=23.698212&amp;longitudeHigh=23.700487&amp;zoom=18</t>
  </si>
  <si>
    <t>34109_0</t>
  </si>
  <si>
    <t>Residential building in Pallini, Attica</t>
  </si>
  <si>
    <t>Residential building with a total area of ​​596.12 sq.m. consists of a second basement with the use of a garage of 98.65 sq.m. First basement apartment 138.64 sq.m. with living room, dining room, kitchen, 2 bathrooms &amp; 3 bedrooms. Ground floor 133.75 sq.m. with living room, dining room, kitchen, 2 bathrooms &amp; 3 bedrooms. First floor 133.75 sq.m. with living room, dining room, kitchen, 2 bathrooms &amp; 3 bedrooms. Roof 91.33 sq.m. with living room, kitchen, living room, bathroom &amp; 2 bedrooms within landplot section (11a) of 670.24 sq.m.</t>
  </si>
  <si>
    <t>11 Olympia St.</t>
  </si>
  <si>
    <t>Pallini</t>
  </si>
  <si>
    <t xml:space="preserve"> 38°  0' 36.00" N  23° 55' 12.00" E</t>
  </si>
  <si>
    <t>https://www.realestateonline.gr/en/akinito/34109_0-RES_15931</t>
  </si>
  <si>
    <t>34786_0</t>
  </si>
  <si>
    <t>Apartment in Pallini, Athens</t>
  </si>
  <si>
    <t>Second floor apartment  (B1) with a total area of 112.73 sq.m. with attic  (Γ1) of 124.26 sq.m., basement parking space  (Π5) of 12.00 sq.m. and basement parking space  (Π7) of 21.00sq.m. on the plot of 776.16 sq.m.</t>
  </si>
  <si>
    <t>Terpsihoris 24</t>
  </si>
  <si>
    <t xml:space="preserve"> 37° 59'  2.60" N  23° 51' 11.10" E</t>
  </si>
  <si>
    <t>https://www.realestateonline.gr/en/akinito/34786_0-APP_17039</t>
  </si>
  <si>
    <t>https://www.spitogatos.gr/en/for_sale-homes/map-search/minliving_area-30/maxliving_area-200?latitudeLow=37.983154&amp;latitudeHigh=37.984956&amp;longitudeLow=23.851945&amp;longitudeHigh=23.854221&amp;zoom=18</t>
  </si>
  <si>
    <t>33136_0</t>
  </si>
  <si>
    <t>Residence building in Polichni, Thessaloniki</t>
  </si>
  <si>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</si>
  <si>
    <t>16, Platonos και 21, Papafi Str.</t>
  </si>
  <si>
    <t>Pavlos Melas</t>
  </si>
  <si>
    <t xml:space="preserve"> 40° 39' 45.80" N  22° 57'  9.80" E</t>
  </si>
  <si>
    <t>https://www.realestateonline.gr/en/akinito/33136_0-RES_17696</t>
  </si>
  <si>
    <t>https://www.spitogatos.gr/en/for_sale-homes/map-search/minliving_area-30/maxliving_area-200?latitudeLow=40.661821&amp;latitudeHigh=40.663622&amp;longitudeLow=22.951539&amp;longitudeHigh=22.953904&amp;zoom=18</t>
  </si>
  <si>
    <t>34328_0</t>
  </si>
  <si>
    <t>Apartment in Stavroupolis, Thessaloniki</t>
  </si>
  <si>
    <t>First floor apartment of an area of 123,51 sq.m. that comprises of a living room, kitchen, bathroom, wc and three bedrooms. The property is rented until 31/12/2025 with monthly rental €288.40.</t>
  </si>
  <si>
    <t>8, G. Davaki str.</t>
  </si>
  <si>
    <t xml:space="preserve"> 40° 40' 12.36" N  22° 55' 45.48" E</t>
  </si>
  <si>
    <t>https://www.realestateonline.gr/en/akinito/34328_0-APP_18557</t>
  </si>
  <si>
    <t>https://www.spitogatos.gr/en/for_sale-homes/map-search/minliving_area-30/maxliving_area-200?latitudeLow=40.669199&amp;latitudeHigh=40.671000&amp;longitudeLow=22.928117&amp;longitudeHigh=22.930482&amp;zoom=18</t>
  </si>
  <si>
    <t>33121_0</t>
  </si>
  <si>
    <t>Apartment in Kaminia, Piraeus</t>
  </si>
  <si>
    <t>First floor apartment (Ε1Δ4) of an area of 88.51 sq.m. consisting of kitchen-living room, 2 bedrooms, bathroom. It has exclusive use of a ground floor parking space (ΕΟΠ259) of 12.5 sq.m. The building has an elevator. Visiting the property is not possible.</t>
  </si>
  <si>
    <t>2, Ag. Anargyron str.</t>
  </si>
  <si>
    <t xml:space="preserve"> 37° 57' 29.64" N  23° 39' 17.53" E</t>
  </si>
  <si>
    <t>https://www.realestateonline.gr/en/akinito/33121_0-APP_18218</t>
  </si>
  <si>
    <t>https://www.spitogatos.gr/en/for_sale-homes/map-search/minliving_area-30/maxliving_area-200?latitudeLow=37.957332&amp;latitudeHigh=37.959134&amp;longitudeLow=23.653731&amp;longitudeHigh=23.656007&amp;zoom=18</t>
  </si>
  <si>
    <t>33369_0</t>
  </si>
  <si>
    <t>Apartment in kallipoli, Piraeus</t>
  </si>
  <si>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</si>
  <si>
    <t>92, Vironos str.</t>
  </si>
  <si>
    <t xml:space="preserve"> 37° 55' 48.00" N  23° 38' 24.00" E</t>
  </si>
  <si>
    <t>https://www.realestateonline.gr/en/akinito/33369_0-APP_17881</t>
  </si>
  <si>
    <t>https://www.spitogatos.gr/en/for_sale-homes/map-search/minliving_area-30/maxliving_area-200?latitudeLow=37.929099&amp;latitudeHigh=37.930900&amp;longitudeLow=23.638862&amp;longitudeHigh=23.641137&amp;zoom=18</t>
  </si>
  <si>
    <t>33938_0</t>
  </si>
  <si>
    <t>Apartment in Piraeus</t>
  </si>
  <si>
    <t xml:space="preserve">  Sixth floor apartment (ΣΤ2) of total area of 95,05 sq.m., on a land plot of a total area of 337,60 sq.m. The property is sold without the possibility of a visit.</t>
  </si>
  <si>
    <t>85 Salaminos Str.</t>
  </si>
  <si>
    <t xml:space="preserve"> 37° 57'  0.00" N  23° 37' 48.00" E</t>
  </si>
  <si>
    <t>https://www.realestateonline.gr/en/akinito/33938_0-APP_15424</t>
  </si>
  <si>
    <t>https://www.spitogatos.gr/en/for_sale-homes/map-search/minliving_area-30/maxliving_area-200?latitudeLow=37.949099&amp;latitudeHigh=37.950900&amp;longitudeLow=23.628862&amp;longitudeHigh=23.631137&amp;zoom=18</t>
  </si>
  <si>
    <t>34130_0</t>
  </si>
  <si>
    <t>Residence in Piraeus</t>
  </si>
  <si>
    <t>Ground floor residence of 82,25 sq.m. with auxiliary boiler room on the roof of an area of 19,04 sq.m., within a land plot of a total area of 102,82 sq.m.</t>
  </si>
  <si>
    <t>68, Kapetan Germa Str.</t>
  </si>
  <si>
    <t xml:space="preserve"> 37° 57' 39.19" N  23° 38' 20.60" E</t>
  </si>
  <si>
    <t>https://www.realestateonline.gr/en/akinito/34130_0-RES_15655</t>
  </si>
  <si>
    <t>https://www.spitogatos.gr/en/for_sale-homes/map-search/minliving_area-30/maxliving_area-200?latitudeLow=37.959985&amp;latitudeHigh=37.961787&amp;longitudeLow=23.637917&amp;longitudeHigh=23.640193&amp;zoom=18</t>
  </si>
  <si>
    <t>34340_0</t>
  </si>
  <si>
    <t>Ground floor apartment  of an area of 91,15 sq.m. on a landplot of  total area of  123,75 sq.m. with an exclusive use of uncovered area.The apartment is used, there is no possibility of visiting.</t>
  </si>
  <si>
    <t>181, Nikitara str.</t>
  </si>
  <si>
    <t xml:space="preserve"> 37° 57' 42.84" N  23° 37' 44.40" E</t>
  </si>
  <si>
    <t>https://www.realestateonline.gr/en/akinito/34340_0-APP_16858</t>
  </si>
  <si>
    <t>https://www.spitogatos.gr/en/for_sale-homes/map-search/minliving_area-30/maxliving_area-200?latitudeLow=37.960999&amp;latitudeHigh=37.962800&amp;longitudeLow=23.627862&amp;longitudeHigh=23.630137&amp;zoom=18</t>
  </si>
  <si>
    <t>34445_0</t>
  </si>
  <si>
    <t>Corner, unfinished ground floor apartment (I-1) of 65.81 sq.m. It consists of 2 bedrooms, living room, kitchen &amp; bathroom. It has access to the uncovered area of ​​the building.</t>
  </si>
  <si>
    <t>7 Keas &amp; 20 Methanon Str.</t>
  </si>
  <si>
    <t xml:space="preserve"> 37° 57' 19.08" N  23° 39' 26.28" E</t>
  </si>
  <si>
    <t>https://www.realestateonline.gr/en/akinito/34445_0-APP_17896</t>
  </si>
  <si>
    <t>https://www.spitogatos.gr/en/for_sale-homes/map-search/minliving_area-30/maxliving_area-200?latitudeLow=37.954399&amp;latitudeHigh=37.956200&amp;longitudeLow=23.656162&amp;longitudeHigh=23.658437&amp;zoom=18</t>
  </si>
  <si>
    <t>35139_2</t>
  </si>
  <si>
    <t>Apartment in Peiraiki, Piraeus</t>
  </si>
  <si>
    <t>Ground floor-semi basement apartment of an area of 110,30 sq.m. that comprises of a living room, kitchen, storage space, bathroom and 3 bedrooms. There isn't an elevator in the building.</t>
  </si>
  <si>
    <t>101 Omiridou &amp; Moutsopoulou str.</t>
  </si>
  <si>
    <t xml:space="preserve"> 37° 55' 44.29" N  23° 38' 28.12" E</t>
  </si>
  <si>
    <t>https://www.realestateonline.gr/en/akinito/35139_2-APP_18224</t>
  </si>
  <si>
    <t>https://www.spitogatos.gr/en/for_sale-homes/map-search/minliving_area-30/maxliving_area-200?latitudeLow=37.928068&amp;latitudeHigh=37.929870&amp;longitudeLow=23.640007&amp;longitudeHigh=23.642281&amp;zoom=18</t>
  </si>
  <si>
    <t>35249_1</t>
  </si>
  <si>
    <t>Residence in Palaia Penteli, Attica</t>
  </si>
  <si>
    <t>Two-storey detached house with a total area of ​​541.18 sq.m. It consists of a basement of 184.11 sq.m. with utility rooms &amp; wc, ground floor 201 sq.m. with kitchen, living room, office, dining room, 1 bedroom &amp; bathroom &amp; 1st floor with loft 156.07 sq.m. with 3 bedrooms (1 master with bathroom &amp; dressing room), kitchen and 1 additional bathroom on a landplot of 1,011.80 sq.m.</t>
  </si>
  <si>
    <t>Vasileos Pavlou &amp; 15 Kotzia str., Nea Penteli</t>
  </si>
  <si>
    <t>Penteli</t>
  </si>
  <si>
    <t xml:space="preserve"> 38°  3'  0.00" N  23° 51' 36.00" E</t>
  </si>
  <si>
    <t>https://www.realestateonline.gr/en/akinito/35249_1-RES_19596</t>
  </si>
  <si>
    <t>https://www.spitogatos.gr/en/for_sale-homes/map-search/minliving_area-30/maxliving_area-200?latitudeLow=38.049099&amp;latitudeHigh=38.050900&amp;longitudeLow=23.858860&amp;longitudeHigh=23.861139&amp;zoom=18</t>
  </si>
  <si>
    <t>32520_0</t>
  </si>
  <si>
    <t>Apartment in Perama, Attica</t>
  </si>
  <si>
    <t>First floor condo (A1) of a total area of ​​122.39 sq.m. that comprises of two apartments with 1 bedroom, living room, kitchen &amp; a bathroom each. The building does not have an elevator. It needs renovation.</t>
  </si>
  <si>
    <t>2 Thrakis str.</t>
  </si>
  <si>
    <t>Perama</t>
  </si>
  <si>
    <t xml:space="preserve"> 37° 57' 56.59" N  23° 33' 53.91" E</t>
  </si>
  <si>
    <t>https://www.realestateonline.gr/en/akinito/32520_0-APP_18056</t>
  </si>
  <si>
    <t>https://www.spitogatos.gr/en/for_sale-homes/map-search/minliving_area-30/maxliving_area-200?latitudeLow=37.964818&amp;latitudeHigh=37.966620&amp;longitudeLow=23.563837&amp;longitudeHigh=23.566113&amp;zoom=18</t>
  </si>
  <si>
    <t>35298_0</t>
  </si>
  <si>
    <t>Apartment in Peristeri, Attica</t>
  </si>
  <si>
    <t>A floor apartment (A1) 87.10 sq.m. consists of living room, dining room, kitchen, bathroom and 2 bedrooms. The property does not have an elevator and is rented until 31/10/2027 for €370/month.</t>
  </si>
  <si>
    <t>43 Kalavriton str.</t>
  </si>
  <si>
    <t>Peristeri</t>
  </si>
  <si>
    <t xml:space="preserve"> 38°  0' 21.16" N  23° 40' 54.40" E</t>
  </si>
  <si>
    <t>https://www.realestateonline.gr/en/akinito/35298_0-APP_19998</t>
  </si>
  <si>
    <t>https://www.spitogatos.gr/en/for_sale-homes/map-search/minliving_area-30/maxliving_area-200?latitudeLow=38.004976&amp;latitudeHigh=38.006778&amp;longitudeLow=23.680639&amp;longitudeHigh=23.682916&amp;zoom=18</t>
  </si>
  <si>
    <t>33085_0</t>
  </si>
  <si>
    <t>Residence in Petroupoli, Athens</t>
  </si>
  <si>
    <t xml:space="preserve"> Two-storey apartment-maisonette (Β2-Γ1) of a total  area of ​​117.05 sq.m. consists of second floor of an area of 31.94 sq.m.,  third floor of an area of 85.11 sq.m. and exclusive use of a part of the roof of an area of 57.29 sq.m., on a landplot of a total area of 168.82 sq.m.</t>
  </si>
  <si>
    <t xml:space="preserve">78A,  Alikarnassos str. </t>
  </si>
  <si>
    <t>Petroupoli</t>
  </si>
  <si>
    <t xml:space="preserve"> 38°  2' 24.00" N  23° 41' 24.00" E</t>
  </si>
  <si>
    <t>https://www.realestateonline.gr/en/akinito/33085_0-RES_17087</t>
  </si>
  <si>
    <t>https://www.spitogatos.gr/en/for_sale-homes/map-search/minliving_area-30/maxliving_area-200?latitudeLow=38.039099&amp;latitudeHigh=38.040900&amp;longitudeLow=23.688860&amp;longitudeHigh=23.691139&amp;zoom=18</t>
  </si>
  <si>
    <t>33519_1</t>
  </si>
  <si>
    <t>Residence in Ntrafi Pikermi, Attica</t>
  </si>
  <si>
    <t>Two-storey residence (2Β1) of a total area of 275.95 sq.m. on a part of a landplot of 841.66 sq.m. on a landplot of a total area of 2.557 sq.m. It comprises of a basement of 112.66 sq.m. (living room, kitchen, bathroom, 1 bedroom, storage space &amp; parking space), a ground floor of 83.95 sq.m. (living room with fireplace, kitchen, dining room &amp; wc) and a first floor of 79.34 sq.m. (bathroom, wc &amp; 3 bedrooms).</t>
  </si>
  <si>
    <t>Simonidou str.</t>
  </si>
  <si>
    <t>Rafina-Pikermi</t>
  </si>
  <si>
    <t xml:space="preserve"> 38°  2' 34.30" N  23° 54' 32.46" E</t>
  </si>
  <si>
    <t>https://www.realestateonline.gr/en/akinito/33519_1-RES_19766</t>
  </si>
  <si>
    <t>33595_0</t>
  </si>
  <si>
    <t>Residence in Lagonissi, Attica</t>
  </si>
  <si>
    <t>Corner residence-maisonette of a total area of ​​509,42 sq.m. consisting of a basement of 130,35 sq.m. with living room,2  bedrooms (1 master), bathroom, wc. Α ground floor of 130,35 sq.m. with kitchen, living room, 3 bedrooms, bathroom, wc. A first floor of 110,92 sq.m. with living room, 4 bedrooms, 2 bathrooms. A second floor of 110,92 sq.m. with living room with a fireplace, bedroom, bathroom, a roof of 26.88 sq.m. with bedroom. Situated  on a land plot of 518.83 sq.m. Offeering an unlimited view,  a swimming pool of 26.83 sq.m. in the open space of ​​the plot, as well as substructure for an elevator. Needs renovation.</t>
  </si>
  <si>
    <t>Al.Panagouli &amp; Aigaiou str.</t>
  </si>
  <si>
    <t>Saronikos</t>
  </si>
  <si>
    <t xml:space="preserve"> 37° 47' 53.10" N  23° 54' 11.60" E</t>
  </si>
  <si>
    <t>https://www.realestateonline.gr/en/akinito/33595_0-RES_18898</t>
  </si>
  <si>
    <t>35178_0</t>
  </si>
  <si>
    <t>Residences in Kouvaras</t>
  </si>
  <si>
    <t>Two Residences on a 1.455 sq.m. land plot.Residence 1 of 251 sq.m. area that consists of a 56 sq.m basement, a 127 sq.m. ground floor and a of 68 sq.m loft. With 5 bedrooms and 3 bathrooms/wc.Residence 2 of 230 sq.m area. that consists of a 46 sq.m. basement, a 154 sq.m. ground floor and a 30 sq.m. loft. With 4 bedrooms and 2 bathrooms/wc and a fireplacer.The property includes 2 storage spaces of 7 sq.m. and 9 sq.m. each, a 48 sq.m. pool &amp; 21 sq.m church. The residences have an unlimited view.</t>
  </si>
  <si>
    <t>Avlakiou 1, Grava Kouvaras</t>
  </si>
  <si>
    <t>37°50'13.2"N 23°58'47.8"E</t>
  </si>
  <si>
    <t>Ανευ Αδείας</t>
  </si>
  <si>
    <t>https://www.realestateonline.gr/en/akinito/35178_0-RES_15932</t>
  </si>
  <si>
    <t>https://www.spitogatos.gr/en/for_sale-homes/map-search/minliving_area-30/maxliving_area-200?latitudeLow=37.836099&amp;latitudeHigh=37.837900&amp;longitudeLow=23.978808&amp;longitudeHigh=23.981080&amp;zoom=18</t>
  </si>
  <si>
    <t>33724_0</t>
  </si>
  <si>
    <t>Residence in Artemida, Attica</t>
  </si>
  <si>
    <t>Residence of a total area of 254.85 sq.m. consisting of a basement of 108.67 sq.m., a ground floor of 70.04 sq.m., a first floor of 42.31 sq.m. and an attic of 33.83 sq.m. on a land plot of a total area of 166.78 sq.m.</t>
  </si>
  <si>
    <t>10, Paralias Str.</t>
  </si>
  <si>
    <t>Spata-Artemida</t>
  </si>
  <si>
    <t>37°57'26.0"N 24°00'29.9"E</t>
  </si>
  <si>
    <t>https://www.realestateonline.gr/en/akinito/33724_0-RES_17613</t>
  </si>
  <si>
    <t>https://www.spitogatos.gr/en/for_sale-homes/map-search/minliving_area-30/maxliving_area-200?latitudeLow=37.956321&amp;latitudeHigh=37.958123&amp;longitudeLow=24.007167&amp;longitudeHigh=24.009443&amp;zoom=18</t>
  </si>
  <si>
    <t>33548_0</t>
  </si>
  <si>
    <t>Residence in Fyli, Attica</t>
  </si>
  <si>
    <t>Two-storey residence of a total area of 351.21 sq.m. that comprises of a basement of 141,57 sq.m., a ground floor of 108,52 sq.m., a first floor of 93,41 sq.m. and an attic of 7,71 sq.m. on a land plot of 418,00 sq.m. Τhe property is rented until 30.09.2025 and monthly rental €678.98.</t>
  </si>
  <si>
    <t>2 Ag. Kyriakis Str.</t>
  </si>
  <si>
    <t>Fyli</t>
  </si>
  <si>
    <t xml:space="preserve"> 38°  6' 36.19" N  23° 40' 21.59" E</t>
  </si>
  <si>
    <t>https://www.realestateonline.gr/en/akinito/33548_0-RES_15182</t>
  </si>
  <si>
    <t>34282_0</t>
  </si>
  <si>
    <t>Apartment in Liosia, Attica</t>
  </si>
  <si>
    <t>Dual aspect  apartment on the  first floor(A-1) of an area of 93.67 sq.m. consisting of 2 bedrooms, bathroom, kitchen, living room &amp; exclusive use of ground floor parking space of 10.58 sq.m. The building does not have an elevator. Partially renovated in 2015.</t>
  </si>
  <si>
    <t>7 Acheron str.</t>
  </si>
  <si>
    <t xml:space="preserve"> 38°  5' 24.00" N  23° 42'  0.00" E</t>
  </si>
  <si>
    <t>https://www.realestateonline.gr/en/akinito/34282_0-APP_17910</t>
  </si>
  <si>
    <t>https://www.spitogatos.gr/en/for_sale-homes/map-search/minliving_area-30/maxliving_area-200?latitudeLow=38.089099&amp;latitudeHigh=38.090900&amp;longitudeLow=23.698860&amp;longitudeHigh=23.701139&amp;zoom=18</t>
  </si>
  <si>
    <t>34530_0</t>
  </si>
  <si>
    <t>Apartment in Ano Liosia</t>
  </si>
  <si>
    <t xml:space="preserve"> First floor apartment (Γ) of an area of 86,10 sq.m. on a land plot of an area of 250,01 sq.m.</t>
  </si>
  <si>
    <t xml:space="preserve">20, Ioanni Mavrou Str. </t>
  </si>
  <si>
    <t xml:space="preserve"> 38°  4' 40.80" N  23° 42' 23.04" E</t>
  </si>
  <si>
    <t>https://www.realestateonline.gr/en/akinito/34530_0-APP_16092</t>
  </si>
  <si>
    <t>https://www.spitogatos.gr/en/for_sale-homes/map-search/minliving_area-30/maxliving_area-200?latitudeLow=38.077099&amp;latitudeHigh=38.078900&amp;longitudeLow=23.705260&amp;longitudeHigh=23.707539&amp;zoom=18</t>
  </si>
  <si>
    <t>34811_0</t>
  </si>
  <si>
    <t>Residence in Drosoupoli, Ano Liosia Attica</t>
  </si>
  <si>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</si>
  <si>
    <t>54 Nestou str.</t>
  </si>
  <si>
    <t xml:space="preserve"> 38°  5' 24.00" N  23° 42' 36.00" E</t>
  </si>
  <si>
    <t>https://www.realestateonline.gr/en/akinito/34811_0-RES_19024</t>
  </si>
  <si>
    <t>https://www.spitogatos.gr/en/for_sale-homes/map-search/minliving_area-30/maxliving_area-200?latitudeLow=38.089099&amp;latitudeHigh=38.090900&amp;longitudeLow=23.708860&amp;longitudeHigh=23.711139&amp;zoom=18</t>
  </si>
  <si>
    <t>32554_0</t>
  </si>
  <si>
    <t>Apartment in Chaidari, Attica</t>
  </si>
  <si>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</si>
  <si>
    <t>19, Eurota &amp; 37, Zefyrou str. (Block 368)</t>
  </si>
  <si>
    <t>Chaidari</t>
  </si>
  <si>
    <t xml:space="preserve"> 38°  0'  1.95" N  23° 40'  4.17" E</t>
  </si>
  <si>
    <t>https://www.realestateonline.gr/en/akinito/32554_0-APP_17377</t>
  </si>
  <si>
    <t>https://www.spitogatos.gr/en/for_sale-homes/map-search/minliving_area-30/maxliving_area-200?latitudeLow=37.999640&amp;latitudeHigh=38.001442&amp;longitudeLow=23.666686&amp;longitudeHigh=23.668963&amp;zoom=18</t>
  </si>
  <si>
    <t>35334_0</t>
  </si>
  <si>
    <t>Maisonette in Koufalia, Thessaloniki</t>
  </si>
  <si>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</si>
  <si>
    <t>Kotsamani str., Koufalia</t>
  </si>
  <si>
    <t>Chalkidona</t>
  </si>
  <si>
    <t xml:space="preserve"> 40° 46' 26.76" N  22° 35'  5.28" E</t>
  </si>
  <si>
    <t>https://www.realestateonline.gr/en/akinito/35334_0-RES_19999</t>
  </si>
  <si>
    <t>https://www.spitogatos.gr/en/for_sale-homes/map-search/minliving_area-30/maxliving_area-200?latitudeLow=40.773199&amp;latitudeHigh=40.775000&amp;longitudeLow=22.583615&amp;longitudeHigh=22.585984&amp;zoom=18</t>
  </si>
  <si>
    <t>70540_1</t>
  </si>
  <si>
    <t>Residence in "Mikro Monastiri", Thessaloniki</t>
  </si>
  <si>
    <t>Two-storey residence of a total area of 243,51 sq.m. that comprises of a ground floor of 145,63 sq.m. a first floor of 79,60 sq.m. and a mezzanine floor of 18,28 sq.m. on a land plot of 829,00 sq.m.</t>
  </si>
  <si>
    <t>Makedonomachon</t>
  </si>
  <si>
    <t xml:space="preserve"> 40° 42' 14.36" N  22° 32' 26.15" E</t>
  </si>
  <si>
    <t>https://www.realestateonline.gr/en/akinito/70540_1-RES_11785</t>
  </si>
  <si>
    <t>33810_0</t>
  </si>
  <si>
    <t>Residence in Liti, Thessaloniki</t>
  </si>
  <si>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</si>
  <si>
    <t>Pavlou Mpakogianni &amp; Charilaou Trikoupi</t>
  </si>
  <si>
    <t>Oraiokastro</t>
  </si>
  <si>
    <t xml:space="preserve"> 40° 44' 21.20" N  22° 58' 54.99" E</t>
  </si>
  <si>
    <t>https://www.realestateonline.gr/en/akinito/33810_0-RES_18909</t>
  </si>
  <si>
    <t>https://www.spitogatos.gr/en/for_sale-homes/map-search/minliving_area-30/maxliving_area-200?latitudeLow=40.738321&amp;latitudeHigh=40.740122&amp;longitudeLow=22.980757&amp;longitudeHigh=22.983125&amp;zoom=18</t>
  </si>
  <si>
    <t>35258_1</t>
  </si>
  <si>
    <t>Residence in Melissochori, Thessaloniki</t>
  </si>
  <si>
    <t>Two-storey residence of a total area of 208.84 sq.m. on a land plot (8) of a total area of 251.19 sq.m. It comprises of a ground floor of an area of 108.62 sq.m. and a first floor of an area of 100.22 sq.m.  with 2 living rooms, kitchen, bathroom &amp; 2 bedrooms each floor. Needs renovation.</t>
  </si>
  <si>
    <t>29, Germanou Karavaggeli str.</t>
  </si>
  <si>
    <t xml:space="preserve"> 40° 46'  1.92" N  22° 55' 31.80" E</t>
  </si>
  <si>
    <t>https://www.realestateonline.gr/en/akinito/35258_1-RES_19470</t>
  </si>
  <si>
    <t>https://www.spitogatos.gr/en/for_sale-homes/map-search/minliving_area-30/maxliving_area-200?latitudeLow=40.766299&amp;latitudeHigh=40.768100&amp;longitudeLow=22.924315&amp;longitudeHigh=22.926684&amp;zoom=18</t>
  </si>
  <si>
    <t>35011_0</t>
  </si>
  <si>
    <t>Residence in Polydendri, Attica</t>
  </si>
  <si>
    <t>Ground floor residence of an area of 125,76 sq.m. with a warehouse of 8,50 sq.m. on a land plot of an area of 902,72 sq.m. The residence consists of a living-dining room with a fireplace, kitchen, bathroom, wc &amp; 3 bedrooms.</t>
  </si>
  <si>
    <t>Andrea Miaouli str., location Leimazi</t>
  </si>
  <si>
    <t>Oropos</t>
  </si>
  <si>
    <t xml:space="preserve"> 38° 12' 50.52" N  23° 52'  9.07" E</t>
  </si>
  <si>
    <t>https://www.realestateonline.gr/en/akinito/35011_0-RES_18652</t>
  </si>
  <si>
    <t>https://www.spitogatos.gr/en/for_sale-homes/map-search/minliving_area-30/maxliving_area-200?latitudeLow=38.213132&amp;latitudeHigh=38.214934&amp;longitudeLow=23.868044&amp;longitudeHigh=23.870327&amp;zoom=18</t>
  </si>
  <si>
    <t>34944_1</t>
  </si>
  <si>
    <t>Maisonette in Kareas Vyronas, Attica</t>
  </si>
  <si>
    <t>Two-storey maisonette (Γ3-Δ3) of an area of 155.08 sq.m. on a landplot of an area of 1094.80 sq.m. It comprises of a third floor of 60.32 sq.m. with 2 bedrooms and a bathroom, a fourth floor of 94.76 sq.m. with a living room, kitchen, 1 bedroom and a bathroom, an underground storage space (Υ-1) of 14 sq.m.,  an exclusive use of a flatroof storage space (ΑΔ3) of 3.79 sq.m. and an exclusive use of a balcony of 60 sq.m. There is an elevator in the building.</t>
  </si>
  <si>
    <t>4, Oulof Palme str.</t>
  </si>
  <si>
    <t>90016_0</t>
  </si>
  <si>
    <t xml:space="preserve"> Preserved building in Thessaloniki</t>
  </si>
  <si>
    <t>Two-storey preserved building with a total area of ​​713.29 sq.m. within a land plot of 1019.87 sq.m.It consists of a ground floor of 351.34 sq.m. and first floor 331.95 sq.m. The property is classified as a work of art and needs total restoration in order to become functional.</t>
  </si>
  <si>
    <t>144 Vas. Olgas Ave. &amp; 25 Gravias Str.</t>
  </si>
  <si>
    <t>https://www.realestateonline.gr/en/akinito/90016_0-RES_15712</t>
  </si>
  <si>
    <t>mult_score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</si>
</sst>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53"/>
  <sheetViews>
    <sheetView tabSelected="1" topLeftCell="E1" workbookViewId="0">
      <selection activeCell="S11" sqref="S11"/>
    </sheetView>
  </sheetViews>
  <sheetFormatPr defaultRowHeight="14.4" x14ac:dyDescent="0.3"/>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1084</v>
      </c>
    </row>
    <row r="2" spans="1:23" x14ac:dyDescent="0.3">
      <c r="A2" t="s">
        <v>515</v>
      </c>
      <c r="B2" t="s">
        <v>23</v>
      </c>
      <c r="C2" t="s">
        <v>516</v>
      </c>
      <c r="D2" t="s">
        <v>517</v>
      </c>
      <c r="E2" t="s">
        <v>518</v>
      </c>
      <c r="F2">
        <v>14574</v>
      </c>
      <c r="G2" t="s">
        <v>27</v>
      </c>
      <c r="H2" t="s">
        <v>47</v>
      </c>
      <c r="I2" t="s">
        <v>48</v>
      </c>
      <c r="J2" t="s">
        <v>519</v>
      </c>
      <c r="K2">
        <v>2002</v>
      </c>
      <c r="L2">
        <v>265000</v>
      </c>
      <c r="M2" t="s">
        <v>520</v>
      </c>
      <c r="N2">
        <v>619</v>
      </c>
      <c r="O2">
        <v>428.10985460420028</v>
      </c>
      <c r="P2">
        <v>3590.211312230475</v>
      </c>
      <c r="Q2">
        <v>3505.7773109243699</v>
      </c>
      <c r="R2">
        <v>30</v>
      </c>
      <c r="S2" t="s">
        <v>521</v>
      </c>
      <c r="T2">
        <v>100</v>
      </c>
      <c r="U2">
        <v>1244.315476839223</v>
      </c>
      <c r="V2">
        <v>-2.5412377459601809</v>
      </c>
      <c r="W2">
        <f>P2/O2</f>
        <v>8.3861917066817515</v>
      </c>
    </row>
    <row r="3" spans="1:23" x14ac:dyDescent="0.3">
      <c r="A3" t="s">
        <v>933</v>
      </c>
      <c r="B3" t="s">
        <v>34</v>
      </c>
      <c r="C3" t="s">
        <v>934</v>
      </c>
      <c r="D3" t="s">
        <v>935</v>
      </c>
      <c r="E3" t="s">
        <v>936</v>
      </c>
      <c r="F3">
        <v>18537</v>
      </c>
      <c r="G3" t="s">
        <v>27</v>
      </c>
      <c r="H3" t="s">
        <v>655</v>
      </c>
      <c r="I3" t="s">
        <v>655</v>
      </c>
      <c r="J3" t="s">
        <v>937</v>
      </c>
      <c r="K3">
        <v>1958</v>
      </c>
      <c r="L3">
        <v>88000</v>
      </c>
      <c r="M3" t="s">
        <v>938</v>
      </c>
      <c r="N3">
        <v>110</v>
      </c>
      <c r="O3">
        <v>800</v>
      </c>
      <c r="P3">
        <v>3516.9191684278521</v>
      </c>
      <c r="Q3">
        <v>3323.2931726907632</v>
      </c>
      <c r="R3">
        <v>30</v>
      </c>
      <c r="S3" t="s">
        <v>939</v>
      </c>
      <c r="T3">
        <v>100</v>
      </c>
      <c r="U3">
        <v>1311.788178297948</v>
      </c>
      <c r="V3">
        <v>-2.0711569240950691</v>
      </c>
      <c r="W3">
        <f>P3/O3</f>
        <v>4.3961489605348154</v>
      </c>
    </row>
    <row r="4" spans="1:23" x14ac:dyDescent="0.3">
      <c r="A4" t="s">
        <v>374</v>
      </c>
      <c r="B4" t="s">
        <v>23</v>
      </c>
      <c r="C4" t="s">
        <v>375</v>
      </c>
      <c r="D4" t="s">
        <v>376</v>
      </c>
      <c r="E4" t="s">
        <v>377</v>
      </c>
      <c r="F4">
        <v>17455</v>
      </c>
      <c r="G4" t="s">
        <v>27</v>
      </c>
      <c r="H4" t="s">
        <v>369</v>
      </c>
      <c r="I4" t="s">
        <v>370</v>
      </c>
      <c r="J4" t="s">
        <v>378</v>
      </c>
      <c r="K4">
        <v>1997</v>
      </c>
      <c r="L4">
        <v>480000</v>
      </c>
      <c r="M4" t="s">
        <v>379</v>
      </c>
      <c r="N4">
        <v>337</v>
      </c>
      <c r="O4">
        <v>1424.33234421365</v>
      </c>
      <c r="P4">
        <v>5797.2538631204206</v>
      </c>
      <c r="Q4">
        <v>6617.47009148487</v>
      </c>
      <c r="R4">
        <v>30</v>
      </c>
      <c r="S4" t="s">
        <v>380</v>
      </c>
      <c r="T4">
        <v>100</v>
      </c>
      <c r="U4">
        <v>2024.0686207746339</v>
      </c>
      <c r="V4">
        <v>-2.1604610999963061</v>
      </c>
      <c r="W4">
        <f>P4/O4</f>
        <v>4.070155316399128</v>
      </c>
    </row>
    <row r="5" spans="1:23" x14ac:dyDescent="0.3">
      <c r="A5" t="s">
        <v>242</v>
      </c>
      <c r="B5" t="s">
        <v>34</v>
      </c>
      <c r="C5" t="s">
        <v>122</v>
      </c>
      <c r="D5" t="s">
        <v>243</v>
      </c>
      <c r="E5" t="s">
        <v>244</v>
      </c>
      <c r="F5">
        <v>10445</v>
      </c>
      <c r="G5" t="s">
        <v>27</v>
      </c>
      <c r="H5" t="s">
        <v>47</v>
      </c>
      <c r="I5" t="s">
        <v>48</v>
      </c>
      <c r="J5" t="s">
        <v>76</v>
      </c>
      <c r="K5">
        <v>1966</v>
      </c>
      <c r="L5">
        <v>100000</v>
      </c>
      <c r="M5" t="s">
        <v>245</v>
      </c>
      <c r="N5">
        <v>158</v>
      </c>
      <c r="O5">
        <v>632.91139240506334</v>
      </c>
      <c r="P5">
        <v>2333.6970654335369</v>
      </c>
      <c r="Q5">
        <v>2266.666666666667</v>
      </c>
      <c r="R5">
        <v>7</v>
      </c>
      <c r="S5" t="s">
        <v>78</v>
      </c>
      <c r="T5">
        <v>100</v>
      </c>
      <c r="U5">
        <v>210.0494220816997</v>
      </c>
      <c r="V5">
        <v>-8.0970738037400789</v>
      </c>
      <c r="W5">
        <f>P5/O5</f>
        <v>3.6872413633849881</v>
      </c>
    </row>
    <row r="6" spans="1:23" x14ac:dyDescent="0.3">
      <c r="A6" t="s">
        <v>93</v>
      </c>
      <c r="B6" t="s">
        <v>23</v>
      </c>
      <c r="C6" t="s">
        <v>94</v>
      </c>
      <c r="D6" t="s">
        <v>95</v>
      </c>
      <c r="E6" t="s">
        <v>96</v>
      </c>
      <c r="F6">
        <v>10446</v>
      </c>
      <c r="G6" t="s">
        <v>27</v>
      </c>
      <c r="H6" t="s">
        <v>47</v>
      </c>
      <c r="I6" t="s">
        <v>48</v>
      </c>
      <c r="J6" t="s">
        <v>97</v>
      </c>
      <c r="K6">
        <v>1933</v>
      </c>
      <c r="L6">
        <v>190000</v>
      </c>
      <c r="M6" t="s">
        <v>98</v>
      </c>
      <c r="N6">
        <v>310</v>
      </c>
      <c r="O6">
        <v>612.90322580645159</v>
      </c>
      <c r="P6">
        <v>1848.855666329112</v>
      </c>
      <c r="Q6">
        <v>1832.8267477203649</v>
      </c>
      <c r="R6">
        <v>30</v>
      </c>
      <c r="S6" t="s">
        <v>99</v>
      </c>
      <c r="T6">
        <v>100</v>
      </c>
      <c r="U6">
        <v>446.61219316096998</v>
      </c>
      <c r="V6">
        <v>-2.7673952020320072</v>
      </c>
      <c r="W6">
        <f>P6/O6</f>
        <v>3.0165539819053935</v>
      </c>
    </row>
    <row r="7" spans="1:23" x14ac:dyDescent="0.3">
      <c r="A7" t="s">
        <v>878</v>
      </c>
      <c r="B7" t="s">
        <v>23</v>
      </c>
      <c r="C7" t="s">
        <v>879</v>
      </c>
      <c r="D7" t="s">
        <v>880</v>
      </c>
      <c r="E7" t="s">
        <v>881</v>
      </c>
      <c r="F7">
        <v>56533</v>
      </c>
      <c r="G7" t="s">
        <v>495</v>
      </c>
      <c r="H7" t="s">
        <v>496</v>
      </c>
      <c r="I7" t="s">
        <v>882</v>
      </c>
      <c r="J7" t="s">
        <v>883</v>
      </c>
      <c r="K7">
        <v>2007</v>
      </c>
      <c r="L7">
        <v>430000</v>
      </c>
      <c r="M7" t="s">
        <v>884</v>
      </c>
      <c r="N7">
        <v>561</v>
      </c>
      <c r="O7">
        <v>766.48841354723709</v>
      </c>
      <c r="P7">
        <v>2276.1145025573342</v>
      </c>
      <c r="Q7">
        <v>2272.727272727273</v>
      </c>
      <c r="R7">
        <v>5</v>
      </c>
      <c r="S7" t="s">
        <v>885</v>
      </c>
      <c r="T7">
        <v>100</v>
      </c>
      <c r="U7">
        <v>75.782152039199175</v>
      </c>
      <c r="V7">
        <v>-19.920601993847129</v>
      </c>
      <c r="W7">
        <f>P7/O7</f>
        <v>2.9695354324061962</v>
      </c>
    </row>
    <row r="8" spans="1:23" x14ac:dyDescent="0.3">
      <c r="A8" t="s">
        <v>381</v>
      </c>
      <c r="B8" t="s">
        <v>34</v>
      </c>
      <c r="C8" t="s">
        <v>382</v>
      </c>
      <c r="D8" t="s">
        <v>383</v>
      </c>
      <c r="E8" t="s">
        <v>384</v>
      </c>
      <c r="F8">
        <v>15126</v>
      </c>
      <c r="G8" t="s">
        <v>27</v>
      </c>
      <c r="H8" t="s">
        <v>38</v>
      </c>
      <c r="I8" t="s">
        <v>385</v>
      </c>
      <c r="J8" t="s">
        <v>386</v>
      </c>
      <c r="K8">
        <v>1987</v>
      </c>
      <c r="L8">
        <v>395000</v>
      </c>
      <c r="M8" t="s">
        <v>387</v>
      </c>
      <c r="N8">
        <v>282</v>
      </c>
      <c r="O8">
        <v>1400.7092198581561</v>
      </c>
      <c r="P8">
        <v>4042.063492063492</v>
      </c>
      <c r="Q8">
        <v>4400</v>
      </c>
      <c r="R8">
        <v>3</v>
      </c>
      <c r="S8" t="s">
        <v>388</v>
      </c>
      <c r="T8">
        <v>100</v>
      </c>
      <c r="U8">
        <v>784.11212311603492</v>
      </c>
      <c r="V8">
        <v>-3.368592570292988</v>
      </c>
      <c r="W8">
        <f>P8/O8</f>
        <v>2.885726341169379</v>
      </c>
    </row>
    <row r="9" spans="1:23" x14ac:dyDescent="0.3">
      <c r="A9" t="s">
        <v>994</v>
      </c>
      <c r="B9" t="s">
        <v>23</v>
      </c>
      <c r="C9" t="s">
        <v>995</v>
      </c>
      <c r="D9" t="s">
        <v>996</v>
      </c>
      <c r="E9" t="s">
        <v>997</v>
      </c>
      <c r="F9">
        <v>19016</v>
      </c>
      <c r="G9" t="s">
        <v>27</v>
      </c>
      <c r="H9" t="s">
        <v>393</v>
      </c>
      <c r="I9" t="s">
        <v>998</v>
      </c>
      <c r="J9" t="s">
        <v>999</v>
      </c>
      <c r="K9">
        <v>2002</v>
      </c>
      <c r="L9">
        <v>286000</v>
      </c>
      <c r="M9" t="s">
        <v>1000</v>
      </c>
      <c r="N9">
        <v>254</v>
      </c>
      <c r="O9">
        <v>1125.9842519685039</v>
      </c>
      <c r="P9">
        <v>3153.8461538461538</v>
      </c>
      <c r="Q9">
        <v>3153.8461538461538</v>
      </c>
      <c r="R9">
        <v>2</v>
      </c>
      <c r="S9" t="s">
        <v>1001</v>
      </c>
      <c r="T9">
        <v>100</v>
      </c>
      <c r="U9">
        <v>2610.8558074580219</v>
      </c>
      <c r="V9">
        <v>-0.77670390531908162</v>
      </c>
      <c r="W9">
        <f>P9/O9</f>
        <v>2.800968262506724</v>
      </c>
    </row>
    <row r="10" spans="1:23" x14ac:dyDescent="0.3">
      <c r="A10" t="s">
        <v>423</v>
      </c>
      <c r="B10" t="s">
        <v>23</v>
      </c>
      <c r="C10" t="s">
        <v>424</v>
      </c>
      <c r="D10" t="s">
        <v>425</v>
      </c>
      <c r="E10" t="s">
        <v>426</v>
      </c>
      <c r="F10">
        <v>16673</v>
      </c>
      <c r="G10" t="s">
        <v>27</v>
      </c>
      <c r="H10" t="s">
        <v>393</v>
      </c>
      <c r="I10" t="s">
        <v>427</v>
      </c>
      <c r="J10" t="s">
        <v>428</v>
      </c>
      <c r="K10">
        <v>2010</v>
      </c>
      <c r="L10">
        <v>503000</v>
      </c>
      <c r="M10" t="s">
        <v>429</v>
      </c>
      <c r="N10">
        <v>217</v>
      </c>
      <c r="O10">
        <v>2317.972350230415</v>
      </c>
      <c r="P10">
        <v>6401.0433855908186</v>
      </c>
      <c r="Q10">
        <v>6375</v>
      </c>
      <c r="R10">
        <v>7</v>
      </c>
      <c r="S10" t="s">
        <v>430</v>
      </c>
      <c r="T10">
        <v>100</v>
      </c>
      <c r="U10">
        <v>938.29464444222333</v>
      </c>
      <c r="V10">
        <v>-4.3515872754316076</v>
      </c>
      <c r="W10">
        <f>P10/O10</f>
        <v>2.7614839257916648</v>
      </c>
    </row>
    <row r="11" spans="1:23" x14ac:dyDescent="0.3">
      <c r="A11" t="s">
        <v>463</v>
      </c>
      <c r="B11" t="s">
        <v>34</v>
      </c>
      <c r="C11" t="s">
        <v>464</v>
      </c>
      <c r="D11" t="s">
        <v>465</v>
      </c>
      <c r="E11" t="s">
        <v>466</v>
      </c>
      <c r="F11">
        <v>16674</v>
      </c>
      <c r="G11" t="s">
        <v>27</v>
      </c>
      <c r="H11" t="s">
        <v>369</v>
      </c>
      <c r="I11" t="s">
        <v>467</v>
      </c>
      <c r="J11" t="s">
        <v>468</v>
      </c>
      <c r="K11">
        <v>1992</v>
      </c>
      <c r="L11">
        <v>242000</v>
      </c>
      <c r="M11" t="s">
        <v>469</v>
      </c>
      <c r="N11">
        <v>107</v>
      </c>
      <c r="O11">
        <v>2261.6822429906538</v>
      </c>
      <c r="P11">
        <v>5899.1060670892484</v>
      </c>
      <c r="Q11">
        <v>5778.5714285714284</v>
      </c>
      <c r="R11">
        <v>30</v>
      </c>
      <c r="S11" t="s">
        <v>470</v>
      </c>
      <c r="T11">
        <v>100</v>
      </c>
      <c r="U11">
        <v>1853.5031773189301</v>
      </c>
      <c r="V11">
        <v>-1.9624589094905589</v>
      </c>
      <c r="W11">
        <f>P11/O11</f>
        <v>2.6082824346221063</v>
      </c>
    </row>
    <row r="12" spans="1:23" x14ac:dyDescent="0.3">
      <c r="A12" t="s">
        <v>262</v>
      </c>
      <c r="B12" t="s">
        <v>34</v>
      </c>
      <c r="C12" t="s">
        <v>263</v>
      </c>
      <c r="D12" t="s">
        <v>264</v>
      </c>
      <c r="E12" t="s">
        <v>265</v>
      </c>
      <c r="F12">
        <v>10433</v>
      </c>
      <c r="G12" t="s">
        <v>27</v>
      </c>
      <c r="H12" t="s">
        <v>47</v>
      </c>
      <c r="I12" t="s">
        <v>48</v>
      </c>
      <c r="J12" t="s">
        <v>266</v>
      </c>
      <c r="K12">
        <v>1961</v>
      </c>
      <c r="L12">
        <v>75000</v>
      </c>
      <c r="M12" t="s">
        <v>267</v>
      </c>
      <c r="N12">
        <v>91</v>
      </c>
      <c r="O12">
        <v>824.17582417582423</v>
      </c>
      <c r="P12">
        <v>2030.1481896450571</v>
      </c>
      <c r="Q12">
        <v>1697.2365869424691</v>
      </c>
      <c r="R12">
        <v>30</v>
      </c>
      <c r="S12" t="s">
        <v>268</v>
      </c>
      <c r="T12">
        <v>100</v>
      </c>
      <c r="U12">
        <v>1164.8199741531901</v>
      </c>
      <c r="V12">
        <v>-1.0353294004474469</v>
      </c>
      <c r="W12">
        <f>P12/O12</f>
        <v>2.4632464701026691</v>
      </c>
    </row>
    <row r="13" spans="1:23" x14ac:dyDescent="0.3">
      <c r="A13" t="s">
        <v>365</v>
      </c>
      <c r="B13" t="s">
        <v>34</v>
      </c>
      <c r="C13" t="s">
        <v>366</v>
      </c>
      <c r="D13" t="s">
        <v>367</v>
      </c>
      <c r="E13" t="s">
        <v>368</v>
      </c>
      <c r="F13">
        <v>17456</v>
      </c>
      <c r="G13" t="s">
        <v>27</v>
      </c>
      <c r="H13" t="s">
        <v>369</v>
      </c>
      <c r="I13" t="s">
        <v>370</v>
      </c>
      <c r="J13" t="s">
        <v>371</v>
      </c>
      <c r="K13">
        <v>1958</v>
      </c>
      <c r="L13">
        <v>208000</v>
      </c>
      <c r="M13" t="s">
        <v>372</v>
      </c>
      <c r="N13">
        <v>108</v>
      </c>
      <c r="O13">
        <v>1925.9259259259261</v>
      </c>
      <c r="P13">
        <v>4689.3017768927912</v>
      </c>
      <c r="Q13">
        <v>4649.7975708502017</v>
      </c>
      <c r="R13">
        <v>30</v>
      </c>
      <c r="S13" t="s">
        <v>373</v>
      </c>
      <c r="T13">
        <v>100</v>
      </c>
      <c r="U13">
        <v>1201.1255839087589</v>
      </c>
      <c r="V13">
        <v>-2.3006552253879722</v>
      </c>
      <c r="W13">
        <f>P13/O13</f>
        <v>2.4348297687712566</v>
      </c>
    </row>
    <row r="14" spans="1:23" x14ac:dyDescent="0.3">
      <c r="A14" t="s">
        <v>448</v>
      </c>
      <c r="B14" t="s">
        <v>34</v>
      </c>
      <c r="C14" t="s">
        <v>449</v>
      </c>
      <c r="D14" t="s">
        <v>450</v>
      </c>
      <c r="E14" t="s">
        <v>451</v>
      </c>
      <c r="F14">
        <v>16231</v>
      </c>
      <c r="G14" t="s">
        <v>27</v>
      </c>
      <c r="H14" t="s">
        <v>47</v>
      </c>
      <c r="I14" t="s">
        <v>444</v>
      </c>
      <c r="J14" t="s">
        <v>452</v>
      </c>
      <c r="K14" t="s">
        <v>453</v>
      </c>
      <c r="L14">
        <v>52000</v>
      </c>
      <c r="M14" t="s">
        <v>454</v>
      </c>
      <c r="N14">
        <v>58</v>
      </c>
      <c r="O14">
        <v>896.55172413793105</v>
      </c>
      <c r="P14">
        <v>2166.743693567063</v>
      </c>
      <c r="Q14">
        <v>1911.8414188836721</v>
      </c>
      <c r="R14">
        <v>30</v>
      </c>
      <c r="S14" t="s">
        <v>455</v>
      </c>
      <c r="T14">
        <v>100</v>
      </c>
      <c r="U14">
        <v>977.48718795052901</v>
      </c>
      <c r="V14">
        <v>-1.299446156519257</v>
      </c>
      <c r="W14">
        <f>P14/O14</f>
        <v>2.4167525812863393</v>
      </c>
    </row>
    <row r="15" spans="1:23" x14ac:dyDescent="0.3">
      <c r="A15" t="s">
        <v>921</v>
      </c>
      <c r="B15" t="s">
        <v>34</v>
      </c>
      <c r="C15" t="s">
        <v>908</v>
      </c>
      <c r="D15" t="s">
        <v>922</v>
      </c>
      <c r="E15" t="s">
        <v>923</v>
      </c>
      <c r="F15">
        <v>18546</v>
      </c>
      <c r="G15" t="s">
        <v>27</v>
      </c>
      <c r="H15" t="s">
        <v>655</v>
      </c>
      <c r="I15" t="s">
        <v>655</v>
      </c>
      <c r="J15" t="s">
        <v>924</v>
      </c>
      <c r="K15">
        <v>1966</v>
      </c>
      <c r="L15">
        <v>80000</v>
      </c>
      <c r="M15" t="s">
        <v>925</v>
      </c>
      <c r="N15">
        <v>91</v>
      </c>
      <c r="O15">
        <v>879.12087912087907</v>
      </c>
      <c r="P15">
        <v>2047.694783414453</v>
      </c>
      <c r="Q15">
        <v>2000</v>
      </c>
      <c r="R15">
        <v>23</v>
      </c>
      <c r="S15" t="s">
        <v>926</v>
      </c>
      <c r="T15">
        <v>100</v>
      </c>
      <c r="U15">
        <v>869.60038202553324</v>
      </c>
      <c r="V15">
        <v>-1.343805647338437</v>
      </c>
      <c r="W15">
        <f>P15/O15</f>
        <v>2.3292528161339403</v>
      </c>
    </row>
    <row r="16" spans="1:23" x14ac:dyDescent="0.3">
      <c r="A16" t="s">
        <v>155</v>
      </c>
      <c r="B16" t="s">
        <v>34</v>
      </c>
      <c r="C16" t="s">
        <v>156</v>
      </c>
      <c r="D16" t="s">
        <v>157</v>
      </c>
      <c r="E16" t="s">
        <v>158</v>
      </c>
      <c r="F16">
        <v>11251</v>
      </c>
      <c r="G16" t="s">
        <v>27</v>
      </c>
      <c r="H16" t="s">
        <v>47</v>
      </c>
      <c r="I16" t="s">
        <v>48</v>
      </c>
      <c r="J16" t="s">
        <v>159</v>
      </c>
      <c r="K16">
        <v>1969</v>
      </c>
      <c r="L16">
        <v>70000</v>
      </c>
      <c r="M16" t="s">
        <v>160</v>
      </c>
      <c r="N16">
        <v>76</v>
      </c>
      <c r="O16">
        <v>921.0526315789474</v>
      </c>
      <c r="P16">
        <v>2120.481072726478</v>
      </c>
      <c r="Q16">
        <v>2100.2935420743638</v>
      </c>
      <c r="R16">
        <v>30</v>
      </c>
      <c r="S16" t="s">
        <v>161</v>
      </c>
      <c r="T16">
        <v>100</v>
      </c>
      <c r="U16">
        <v>596.20301488933717</v>
      </c>
      <c r="V16">
        <v>-2.0117785572925349</v>
      </c>
      <c r="W16">
        <f>P16/O16</f>
        <v>2.3022365932458904</v>
      </c>
    </row>
    <row r="17" spans="1:23" x14ac:dyDescent="0.3">
      <c r="A17" t="s">
        <v>148</v>
      </c>
      <c r="B17" t="s">
        <v>23</v>
      </c>
      <c r="C17" t="s">
        <v>149</v>
      </c>
      <c r="D17" t="s">
        <v>150</v>
      </c>
      <c r="E17" t="s">
        <v>151</v>
      </c>
      <c r="F17">
        <v>11854</v>
      </c>
      <c r="G17" t="s">
        <v>27</v>
      </c>
      <c r="H17" t="s">
        <v>47</v>
      </c>
      <c r="I17" t="s">
        <v>48</v>
      </c>
      <c r="J17" t="s">
        <v>152</v>
      </c>
      <c r="K17">
        <v>1955</v>
      </c>
      <c r="L17">
        <v>770000</v>
      </c>
      <c r="M17" t="s">
        <v>153</v>
      </c>
      <c r="N17">
        <v>419</v>
      </c>
      <c r="O17">
        <v>1837.708830548926</v>
      </c>
      <c r="P17">
        <v>4203.1238539944834</v>
      </c>
      <c r="Q17">
        <v>3948.011459386586</v>
      </c>
      <c r="R17">
        <v>30</v>
      </c>
      <c r="S17" t="s">
        <v>154</v>
      </c>
      <c r="T17">
        <v>100</v>
      </c>
      <c r="U17">
        <v>1607.779192451407</v>
      </c>
      <c r="V17">
        <v>-1.4712312701590391</v>
      </c>
      <c r="W17">
        <f>P17/O17</f>
        <v>2.2871544088619333</v>
      </c>
    </row>
    <row r="18" spans="1:23" x14ac:dyDescent="0.3">
      <c r="A18" t="s">
        <v>842</v>
      </c>
      <c r="B18" t="s">
        <v>34</v>
      </c>
      <c r="C18" t="s">
        <v>843</v>
      </c>
      <c r="D18" t="s">
        <v>844</v>
      </c>
      <c r="E18" t="s">
        <v>845</v>
      </c>
      <c r="F18">
        <v>17562</v>
      </c>
      <c r="G18" t="s">
        <v>27</v>
      </c>
      <c r="H18" t="s">
        <v>369</v>
      </c>
      <c r="I18" t="s">
        <v>846</v>
      </c>
      <c r="J18" t="s">
        <v>847</v>
      </c>
      <c r="K18">
        <v>1967</v>
      </c>
      <c r="L18">
        <v>165000</v>
      </c>
      <c r="M18" t="s">
        <v>848</v>
      </c>
      <c r="N18">
        <v>84</v>
      </c>
      <c r="O18">
        <v>1964.285714285714</v>
      </c>
      <c r="P18">
        <v>4434.110835108374</v>
      </c>
      <c r="Q18">
        <v>4145.189003436426</v>
      </c>
      <c r="R18">
        <v>30</v>
      </c>
      <c r="S18" t="s">
        <v>849</v>
      </c>
      <c r="T18">
        <v>100</v>
      </c>
      <c r="U18">
        <v>1170.100008873562</v>
      </c>
      <c r="V18">
        <v>-2.1107812170690639</v>
      </c>
      <c r="W18">
        <f>P18/O18</f>
        <v>2.2573655160551724</v>
      </c>
    </row>
    <row r="19" spans="1:23" x14ac:dyDescent="0.3">
      <c r="A19" t="s">
        <v>330</v>
      </c>
      <c r="B19" t="s">
        <v>34</v>
      </c>
      <c r="C19" t="s">
        <v>254</v>
      </c>
      <c r="D19" t="s">
        <v>331</v>
      </c>
      <c r="E19" t="s">
        <v>332</v>
      </c>
      <c r="F19">
        <v>10440</v>
      </c>
      <c r="G19" t="s">
        <v>27</v>
      </c>
      <c r="H19" t="s">
        <v>47</v>
      </c>
      <c r="I19" t="s">
        <v>48</v>
      </c>
      <c r="J19" t="s">
        <v>333</v>
      </c>
      <c r="K19">
        <v>1971</v>
      </c>
      <c r="L19">
        <v>75000</v>
      </c>
      <c r="M19" t="s">
        <v>334</v>
      </c>
      <c r="N19">
        <v>80</v>
      </c>
      <c r="O19">
        <v>937.5</v>
      </c>
      <c r="P19">
        <v>2096.9660422927209</v>
      </c>
      <c r="Q19">
        <v>1777.7777777777781</v>
      </c>
      <c r="R19">
        <v>11</v>
      </c>
      <c r="S19" t="s">
        <v>335</v>
      </c>
      <c r="T19">
        <v>100</v>
      </c>
      <c r="U19">
        <v>1158.0788917192299</v>
      </c>
      <c r="V19">
        <v>-1.001197803175077</v>
      </c>
      <c r="W19">
        <f>P19/O19</f>
        <v>2.2367637784455687</v>
      </c>
    </row>
    <row r="20" spans="1:23" x14ac:dyDescent="0.3">
      <c r="A20" t="s">
        <v>180</v>
      </c>
      <c r="B20" t="s">
        <v>34</v>
      </c>
      <c r="C20" t="s">
        <v>181</v>
      </c>
      <c r="D20" t="s">
        <v>182</v>
      </c>
      <c r="E20" t="s">
        <v>183</v>
      </c>
      <c r="F20">
        <v>10446</v>
      </c>
      <c r="G20" t="s">
        <v>27</v>
      </c>
      <c r="H20" t="s">
        <v>47</v>
      </c>
      <c r="I20" t="s">
        <v>48</v>
      </c>
      <c r="J20" t="s">
        <v>56</v>
      </c>
      <c r="K20">
        <v>1964</v>
      </c>
      <c r="L20">
        <v>65000</v>
      </c>
      <c r="M20" t="s">
        <v>184</v>
      </c>
      <c r="N20">
        <v>61</v>
      </c>
      <c r="O20">
        <v>1065.5737704918031</v>
      </c>
      <c r="P20">
        <v>2327.5024008230662</v>
      </c>
      <c r="Q20">
        <v>2461.8725868725869</v>
      </c>
      <c r="R20">
        <v>30</v>
      </c>
      <c r="S20" t="s">
        <v>58</v>
      </c>
      <c r="T20">
        <v>100</v>
      </c>
      <c r="U20">
        <v>582.42522968013122</v>
      </c>
      <c r="V20">
        <v>-2.1666791993614631</v>
      </c>
      <c r="W20">
        <f>P20/O20</f>
        <v>2.1842714838493396</v>
      </c>
    </row>
    <row r="21" spans="1:23" x14ac:dyDescent="0.3">
      <c r="A21" t="s">
        <v>323</v>
      </c>
      <c r="B21" t="s">
        <v>34</v>
      </c>
      <c r="C21" t="s">
        <v>324</v>
      </c>
      <c r="D21" t="s">
        <v>325</v>
      </c>
      <c r="E21" t="s">
        <v>326</v>
      </c>
      <c r="F21">
        <v>11257</v>
      </c>
      <c r="G21" t="s">
        <v>27</v>
      </c>
      <c r="H21" t="s">
        <v>47</v>
      </c>
      <c r="I21" t="s">
        <v>48</v>
      </c>
      <c r="J21" t="s">
        <v>327</v>
      </c>
      <c r="K21">
        <v>1954</v>
      </c>
      <c r="L21">
        <v>137000</v>
      </c>
      <c r="M21" t="s">
        <v>328</v>
      </c>
      <c r="N21">
        <v>122</v>
      </c>
      <c r="O21">
        <v>1122.950819672131</v>
      </c>
      <c r="P21">
        <v>2425.5504970995189</v>
      </c>
      <c r="Q21">
        <v>2382.432432432433</v>
      </c>
      <c r="R21">
        <v>30</v>
      </c>
      <c r="S21" t="s">
        <v>329</v>
      </c>
      <c r="T21">
        <v>100</v>
      </c>
      <c r="U21">
        <v>796.89827549761355</v>
      </c>
      <c r="V21">
        <v>-1.634587145534975</v>
      </c>
      <c r="W21">
        <f>P21/O21</f>
        <v>2.1599792747893529</v>
      </c>
    </row>
    <row r="22" spans="1:23" x14ac:dyDescent="0.3">
      <c r="A22" t="s">
        <v>121</v>
      </c>
      <c r="B22" t="s">
        <v>34</v>
      </c>
      <c r="C22" t="s">
        <v>122</v>
      </c>
      <c r="D22" t="s">
        <v>123</v>
      </c>
      <c r="E22" t="s">
        <v>124</v>
      </c>
      <c r="F22">
        <v>10446</v>
      </c>
      <c r="G22" t="s">
        <v>27</v>
      </c>
      <c r="H22" t="s">
        <v>47</v>
      </c>
      <c r="I22" t="s">
        <v>48</v>
      </c>
      <c r="J22" t="s">
        <v>125</v>
      </c>
      <c r="K22">
        <v>1955</v>
      </c>
      <c r="L22">
        <v>71000</v>
      </c>
      <c r="M22" t="s">
        <v>126</v>
      </c>
      <c r="N22">
        <v>89</v>
      </c>
      <c r="O22">
        <v>797.75280898876406</v>
      </c>
      <c r="P22">
        <v>1717.9765206149391</v>
      </c>
      <c r="Q22">
        <v>1688.259109311741</v>
      </c>
      <c r="R22">
        <v>30</v>
      </c>
      <c r="S22" t="s">
        <v>127</v>
      </c>
      <c r="T22">
        <v>100</v>
      </c>
      <c r="U22">
        <v>390.17243479218217</v>
      </c>
      <c r="V22">
        <v>-2.3585051878826722</v>
      </c>
      <c r="W22">
        <f>P22/O22</f>
        <v>2.1535198638694308</v>
      </c>
    </row>
    <row r="23" spans="1:23" x14ac:dyDescent="0.3">
      <c r="A23" t="s">
        <v>677</v>
      </c>
      <c r="B23" t="s">
        <v>34</v>
      </c>
      <c r="C23" t="s">
        <v>678</v>
      </c>
      <c r="D23" t="s">
        <v>679</v>
      </c>
      <c r="E23" t="s">
        <v>680</v>
      </c>
      <c r="F23">
        <v>14561</v>
      </c>
      <c r="G23" t="s">
        <v>27</v>
      </c>
      <c r="H23" t="s">
        <v>38</v>
      </c>
      <c r="I23" t="s">
        <v>664</v>
      </c>
      <c r="J23" t="s">
        <v>681</v>
      </c>
      <c r="K23">
        <v>1972</v>
      </c>
      <c r="L23">
        <v>470000</v>
      </c>
      <c r="M23" t="s">
        <v>682</v>
      </c>
      <c r="N23">
        <v>223</v>
      </c>
      <c r="O23">
        <v>2107.6233183856498</v>
      </c>
      <c r="P23">
        <v>4527.9049403076706</v>
      </c>
      <c r="Q23">
        <v>3907.894736842105</v>
      </c>
      <c r="R23">
        <v>28</v>
      </c>
      <c r="S23" t="s">
        <v>683</v>
      </c>
      <c r="T23">
        <v>100</v>
      </c>
      <c r="U23">
        <v>1594.476003255962</v>
      </c>
      <c r="V23">
        <v>-1.5179166177350689</v>
      </c>
      <c r="W23">
        <f>P23/O23</f>
        <v>2.1483463865715122</v>
      </c>
    </row>
    <row r="24" spans="1:23" x14ac:dyDescent="0.3">
      <c r="A24" t="s">
        <v>224</v>
      </c>
      <c r="B24" t="s">
        <v>34</v>
      </c>
      <c r="C24" t="s">
        <v>181</v>
      </c>
      <c r="D24" t="s">
        <v>225</v>
      </c>
      <c r="E24" t="s">
        <v>226</v>
      </c>
      <c r="F24">
        <v>10446</v>
      </c>
      <c r="G24" t="s">
        <v>27</v>
      </c>
      <c r="H24" t="s">
        <v>47</v>
      </c>
      <c r="I24" t="s">
        <v>48</v>
      </c>
      <c r="J24" t="s">
        <v>56</v>
      </c>
      <c r="K24">
        <v>1965</v>
      </c>
      <c r="L24">
        <v>57000</v>
      </c>
      <c r="M24" t="s">
        <v>227</v>
      </c>
      <c r="N24">
        <v>52</v>
      </c>
      <c r="O24">
        <v>1096.153846153846</v>
      </c>
      <c r="P24">
        <v>2327.5024008230662</v>
      </c>
      <c r="Q24">
        <v>2461.8725868725869</v>
      </c>
      <c r="R24">
        <v>30</v>
      </c>
      <c r="S24" t="s">
        <v>58</v>
      </c>
      <c r="T24">
        <v>100</v>
      </c>
      <c r="U24">
        <v>582.42522968013122</v>
      </c>
      <c r="V24">
        <v>-2.1141744758301049</v>
      </c>
      <c r="W24">
        <f>P24/O24</f>
        <v>2.1233355235578855</v>
      </c>
    </row>
    <row r="25" spans="1:23" x14ac:dyDescent="0.3">
      <c r="A25" t="s">
        <v>253</v>
      </c>
      <c r="B25" t="s">
        <v>34</v>
      </c>
      <c r="C25" t="s">
        <v>254</v>
      </c>
      <c r="D25" t="s">
        <v>255</v>
      </c>
      <c r="E25" t="s">
        <v>256</v>
      </c>
      <c r="F25">
        <v>10440</v>
      </c>
      <c r="G25" t="s">
        <v>27</v>
      </c>
      <c r="H25" t="s">
        <v>257</v>
      </c>
      <c r="I25" t="s">
        <v>258</v>
      </c>
      <c r="J25" t="s">
        <v>259</v>
      </c>
      <c r="K25">
        <v>1971</v>
      </c>
      <c r="L25">
        <v>70000</v>
      </c>
      <c r="M25" t="s">
        <v>260</v>
      </c>
      <c r="N25">
        <v>67</v>
      </c>
      <c r="O25">
        <v>1044.7761194029849</v>
      </c>
      <c r="P25">
        <v>2192.8874729377922</v>
      </c>
      <c r="Q25">
        <v>1925</v>
      </c>
      <c r="R25">
        <v>30</v>
      </c>
      <c r="S25" t="s">
        <v>261</v>
      </c>
      <c r="T25">
        <v>100</v>
      </c>
      <c r="U25">
        <v>1495.394427878085</v>
      </c>
      <c r="V25">
        <v>-0.76776490010327159</v>
      </c>
      <c r="W25">
        <f>P25/O25</f>
        <v>2.0989065812404584</v>
      </c>
    </row>
    <row r="26" spans="1:23" x14ac:dyDescent="0.3">
      <c r="A26" t="s">
        <v>1052</v>
      </c>
      <c r="B26" t="s">
        <v>23</v>
      </c>
      <c r="C26" t="s">
        <v>1053</v>
      </c>
      <c r="D26" t="s">
        <v>1054</v>
      </c>
      <c r="E26" t="s">
        <v>1055</v>
      </c>
      <c r="F26">
        <v>54500</v>
      </c>
      <c r="G26" t="s">
        <v>495</v>
      </c>
      <c r="H26" t="s">
        <v>496</v>
      </c>
      <c r="I26" t="s">
        <v>1056</v>
      </c>
      <c r="J26" t="s">
        <v>1057</v>
      </c>
      <c r="K26">
        <v>1999</v>
      </c>
      <c r="L26">
        <v>290000</v>
      </c>
      <c r="M26" t="s">
        <v>1058</v>
      </c>
      <c r="N26">
        <v>525</v>
      </c>
      <c r="O26">
        <v>552.38095238095241</v>
      </c>
      <c r="P26">
        <v>1150.257678829108</v>
      </c>
      <c r="Q26">
        <v>1166.666666666667</v>
      </c>
      <c r="R26">
        <v>3</v>
      </c>
      <c r="S26" t="s">
        <v>1059</v>
      </c>
      <c r="T26">
        <v>100</v>
      </c>
      <c r="U26">
        <v>185.023950766844</v>
      </c>
      <c r="V26">
        <v>-3.2313477469820309</v>
      </c>
      <c r="W26">
        <f>P26/O26</f>
        <v>2.082363039259592</v>
      </c>
    </row>
    <row r="27" spans="1:23" x14ac:dyDescent="0.3">
      <c r="A27" t="s">
        <v>192</v>
      </c>
      <c r="B27" t="s">
        <v>34</v>
      </c>
      <c r="C27" t="s">
        <v>193</v>
      </c>
      <c r="D27" t="s">
        <v>194</v>
      </c>
      <c r="E27" t="s">
        <v>195</v>
      </c>
      <c r="F27">
        <v>10446</v>
      </c>
      <c r="G27" t="s">
        <v>27</v>
      </c>
      <c r="H27" t="s">
        <v>47</v>
      </c>
      <c r="I27" t="s">
        <v>48</v>
      </c>
      <c r="J27" t="s">
        <v>196</v>
      </c>
      <c r="K27">
        <v>1960</v>
      </c>
      <c r="L27">
        <v>53000</v>
      </c>
      <c r="M27" t="s">
        <v>197</v>
      </c>
      <c r="N27">
        <v>53</v>
      </c>
      <c r="O27">
        <v>1000</v>
      </c>
      <c r="P27">
        <v>2074.67032969294</v>
      </c>
      <c r="Q27">
        <v>1942.4342105263161</v>
      </c>
      <c r="R27">
        <v>30</v>
      </c>
      <c r="S27" t="s">
        <v>198</v>
      </c>
      <c r="T27">
        <v>100</v>
      </c>
      <c r="U27">
        <v>459.07842493648889</v>
      </c>
      <c r="V27">
        <v>-2.340929722065713</v>
      </c>
      <c r="W27">
        <f>P27/O27</f>
        <v>2.0746703296929399</v>
      </c>
    </row>
    <row r="28" spans="1:23" x14ac:dyDescent="0.3">
      <c r="A28" t="s">
        <v>1023</v>
      </c>
      <c r="B28" t="s">
        <v>23</v>
      </c>
      <c r="C28" t="s">
        <v>1024</v>
      </c>
      <c r="D28" t="s">
        <v>1025</v>
      </c>
      <c r="E28" t="s">
        <v>1026</v>
      </c>
      <c r="F28">
        <v>13341</v>
      </c>
      <c r="G28" t="s">
        <v>27</v>
      </c>
      <c r="H28" t="s">
        <v>538</v>
      </c>
      <c r="I28" t="s">
        <v>1006</v>
      </c>
      <c r="J28" t="s">
        <v>1027</v>
      </c>
      <c r="K28">
        <v>1990</v>
      </c>
      <c r="L28">
        <v>210000</v>
      </c>
      <c r="M28" t="s">
        <v>1028</v>
      </c>
      <c r="N28">
        <v>235</v>
      </c>
      <c r="O28">
        <v>893.61702127659578</v>
      </c>
      <c r="P28">
        <v>1842.5678397480499</v>
      </c>
      <c r="Q28">
        <v>1785.714285714286</v>
      </c>
      <c r="R28">
        <v>3</v>
      </c>
      <c r="S28" t="s">
        <v>1029</v>
      </c>
      <c r="T28">
        <v>100</v>
      </c>
      <c r="U28">
        <v>577.9151194875509</v>
      </c>
      <c r="V28">
        <v>-1.642024557711707</v>
      </c>
      <c r="W28">
        <f>P28/O28</f>
        <v>2.0619211540037701</v>
      </c>
    </row>
    <row r="29" spans="1:23" x14ac:dyDescent="0.3">
      <c r="A29" t="s">
        <v>135</v>
      </c>
      <c r="B29" t="s">
        <v>34</v>
      </c>
      <c r="C29" t="s">
        <v>136</v>
      </c>
      <c r="D29" t="s">
        <v>137</v>
      </c>
      <c r="E29" t="s">
        <v>138</v>
      </c>
      <c r="F29">
        <v>74100</v>
      </c>
      <c r="G29" t="s">
        <v>27</v>
      </c>
      <c r="H29" t="s">
        <v>47</v>
      </c>
      <c r="I29" t="s">
        <v>48</v>
      </c>
      <c r="J29" t="s">
        <v>139</v>
      </c>
      <c r="K29">
        <v>1973</v>
      </c>
      <c r="L29">
        <v>69000</v>
      </c>
      <c r="N29">
        <v>57</v>
      </c>
      <c r="O29">
        <v>1210.526315789474</v>
      </c>
      <c r="P29">
        <v>2448.9568027504238</v>
      </c>
      <c r="Q29">
        <v>2583.333333333333</v>
      </c>
      <c r="R29">
        <v>30</v>
      </c>
      <c r="S29" t="s">
        <v>140</v>
      </c>
      <c r="T29">
        <v>100</v>
      </c>
      <c r="U29">
        <v>705.23028198793361</v>
      </c>
      <c r="V29">
        <v>-1.756065385436951</v>
      </c>
      <c r="W29">
        <f>P29/O29</f>
        <v>2.0230512718373062</v>
      </c>
    </row>
    <row r="30" spans="1:23" x14ac:dyDescent="0.3">
      <c r="A30" t="s">
        <v>940</v>
      </c>
      <c r="B30" t="s">
        <v>23</v>
      </c>
      <c r="C30" t="s">
        <v>941</v>
      </c>
      <c r="D30" t="s">
        <v>942</v>
      </c>
      <c r="E30" t="s">
        <v>943</v>
      </c>
      <c r="F30">
        <v>15236</v>
      </c>
      <c r="G30" t="s">
        <v>27</v>
      </c>
      <c r="H30" t="s">
        <v>38</v>
      </c>
      <c r="I30" t="s">
        <v>944</v>
      </c>
      <c r="J30" t="s">
        <v>945</v>
      </c>
      <c r="K30">
        <v>1977</v>
      </c>
      <c r="L30">
        <v>740000</v>
      </c>
      <c r="M30" t="s">
        <v>946</v>
      </c>
      <c r="N30">
        <v>541</v>
      </c>
      <c r="O30">
        <v>1367.837338262477</v>
      </c>
      <c r="P30">
        <v>2750</v>
      </c>
      <c r="Q30">
        <v>2750</v>
      </c>
      <c r="R30">
        <v>1</v>
      </c>
      <c r="S30" t="s">
        <v>947</v>
      </c>
      <c r="T30">
        <v>100</v>
      </c>
      <c r="W30">
        <f>P30/O30</f>
        <v>2.0104729729729729</v>
      </c>
    </row>
    <row r="31" spans="1:23" x14ac:dyDescent="0.3">
      <c r="A31" t="s">
        <v>162</v>
      </c>
      <c r="B31" t="s">
        <v>34</v>
      </c>
      <c r="C31" t="s">
        <v>156</v>
      </c>
      <c r="D31" t="s">
        <v>163</v>
      </c>
      <c r="E31" t="s">
        <v>164</v>
      </c>
      <c r="F31">
        <v>11251</v>
      </c>
      <c r="G31" t="s">
        <v>27</v>
      </c>
      <c r="H31" t="s">
        <v>47</v>
      </c>
      <c r="I31" t="s">
        <v>48</v>
      </c>
      <c r="J31" t="s">
        <v>97</v>
      </c>
      <c r="K31">
        <v>1954</v>
      </c>
      <c r="L31">
        <v>75000</v>
      </c>
      <c r="M31" t="s">
        <v>165</v>
      </c>
      <c r="N31">
        <v>80</v>
      </c>
      <c r="O31">
        <v>937.5</v>
      </c>
      <c r="P31">
        <v>1848.855666329112</v>
      </c>
      <c r="Q31">
        <v>1832.8267477203649</v>
      </c>
      <c r="R31">
        <v>30</v>
      </c>
      <c r="S31" t="s">
        <v>99</v>
      </c>
      <c r="T31">
        <v>100</v>
      </c>
      <c r="U31">
        <v>446.61219316096998</v>
      </c>
      <c r="V31">
        <v>-2.0405973690033958</v>
      </c>
      <c r="W31">
        <f>P31/O31</f>
        <v>1.9721127107510528</v>
      </c>
    </row>
    <row r="32" spans="1:23" x14ac:dyDescent="0.3">
      <c r="A32" t="s">
        <v>141</v>
      </c>
      <c r="B32" t="s">
        <v>34</v>
      </c>
      <c r="C32" t="s">
        <v>142</v>
      </c>
      <c r="D32" t="s">
        <v>143</v>
      </c>
      <c r="E32" t="s">
        <v>144</v>
      </c>
      <c r="F32">
        <v>11527</v>
      </c>
      <c r="G32" t="s">
        <v>27</v>
      </c>
      <c r="H32" t="s">
        <v>47</v>
      </c>
      <c r="I32" t="s">
        <v>48</v>
      </c>
      <c r="J32" t="s">
        <v>145</v>
      </c>
      <c r="K32">
        <v>1963</v>
      </c>
      <c r="L32">
        <v>114000</v>
      </c>
      <c r="M32" t="s">
        <v>146</v>
      </c>
      <c r="N32">
        <v>72</v>
      </c>
      <c r="O32">
        <v>1583.333333333333</v>
      </c>
      <c r="P32">
        <v>3065.2613046596061</v>
      </c>
      <c r="Q32">
        <v>2872.515527950311</v>
      </c>
      <c r="R32">
        <v>30</v>
      </c>
      <c r="S32" t="s">
        <v>147</v>
      </c>
      <c r="T32">
        <v>100</v>
      </c>
      <c r="U32">
        <v>829.90707767773142</v>
      </c>
      <c r="V32">
        <v>-1.785655299474062</v>
      </c>
      <c r="W32">
        <f>P32/O32</f>
        <v>1.9359545082060674</v>
      </c>
    </row>
    <row r="33" spans="1:23" x14ac:dyDescent="0.3">
      <c r="A33" t="s">
        <v>628</v>
      </c>
      <c r="B33" t="s">
        <v>34</v>
      </c>
      <c r="C33" t="s">
        <v>629</v>
      </c>
      <c r="D33" t="s">
        <v>630</v>
      </c>
      <c r="E33" t="s">
        <v>631</v>
      </c>
      <c r="F33">
        <v>54453</v>
      </c>
      <c r="G33" t="s">
        <v>495</v>
      </c>
      <c r="H33" t="s">
        <v>496</v>
      </c>
      <c r="I33" t="s">
        <v>496</v>
      </c>
      <c r="J33" t="s">
        <v>632</v>
      </c>
      <c r="K33">
        <v>1969</v>
      </c>
      <c r="L33">
        <v>86000</v>
      </c>
      <c r="M33" t="s">
        <v>633</v>
      </c>
      <c r="N33">
        <v>64</v>
      </c>
      <c r="O33">
        <v>1343.75</v>
      </c>
      <c r="P33">
        <v>2568.3155273766201</v>
      </c>
      <c r="Q33">
        <v>2955.3501180173089</v>
      </c>
      <c r="R33">
        <v>30</v>
      </c>
      <c r="S33" t="s">
        <v>634</v>
      </c>
      <c r="T33">
        <v>100</v>
      </c>
      <c r="U33">
        <v>752.7437680028238</v>
      </c>
      <c r="V33">
        <v>-1.626802611233344</v>
      </c>
      <c r="W33">
        <f>P33/O33</f>
        <v>1.9113045785128335</v>
      </c>
    </row>
    <row r="34" spans="1:23" x14ac:dyDescent="0.3">
      <c r="A34" t="s">
        <v>276</v>
      </c>
      <c r="B34" t="s">
        <v>34</v>
      </c>
      <c r="C34" t="s">
        <v>277</v>
      </c>
      <c r="D34" t="s">
        <v>278</v>
      </c>
      <c r="E34" t="s">
        <v>279</v>
      </c>
      <c r="F34">
        <v>10432</v>
      </c>
      <c r="G34" t="s">
        <v>27</v>
      </c>
      <c r="H34" t="s">
        <v>47</v>
      </c>
      <c r="I34" t="s">
        <v>48</v>
      </c>
      <c r="J34" t="s">
        <v>280</v>
      </c>
      <c r="K34">
        <v>1959</v>
      </c>
      <c r="L34">
        <v>104000</v>
      </c>
      <c r="M34" t="s">
        <v>281</v>
      </c>
      <c r="N34">
        <v>75</v>
      </c>
      <c r="O34">
        <v>1386.666666666667</v>
      </c>
      <c r="P34">
        <v>2629.081395724183</v>
      </c>
      <c r="Q34">
        <v>2086.95652173913</v>
      </c>
      <c r="R34">
        <v>30</v>
      </c>
      <c r="S34" t="s">
        <v>282</v>
      </c>
      <c r="T34">
        <v>100</v>
      </c>
      <c r="U34">
        <v>1510.173712635639</v>
      </c>
      <c r="V34">
        <v>-0.82269656706524519</v>
      </c>
      <c r="W34">
        <f>P34/O34</f>
        <v>1.8959721603780162</v>
      </c>
    </row>
    <row r="35" spans="1:23" x14ac:dyDescent="0.3">
      <c r="A35" t="s">
        <v>431</v>
      </c>
      <c r="B35" t="s">
        <v>23</v>
      </c>
      <c r="C35" t="s">
        <v>424</v>
      </c>
      <c r="D35" t="s">
        <v>432</v>
      </c>
      <c r="E35" t="s">
        <v>426</v>
      </c>
      <c r="F35">
        <v>16673</v>
      </c>
      <c r="G35" t="s">
        <v>27</v>
      </c>
      <c r="H35" t="s">
        <v>393</v>
      </c>
      <c r="I35" t="s">
        <v>427</v>
      </c>
      <c r="J35" t="s">
        <v>428</v>
      </c>
      <c r="K35">
        <v>2010</v>
      </c>
      <c r="L35">
        <v>1097000</v>
      </c>
      <c r="M35" t="s">
        <v>429</v>
      </c>
      <c r="N35">
        <v>324</v>
      </c>
      <c r="O35">
        <v>3385.8024691358019</v>
      </c>
      <c r="P35">
        <v>6401.0433855908186</v>
      </c>
      <c r="Q35">
        <v>6375</v>
      </c>
      <c r="R35">
        <v>7</v>
      </c>
      <c r="S35" t="s">
        <v>430</v>
      </c>
      <c r="T35">
        <v>100</v>
      </c>
      <c r="U35">
        <v>938.29464444222333</v>
      </c>
      <c r="V35">
        <v>-3.2135331202358621</v>
      </c>
      <c r="W35">
        <f>P35/O35</f>
        <v>1.8905542907305612</v>
      </c>
    </row>
    <row r="36" spans="1:23" x14ac:dyDescent="0.3">
      <c r="A36" t="s">
        <v>834</v>
      </c>
      <c r="B36" t="s">
        <v>23</v>
      </c>
      <c r="C36" t="s">
        <v>835</v>
      </c>
      <c r="D36" t="s">
        <v>836</v>
      </c>
      <c r="E36" t="s">
        <v>837</v>
      </c>
      <c r="F36">
        <v>15354</v>
      </c>
      <c r="G36" t="s">
        <v>27</v>
      </c>
      <c r="H36" t="s">
        <v>393</v>
      </c>
      <c r="I36" t="s">
        <v>838</v>
      </c>
      <c r="J36" t="s">
        <v>839</v>
      </c>
      <c r="K36">
        <v>2007</v>
      </c>
      <c r="L36">
        <v>625900</v>
      </c>
      <c r="M36" t="s">
        <v>840</v>
      </c>
      <c r="N36">
        <v>460</v>
      </c>
      <c r="O36">
        <v>1360.652173913043</v>
      </c>
      <c r="P36">
        <v>2553.1092436974791</v>
      </c>
      <c r="Q36">
        <v>2560</v>
      </c>
      <c r="R36">
        <v>4</v>
      </c>
      <c r="S36" t="s">
        <v>841</v>
      </c>
      <c r="T36">
        <v>100</v>
      </c>
      <c r="U36">
        <v>370.59647977007859</v>
      </c>
      <c r="V36">
        <v>-3.2176697159245728</v>
      </c>
      <c r="W36">
        <f>P36/O36</f>
        <v>1.8763864069353582</v>
      </c>
    </row>
    <row r="37" spans="1:23" x14ac:dyDescent="0.3">
      <c r="A37" t="s">
        <v>269</v>
      </c>
      <c r="B37" t="s">
        <v>34</v>
      </c>
      <c r="C37" t="s">
        <v>270</v>
      </c>
      <c r="D37" t="s">
        <v>271</v>
      </c>
      <c r="E37" t="s">
        <v>272</v>
      </c>
      <c r="F37">
        <v>10446</v>
      </c>
      <c r="G37" t="s">
        <v>27</v>
      </c>
      <c r="H37" t="s">
        <v>47</v>
      </c>
      <c r="I37" t="s">
        <v>48</v>
      </c>
      <c r="J37" t="s">
        <v>273</v>
      </c>
      <c r="K37">
        <v>1964</v>
      </c>
      <c r="L37">
        <v>92000</v>
      </c>
      <c r="M37" t="s">
        <v>274</v>
      </c>
      <c r="N37">
        <v>88</v>
      </c>
      <c r="O37">
        <v>1045.454545454545</v>
      </c>
      <c r="P37">
        <v>1945.7352463241609</v>
      </c>
      <c r="Q37">
        <v>1845.238095238095</v>
      </c>
      <c r="R37">
        <v>30</v>
      </c>
      <c r="S37" t="s">
        <v>275</v>
      </c>
      <c r="T37">
        <v>100</v>
      </c>
      <c r="U37">
        <v>618.47519903606326</v>
      </c>
      <c r="V37">
        <v>-1.455645597871613</v>
      </c>
      <c r="W37">
        <f>P37/O37</f>
        <v>1.861138061701372</v>
      </c>
    </row>
    <row r="38" spans="1:23" x14ac:dyDescent="0.3">
      <c r="A38" t="s">
        <v>900</v>
      </c>
      <c r="B38" t="s">
        <v>34</v>
      </c>
      <c r="C38" t="s">
        <v>901</v>
      </c>
      <c r="D38" t="s">
        <v>902</v>
      </c>
      <c r="E38" t="s">
        <v>903</v>
      </c>
      <c r="F38">
        <v>18538</v>
      </c>
      <c r="G38" t="s">
        <v>27</v>
      </c>
      <c r="H38" t="s">
        <v>655</v>
      </c>
      <c r="I38" t="s">
        <v>655</v>
      </c>
      <c r="J38" t="s">
        <v>904</v>
      </c>
      <c r="K38">
        <v>2001</v>
      </c>
      <c r="L38">
        <v>260000</v>
      </c>
      <c r="M38" t="s">
        <v>905</v>
      </c>
      <c r="N38">
        <v>159</v>
      </c>
      <c r="O38">
        <v>1635.2201257861641</v>
      </c>
      <c r="P38">
        <v>3038.4051469453138</v>
      </c>
      <c r="Q38">
        <v>2727.272727272727</v>
      </c>
      <c r="R38">
        <v>30</v>
      </c>
      <c r="S38" t="s">
        <v>906</v>
      </c>
      <c r="T38">
        <v>100</v>
      </c>
      <c r="U38">
        <v>1105.2096537557579</v>
      </c>
      <c r="V38">
        <v>-1.26960981239243</v>
      </c>
      <c r="W38">
        <f>P38/O38</f>
        <v>1.8581016090934797</v>
      </c>
    </row>
    <row r="39" spans="1:23" x14ac:dyDescent="0.3">
      <c r="A39" t="s">
        <v>914</v>
      </c>
      <c r="B39" t="s">
        <v>23</v>
      </c>
      <c r="C39" t="s">
        <v>915</v>
      </c>
      <c r="D39" t="s">
        <v>916</v>
      </c>
      <c r="E39" t="s">
        <v>917</v>
      </c>
      <c r="F39">
        <v>18544</v>
      </c>
      <c r="G39" t="s">
        <v>27</v>
      </c>
      <c r="H39" t="s">
        <v>655</v>
      </c>
      <c r="I39" t="s">
        <v>655</v>
      </c>
      <c r="J39" t="s">
        <v>918</v>
      </c>
      <c r="K39">
        <v>1955</v>
      </c>
      <c r="L39">
        <v>100000</v>
      </c>
      <c r="M39" t="s">
        <v>919</v>
      </c>
      <c r="N39">
        <v>82</v>
      </c>
      <c r="O39">
        <v>1219.512195121951</v>
      </c>
      <c r="P39">
        <v>2228.9358039358581</v>
      </c>
      <c r="Q39">
        <v>2238.8059701492539</v>
      </c>
      <c r="R39">
        <v>30</v>
      </c>
      <c r="S39" t="s">
        <v>920</v>
      </c>
      <c r="T39">
        <v>100</v>
      </c>
      <c r="U39">
        <v>580.5565059722403</v>
      </c>
      <c r="V39">
        <v>-1.738717245315262</v>
      </c>
      <c r="W39">
        <f>P39/O39</f>
        <v>1.8277273592274039</v>
      </c>
    </row>
    <row r="40" spans="1:23" x14ac:dyDescent="0.3">
      <c r="A40" t="s">
        <v>358</v>
      </c>
      <c r="B40" t="s">
        <v>23</v>
      </c>
      <c r="C40" t="s">
        <v>359</v>
      </c>
      <c r="D40" t="s">
        <v>360</v>
      </c>
      <c r="E40" t="s">
        <v>361</v>
      </c>
      <c r="F40">
        <v>20011</v>
      </c>
      <c r="G40" t="s">
        <v>27</v>
      </c>
      <c r="H40" t="s">
        <v>257</v>
      </c>
      <c r="I40" t="s">
        <v>348</v>
      </c>
      <c r="J40" t="s">
        <v>362</v>
      </c>
      <c r="K40">
        <v>2004</v>
      </c>
      <c r="L40">
        <v>290000</v>
      </c>
      <c r="M40" t="s">
        <v>363</v>
      </c>
      <c r="N40">
        <v>160</v>
      </c>
      <c r="O40">
        <v>1812.5</v>
      </c>
      <c r="P40">
        <v>3310.606060606061</v>
      </c>
      <c r="Q40">
        <v>3310.606060606061</v>
      </c>
      <c r="R40">
        <v>2</v>
      </c>
      <c r="S40" t="s">
        <v>364</v>
      </c>
      <c r="T40">
        <v>100</v>
      </c>
      <c r="U40">
        <v>1682.057040095272</v>
      </c>
      <c r="V40">
        <v>-0.89063927375566765</v>
      </c>
      <c r="W40">
        <f>P40/O40</f>
        <v>1.826541274817137</v>
      </c>
    </row>
    <row r="41" spans="1:23" x14ac:dyDescent="0.3">
      <c r="A41" t="s">
        <v>478</v>
      </c>
      <c r="B41" t="s">
        <v>23</v>
      </c>
      <c r="C41" t="s">
        <v>479</v>
      </c>
      <c r="D41" t="s">
        <v>480</v>
      </c>
      <c r="E41" t="s">
        <v>481</v>
      </c>
      <c r="F41">
        <v>16675</v>
      </c>
      <c r="G41" t="s">
        <v>27</v>
      </c>
      <c r="H41" t="s">
        <v>369</v>
      </c>
      <c r="I41" t="s">
        <v>467</v>
      </c>
      <c r="J41" t="s">
        <v>482</v>
      </c>
      <c r="K41">
        <v>2000</v>
      </c>
      <c r="L41">
        <v>950000</v>
      </c>
      <c r="M41" t="s">
        <v>483</v>
      </c>
      <c r="N41">
        <v>281</v>
      </c>
      <c r="O41">
        <v>3380.7829181494658</v>
      </c>
      <c r="P41">
        <v>6133.9282529248276</v>
      </c>
      <c r="Q41">
        <v>5927.3840769903763</v>
      </c>
      <c r="R41">
        <v>30</v>
      </c>
      <c r="S41" t="s">
        <v>484</v>
      </c>
      <c r="T41">
        <v>100</v>
      </c>
      <c r="U41">
        <v>3008.8374826268491</v>
      </c>
      <c r="V41">
        <v>-0.91501962158878147</v>
      </c>
      <c r="W41">
        <f>P41/O41</f>
        <v>1.814351409549344</v>
      </c>
    </row>
    <row r="42" spans="1:23" x14ac:dyDescent="0.3">
      <c r="A42" t="s">
        <v>199</v>
      </c>
      <c r="B42" t="s">
        <v>34</v>
      </c>
      <c r="C42" t="s">
        <v>200</v>
      </c>
      <c r="D42" t="s">
        <v>201</v>
      </c>
      <c r="E42" t="s">
        <v>202</v>
      </c>
      <c r="F42">
        <v>10440</v>
      </c>
      <c r="G42" t="s">
        <v>27</v>
      </c>
      <c r="H42" t="s">
        <v>47</v>
      </c>
      <c r="I42" t="s">
        <v>48</v>
      </c>
      <c r="J42" t="s">
        <v>203</v>
      </c>
      <c r="K42">
        <v>1979</v>
      </c>
      <c r="L42">
        <v>70000</v>
      </c>
      <c r="M42" t="s">
        <v>204</v>
      </c>
      <c r="N42">
        <v>70</v>
      </c>
      <c r="O42">
        <v>1000</v>
      </c>
      <c r="P42">
        <v>1801.310326382383</v>
      </c>
      <c r="Q42">
        <v>1729.094076655052</v>
      </c>
      <c r="R42">
        <v>30</v>
      </c>
      <c r="S42" t="s">
        <v>205</v>
      </c>
      <c r="T42">
        <v>100</v>
      </c>
      <c r="U42">
        <v>449.40154077221621</v>
      </c>
      <c r="V42">
        <v>-1.7830609236574371</v>
      </c>
      <c r="W42">
        <f>P42/O42</f>
        <v>1.8013103263823831</v>
      </c>
    </row>
    <row r="43" spans="1:23" x14ac:dyDescent="0.3">
      <c r="A43" t="s">
        <v>471</v>
      </c>
      <c r="B43" t="s">
        <v>34</v>
      </c>
      <c r="C43" t="s">
        <v>472</v>
      </c>
      <c r="D43" t="s">
        <v>473</v>
      </c>
      <c r="E43" t="s">
        <v>474</v>
      </c>
      <c r="F43">
        <v>16674</v>
      </c>
      <c r="G43" t="s">
        <v>27</v>
      </c>
      <c r="H43" t="s">
        <v>369</v>
      </c>
      <c r="I43" t="s">
        <v>467</v>
      </c>
      <c r="J43" t="s">
        <v>475</v>
      </c>
      <c r="K43">
        <v>1978</v>
      </c>
      <c r="L43">
        <v>295000</v>
      </c>
      <c r="M43" t="s">
        <v>476</v>
      </c>
      <c r="N43">
        <v>88</v>
      </c>
      <c r="O43">
        <v>3352.272727272727</v>
      </c>
      <c r="P43">
        <v>6020.8529312034334</v>
      </c>
      <c r="Q43">
        <v>5441.666666666667</v>
      </c>
      <c r="R43">
        <v>30</v>
      </c>
      <c r="S43" t="s">
        <v>477</v>
      </c>
      <c r="T43">
        <v>100</v>
      </c>
      <c r="U43">
        <v>2783.1016890533751</v>
      </c>
      <c r="V43">
        <v>-0.95885113160862556</v>
      </c>
      <c r="W43">
        <f>P43/O43</f>
        <v>1.7960510438844142</v>
      </c>
    </row>
    <row r="44" spans="1:23" x14ac:dyDescent="0.3">
      <c r="A44" t="s">
        <v>22</v>
      </c>
      <c r="B44" t="s">
        <v>23</v>
      </c>
      <c r="C44" t="s">
        <v>24</v>
      </c>
      <c r="D44" t="s">
        <v>25</v>
      </c>
      <c r="E44" t="s">
        <v>26</v>
      </c>
      <c r="F44">
        <v>12351</v>
      </c>
      <c r="G44" t="s">
        <v>27</v>
      </c>
      <c r="H44" t="s">
        <v>28</v>
      </c>
      <c r="I44" t="s">
        <v>29</v>
      </c>
      <c r="J44" t="s">
        <v>30</v>
      </c>
      <c r="K44">
        <v>1993</v>
      </c>
      <c r="L44">
        <v>142000</v>
      </c>
      <c r="M44" t="s">
        <v>31</v>
      </c>
      <c r="N44">
        <v>144</v>
      </c>
      <c r="O44">
        <v>986.11111111111109</v>
      </c>
      <c r="P44">
        <v>1732.746385496336</v>
      </c>
      <c r="Q44">
        <v>2000</v>
      </c>
      <c r="R44">
        <v>13</v>
      </c>
      <c r="S44" t="s">
        <v>32</v>
      </c>
      <c r="T44">
        <v>100</v>
      </c>
      <c r="U44">
        <v>484.11497479278239</v>
      </c>
      <c r="V44">
        <v>-1.5422684966619971</v>
      </c>
      <c r="W44">
        <f>P44/O44</f>
        <v>1.7571512641652984</v>
      </c>
    </row>
    <row r="45" spans="1:23" x14ac:dyDescent="0.3">
      <c r="A45" t="s">
        <v>213</v>
      </c>
      <c r="B45" t="s">
        <v>34</v>
      </c>
      <c r="C45" t="s">
        <v>156</v>
      </c>
      <c r="D45" t="s">
        <v>214</v>
      </c>
      <c r="E45" t="s">
        <v>215</v>
      </c>
      <c r="F45">
        <v>11252</v>
      </c>
      <c r="G45" t="s">
        <v>27</v>
      </c>
      <c r="H45" t="s">
        <v>47</v>
      </c>
      <c r="I45" t="s">
        <v>48</v>
      </c>
      <c r="J45" t="s">
        <v>97</v>
      </c>
      <c r="K45">
        <v>1962</v>
      </c>
      <c r="L45">
        <v>55000</v>
      </c>
      <c r="M45" t="s">
        <v>216</v>
      </c>
      <c r="N45">
        <v>52</v>
      </c>
      <c r="O45">
        <v>1057.6923076923081</v>
      </c>
      <c r="P45">
        <v>1848.855666329112</v>
      </c>
      <c r="Q45">
        <v>1832.8267477203649</v>
      </c>
      <c r="R45">
        <v>30</v>
      </c>
      <c r="S45" t="s">
        <v>99</v>
      </c>
      <c r="T45">
        <v>100</v>
      </c>
      <c r="U45">
        <v>446.61219316096998</v>
      </c>
      <c r="V45">
        <v>-1.7714772922727831</v>
      </c>
      <c r="W45">
        <f>P45/O45</f>
        <v>1.7480089936202508</v>
      </c>
    </row>
    <row r="46" spans="1:23" x14ac:dyDescent="0.3">
      <c r="A46" t="s">
        <v>956</v>
      </c>
      <c r="B46" t="s">
        <v>34</v>
      </c>
      <c r="C46" t="s">
        <v>957</v>
      </c>
      <c r="D46" t="s">
        <v>958</v>
      </c>
      <c r="E46" t="s">
        <v>959</v>
      </c>
      <c r="F46">
        <v>12136</v>
      </c>
      <c r="G46" t="s">
        <v>27</v>
      </c>
      <c r="H46" t="s">
        <v>28</v>
      </c>
      <c r="I46" t="s">
        <v>960</v>
      </c>
      <c r="J46" t="s">
        <v>961</v>
      </c>
      <c r="K46">
        <v>1966</v>
      </c>
      <c r="L46">
        <v>120000</v>
      </c>
      <c r="M46" t="s">
        <v>962</v>
      </c>
      <c r="N46">
        <v>87</v>
      </c>
      <c r="O46">
        <v>1379.3103448275861</v>
      </c>
      <c r="P46">
        <v>2404.8881811733158</v>
      </c>
      <c r="Q46">
        <v>2514.624505928854</v>
      </c>
      <c r="R46">
        <v>10</v>
      </c>
      <c r="S46" t="s">
        <v>963</v>
      </c>
      <c r="T46">
        <v>100</v>
      </c>
      <c r="U46">
        <v>923.39592255776222</v>
      </c>
      <c r="V46">
        <v>-1.1106588314846879</v>
      </c>
      <c r="W46">
        <f>P46/O46</f>
        <v>1.7435439313506542</v>
      </c>
    </row>
    <row r="47" spans="1:23" x14ac:dyDescent="0.3">
      <c r="A47" t="s">
        <v>927</v>
      </c>
      <c r="B47" t="s">
        <v>34</v>
      </c>
      <c r="C47" t="s">
        <v>908</v>
      </c>
      <c r="D47" t="s">
        <v>928</v>
      </c>
      <c r="E47" t="s">
        <v>929</v>
      </c>
      <c r="F47">
        <v>18541</v>
      </c>
      <c r="G47" t="s">
        <v>27</v>
      </c>
      <c r="H47" t="s">
        <v>655</v>
      </c>
      <c r="I47" t="s">
        <v>655</v>
      </c>
      <c r="J47" t="s">
        <v>930</v>
      </c>
      <c r="K47">
        <v>1965</v>
      </c>
      <c r="L47">
        <v>70000</v>
      </c>
      <c r="M47" t="s">
        <v>931</v>
      </c>
      <c r="N47">
        <v>65</v>
      </c>
      <c r="O47">
        <v>1076.9230769230769</v>
      </c>
      <c r="P47">
        <v>1870.603588040321</v>
      </c>
      <c r="Q47">
        <v>1445.4513148543001</v>
      </c>
      <c r="R47">
        <v>30</v>
      </c>
      <c r="S47" t="s">
        <v>932</v>
      </c>
      <c r="T47">
        <v>100</v>
      </c>
      <c r="U47">
        <v>932.93854967029949</v>
      </c>
      <c r="V47">
        <v>-0.85073182086615551</v>
      </c>
      <c r="W47">
        <f>P47/O47</f>
        <v>1.7369890460374411</v>
      </c>
    </row>
    <row r="48" spans="1:23" x14ac:dyDescent="0.3">
      <c r="A48" t="s">
        <v>303</v>
      </c>
      <c r="B48" t="s">
        <v>34</v>
      </c>
      <c r="C48" t="s">
        <v>218</v>
      </c>
      <c r="D48" t="s">
        <v>304</v>
      </c>
      <c r="E48" t="s">
        <v>305</v>
      </c>
      <c r="F48">
        <v>11362</v>
      </c>
      <c r="G48" t="s">
        <v>27</v>
      </c>
      <c r="H48" t="s">
        <v>47</v>
      </c>
      <c r="I48" t="s">
        <v>48</v>
      </c>
      <c r="J48" t="s">
        <v>306</v>
      </c>
      <c r="K48">
        <v>1963</v>
      </c>
      <c r="L48">
        <v>105000</v>
      </c>
      <c r="M48" t="s">
        <v>307</v>
      </c>
      <c r="N48">
        <v>90</v>
      </c>
      <c r="O48">
        <v>1166.666666666667</v>
      </c>
      <c r="P48">
        <v>2025.470243593651</v>
      </c>
      <c r="Q48">
        <v>1948.0519480519481</v>
      </c>
      <c r="R48">
        <v>30</v>
      </c>
      <c r="S48" t="s">
        <v>308</v>
      </c>
      <c r="T48">
        <v>100</v>
      </c>
      <c r="U48">
        <v>576.27166844126816</v>
      </c>
      <c r="V48">
        <v>-1.4902755487701209</v>
      </c>
      <c r="W48">
        <f>P48/O48</f>
        <v>1.7361173516517006</v>
      </c>
    </row>
    <row r="49" spans="1:23" x14ac:dyDescent="0.3">
      <c r="A49" t="s">
        <v>826</v>
      </c>
      <c r="B49" t="s">
        <v>34</v>
      </c>
      <c r="C49" t="s">
        <v>827</v>
      </c>
      <c r="D49" t="s">
        <v>828</v>
      </c>
      <c r="E49" t="s">
        <v>829</v>
      </c>
      <c r="F49">
        <v>18450</v>
      </c>
      <c r="G49" t="s">
        <v>27</v>
      </c>
      <c r="H49" t="s">
        <v>655</v>
      </c>
      <c r="I49" t="s">
        <v>830</v>
      </c>
      <c r="J49" t="s">
        <v>831</v>
      </c>
      <c r="K49">
        <v>1965</v>
      </c>
      <c r="L49">
        <v>86000</v>
      </c>
      <c r="M49" t="s">
        <v>832</v>
      </c>
      <c r="N49">
        <v>71</v>
      </c>
      <c r="O49">
        <v>1211.267605633803</v>
      </c>
      <c r="P49">
        <v>2076.763406991493</v>
      </c>
      <c r="Q49">
        <v>2357.1428571428569</v>
      </c>
      <c r="R49">
        <v>21</v>
      </c>
      <c r="S49" t="s">
        <v>833</v>
      </c>
      <c r="T49">
        <v>100</v>
      </c>
      <c r="U49">
        <v>803.75762780923503</v>
      </c>
      <c r="V49">
        <v>-1.0768119286366611</v>
      </c>
      <c r="W49">
        <f>P49/O49</f>
        <v>1.7145372313534417</v>
      </c>
    </row>
    <row r="50" spans="1:23" x14ac:dyDescent="0.3">
      <c r="A50" t="s">
        <v>344</v>
      </c>
      <c r="B50" t="s">
        <v>23</v>
      </c>
      <c r="C50" t="s">
        <v>345</v>
      </c>
      <c r="D50" t="s">
        <v>346</v>
      </c>
      <c r="E50" t="s">
        <v>347</v>
      </c>
      <c r="F50">
        <v>18010</v>
      </c>
      <c r="G50" t="s">
        <v>27</v>
      </c>
      <c r="H50" t="s">
        <v>257</v>
      </c>
      <c r="I50" t="s">
        <v>348</v>
      </c>
      <c r="J50" t="s">
        <v>349</v>
      </c>
      <c r="K50">
        <v>2007</v>
      </c>
      <c r="L50">
        <v>321000</v>
      </c>
      <c r="M50" t="s">
        <v>350</v>
      </c>
      <c r="N50">
        <v>283</v>
      </c>
      <c r="O50">
        <v>1134.275618374558</v>
      </c>
      <c r="P50">
        <v>1937.5</v>
      </c>
      <c r="Q50">
        <v>1937.5</v>
      </c>
      <c r="R50">
        <v>1</v>
      </c>
      <c r="S50" t="s">
        <v>351</v>
      </c>
      <c r="T50">
        <v>225</v>
      </c>
      <c r="W50">
        <f>P50/O50</f>
        <v>1.7081386292834895</v>
      </c>
    </row>
    <row r="51" spans="1:23" x14ac:dyDescent="0.3">
      <c r="A51" t="s">
        <v>173</v>
      </c>
      <c r="B51" t="s">
        <v>34</v>
      </c>
      <c r="C51" t="s">
        <v>174</v>
      </c>
      <c r="D51" t="s">
        <v>175</v>
      </c>
      <c r="E51" t="s">
        <v>176</v>
      </c>
      <c r="F51">
        <v>10431</v>
      </c>
      <c r="G51" t="s">
        <v>27</v>
      </c>
      <c r="H51" t="s">
        <v>47</v>
      </c>
      <c r="I51" t="s">
        <v>48</v>
      </c>
      <c r="J51" t="s">
        <v>177</v>
      </c>
      <c r="K51">
        <v>1982</v>
      </c>
      <c r="L51">
        <v>104000</v>
      </c>
      <c r="M51" t="s">
        <v>178</v>
      </c>
      <c r="N51">
        <v>100</v>
      </c>
      <c r="O51">
        <v>1040</v>
      </c>
      <c r="P51">
        <v>1769.5954106351071</v>
      </c>
      <c r="Q51">
        <v>1665.5844155844161</v>
      </c>
      <c r="R51">
        <v>30</v>
      </c>
      <c r="S51" t="s">
        <v>179</v>
      </c>
      <c r="T51">
        <v>100</v>
      </c>
      <c r="U51">
        <v>577.84513382998136</v>
      </c>
      <c r="V51">
        <v>-1.262614094886148</v>
      </c>
      <c r="W51">
        <f>P51/O51</f>
        <v>1.7015340486876029</v>
      </c>
    </row>
    <row r="52" spans="1:23" x14ac:dyDescent="0.3">
      <c r="A52" t="s">
        <v>72</v>
      </c>
      <c r="B52" t="s">
        <v>34</v>
      </c>
      <c r="C52" t="s">
        <v>73</v>
      </c>
      <c r="D52" t="s">
        <v>74</v>
      </c>
      <c r="E52" t="s">
        <v>75</v>
      </c>
      <c r="F52">
        <v>11145</v>
      </c>
      <c r="G52" t="s">
        <v>27</v>
      </c>
      <c r="H52" t="s">
        <v>47</v>
      </c>
      <c r="I52" t="s">
        <v>48</v>
      </c>
      <c r="J52" t="s">
        <v>76</v>
      </c>
      <c r="K52">
        <v>1989</v>
      </c>
      <c r="L52">
        <v>190000</v>
      </c>
      <c r="M52" t="s">
        <v>77</v>
      </c>
      <c r="N52">
        <v>138</v>
      </c>
      <c r="O52">
        <v>1376.811594202899</v>
      </c>
      <c r="P52">
        <v>2333.6970654335369</v>
      </c>
      <c r="Q52">
        <v>2266.666666666667</v>
      </c>
      <c r="R52">
        <v>7</v>
      </c>
      <c r="S52" t="s">
        <v>78</v>
      </c>
      <c r="T52">
        <v>100</v>
      </c>
      <c r="U52">
        <v>210.0494220816997</v>
      </c>
      <c r="V52">
        <v>-4.5555253699220044</v>
      </c>
      <c r="W52">
        <f>P52/O52</f>
        <v>1.6950010264727788</v>
      </c>
    </row>
    <row r="53" spans="1:23" x14ac:dyDescent="0.3">
      <c r="A53" t="s">
        <v>584</v>
      </c>
      <c r="B53" t="s">
        <v>34</v>
      </c>
      <c r="C53" t="s">
        <v>585</v>
      </c>
      <c r="D53" t="s">
        <v>586</v>
      </c>
      <c r="E53" t="s">
        <v>587</v>
      </c>
      <c r="F53">
        <v>57019</v>
      </c>
      <c r="G53" t="s">
        <v>495</v>
      </c>
      <c r="H53" t="s">
        <v>496</v>
      </c>
      <c r="I53" t="s">
        <v>588</v>
      </c>
      <c r="J53" t="s">
        <v>589</v>
      </c>
      <c r="K53">
        <v>2005</v>
      </c>
      <c r="L53">
        <v>160000</v>
      </c>
      <c r="M53" t="s">
        <v>590</v>
      </c>
      <c r="N53">
        <v>108</v>
      </c>
      <c r="O53">
        <v>1481.481481481482</v>
      </c>
      <c r="P53">
        <v>2478.3713827074262</v>
      </c>
      <c r="Q53">
        <v>2464.2857142857142</v>
      </c>
      <c r="R53">
        <v>20</v>
      </c>
      <c r="S53" t="s">
        <v>591</v>
      </c>
      <c r="T53">
        <v>100</v>
      </c>
      <c r="U53">
        <v>697.82040318393615</v>
      </c>
      <c r="V53">
        <v>-1.4285766032025551</v>
      </c>
      <c r="W53">
        <f>P53/O53</f>
        <v>1.6729006833275122</v>
      </c>
    </row>
    <row r="54" spans="1:23" x14ac:dyDescent="0.3">
      <c r="A54" t="s">
        <v>235</v>
      </c>
      <c r="B54" t="s">
        <v>34</v>
      </c>
      <c r="C54" t="s">
        <v>236</v>
      </c>
      <c r="D54" t="s">
        <v>237</v>
      </c>
      <c r="E54" t="s">
        <v>238</v>
      </c>
      <c r="F54">
        <v>11744</v>
      </c>
      <c r="G54" t="s">
        <v>27</v>
      </c>
      <c r="H54" t="s">
        <v>47</v>
      </c>
      <c r="I54" t="s">
        <v>48</v>
      </c>
      <c r="J54" t="s">
        <v>239</v>
      </c>
      <c r="K54">
        <v>1976</v>
      </c>
      <c r="L54">
        <v>134000</v>
      </c>
      <c r="M54" t="s">
        <v>240</v>
      </c>
      <c r="N54">
        <v>80</v>
      </c>
      <c r="O54">
        <v>1675</v>
      </c>
      <c r="P54">
        <v>2761.9747998229859</v>
      </c>
      <c r="Q54">
        <v>2850.1400560224092</v>
      </c>
      <c r="R54">
        <v>30</v>
      </c>
      <c r="S54" t="s">
        <v>241</v>
      </c>
      <c r="T54">
        <v>100</v>
      </c>
      <c r="U54">
        <v>908.98655746726195</v>
      </c>
      <c r="V54">
        <v>-1.1958095429394009</v>
      </c>
      <c r="W54">
        <f>P54/O54</f>
        <v>1.6489401789987976</v>
      </c>
    </row>
    <row r="55" spans="1:23" x14ac:dyDescent="0.3">
      <c r="A55" t="s">
        <v>651</v>
      </c>
      <c r="B55" t="s">
        <v>34</v>
      </c>
      <c r="C55" t="s">
        <v>652</v>
      </c>
      <c r="D55" t="s">
        <v>653</v>
      </c>
      <c r="E55" t="s">
        <v>654</v>
      </c>
      <c r="F55">
        <v>18756</v>
      </c>
      <c r="G55" t="s">
        <v>27</v>
      </c>
      <c r="H55" t="s">
        <v>655</v>
      </c>
      <c r="I55" t="s">
        <v>656</v>
      </c>
      <c r="J55" t="s">
        <v>657</v>
      </c>
      <c r="K55">
        <v>1956</v>
      </c>
      <c r="L55">
        <v>60000</v>
      </c>
      <c r="M55" t="s">
        <v>658</v>
      </c>
      <c r="N55">
        <v>75</v>
      </c>
      <c r="O55">
        <v>800</v>
      </c>
      <c r="P55">
        <v>1308.7952170518331</v>
      </c>
      <c r="Q55">
        <v>800</v>
      </c>
      <c r="R55">
        <v>18</v>
      </c>
      <c r="S55" t="s">
        <v>659</v>
      </c>
      <c r="T55">
        <v>100</v>
      </c>
      <c r="U55">
        <v>730.78670718905585</v>
      </c>
      <c r="V55">
        <v>-0.69622943609482879</v>
      </c>
      <c r="W55">
        <f>P55/O55</f>
        <v>1.6359940213147914</v>
      </c>
    </row>
    <row r="56" spans="1:23" x14ac:dyDescent="0.3">
      <c r="A56" t="s">
        <v>635</v>
      </c>
      <c r="B56" t="s">
        <v>34</v>
      </c>
      <c r="C56" t="s">
        <v>636</v>
      </c>
      <c r="D56" t="s">
        <v>637</v>
      </c>
      <c r="E56" t="s">
        <v>638</v>
      </c>
      <c r="F56">
        <v>16121</v>
      </c>
      <c r="G56" t="s">
        <v>27</v>
      </c>
      <c r="H56" t="s">
        <v>47</v>
      </c>
      <c r="I56" t="s">
        <v>639</v>
      </c>
      <c r="J56" t="s">
        <v>640</v>
      </c>
      <c r="K56">
        <v>1969</v>
      </c>
      <c r="L56">
        <v>175000</v>
      </c>
      <c r="M56" t="s">
        <v>641</v>
      </c>
      <c r="N56">
        <v>106</v>
      </c>
      <c r="O56">
        <v>1650.943396226415</v>
      </c>
      <c r="P56">
        <v>2690.4882556105181</v>
      </c>
      <c r="Q56">
        <v>2594.0860215053758</v>
      </c>
      <c r="R56">
        <v>26</v>
      </c>
      <c r="S56" t="s">
        <v>642</v>
      </c>
      <c r="T56">
        <v>100</v>
      </c>
      <c r="U56">
        <v>869.73661094820773</v>
      </c>
      <c r="V56">
        <v>-1.1952410031937899</v>
      </c>
      <c r="W56">
        <f>P56/O56</f>
        <v>1.6296671719697997</v>
      </c>
    </row>
    <row r="57" spans="1:23" x14ac:dyDescent="0.3">
      <c r="A57" t="s">
        <v>818</v>
      </c>
      <c r="B57" t="s">
        <v>23</v>
      </c>
      <c r="C57" t="s">
        <v>819</v>
      </c>
      <c r="D57" t="s">
        <v>820</v>
      </c>
      <c r="E57" t="s">
        <v>821</v>
      </c>
      <c r="F57">
        <v>14231</v>
      </c>
      <c r="G57" t="s">
        <v>27</v>
      </c>
      <c r="H57" t="s">
        <v>38</v>
      </c>
      <c r="I57" t="s">
        <v>822</v>
      </c>
      <c r="J57" t="s">
        <v>823</v>
      </c>
      <c r="K57">
        <v>1967</v>
      </c>
      <c r="L57">
        <v>195000</v>
      </c>
      <c r="M57" t="s">
        <v>824</v>
      </c>
      <c r="N57">
        <v>158</v>
      </c>
      <c r="O57">
        <v>1234.1772151898731</v>
      </c>
      <c r="P57">
        <v>2009.997450091764</v>
      </c>
      <c r="Q57">
        <v>1609.821798590965</v>
      </c>
      <c r="R57">
        <v>26</v>
      </c>
      <c r="S57" t="s">
        <v>825</v>
      </c>
      <c r="T57">
        <v>100</v>
      </c>
      <c r="U57">
        <v>979.89367171633216</v>
      </c>
      <c r="V57">
        <v>-0.79173920323722802</v>
      </c>
      <c r="W57">
        <f>P57/O57</f>
        <v>1.6286133185358913</v>
      </c>
    </row>
    <row r="58" spans="1:23" x14ac:dyDescent="0.3">
      <c r="A58" t="s">
        <v>100</v>
      </c>
      <c r="B58" t="s">
        <v>34</v>
      </c>
      <c r="C58" t="s">
        <v>101</v>
      </c>
      <c r="D58" t="s">
        <v>102</v>
      </c>
      <c r="E58" t="s">
        <v>103</v>
      </c>
      <c r="F58">
        <v>10444</v>
      </c>
      <c r="G58" t="s">
        <v>27</v>
      </c>
      <c r="H58" t="s">
        <v>47</v>
      </c>
      <c r="I58" t="s">
        <v>48</v>
      </c>
      <c r="J58" t="s">
        <v>104</v>
      </c>
      <c r="K58">
        <v>2007</v>
      </c>
      <c r="L58">
        <v>233000</v>
      </c>
      <c r="M58" t="s">
        <v>105</v>
      </c>
      <c r="N58">
        <v>180</v>
      </c>
      <c r="O58">
        <v>1294.4444444444439</v>
      </c>
      <c r="P58">
        <v>2091.8309994230108</v>
      </c>
      <c r="Q58">
        <v>1778.409090909091</v>
      </c>
      <c r="R58">
        <v>30</v>
      </c>
      <c r="S58" t="s">
        <v>106</v>
      </c>
      <c r="T58">
        <v>100</v>
      </c>
      <c r="U58">
        <v>874.4106113110164</v>
      </c>
      <c r="V58">
        <v>-0.91191317290058194</v>
      </c>
      <c r="W58">
        <f>P58/O58</f>
        <v>1.6160067806701377</v>
      </c>
    </row>
    <row r="59" spans="1:23" x14ac:dyDescent="0.3">
      <c r="A59" t="s">
        <v>33</v>
      </c>
      <c r="B59" t="s">
        <v>34</v>
      </c>
      <c r="C59" t="s">
        <v>35</v>
      </c>
      <c r="D59" t="s">
        <v>36</v>
      </c>
      <c r="E59" t="s">
        <v>37</v>
      </c>
      <c r="F59">
        <v>15343</v>
      </c>
      <c r="G59" t="s">
        <v>27</v>
      </c>
      <c r="H59" t="s">
        <v>38</v>
      </c>
      <c r="I59" t="s">
        <v>39</v>
      </c>
      <c r="J59" t="s">
        <v>40</v>
      </c>
      <c r="K59">
        <v>1979</v>
      </c>
      <c r="L59">
        <v>178000</v>
      </c>
      <c r="M59" t="s">
        <v>41</v>
      </c>
      <c r="N59">
        <v>114</v>
      </c>
      <c r="O59">
        <v>1561.4035087719301</v>
      </c>
      <c r="P59">
        <v>2472.5720009515971</v>
      </c>
      <c r="Q59">
        <v>2150</v>
      </c>
      <c r="R59">
        <v>8</v>
      </c>
      <c r="S59" t="s">
        <v>42</v>
      </c>
      <c r="T59">
        <v>100</v>
      </c>
      <c r="U59">
        <v>1030.419079592192</v>
      </c>
      <c r="V59">
        <v>-0.88426981819890171</v>
      </c>
      <c r="W59">
        <f>P59/O59</f>
        <v>1.5835573489240564</v>
      </c>
    </row>
    <row r="60" spans="1:23" x14ac:dyDescent="0.3">
      <c r="A60" t="s">
        <v>614</v>
      </c>
      <c r="B60" t="s">
        <v>34</v>
      </c>
      <c r="C60" t="s">
        <v>615</v>
      </c>
      <c r="D60" t="s">
        <v>616</v>
      </c>
      <c r="E60" t="s">
        <v>617</v>
      </c>
      <c r="F60">
        <v>54632</v>
      </c>
      <c r="G60" t="s">
        <v>495</v>
      </c>
      <c r="H60" t="s">
        <v>496</v>
      </c>
      <c r="I60" t="s">
        <v>496</v>
      </c>
      <c r="J60" t="s">
        <v>618</v>
      </c>
      <c r="K60">
        <v>1966</v>
      </c>
      <c r="L60">
        <v>24800</v>
      </c>
      <c r="M60" t="s">
        <v>619</v>
      </c>
      <c r="N60">
        <v>27</v>
      </c>
      <c r="O60">
        <v>918.51851851851848</v>
      </c>
      <c r="P60">
        <v>1444.720044009732</v>
      </c>
      <c r="Q60">
        <v>1304.7222222222219</v>
      </c>
      <c r="R60">
        <v>30</v>
      </c>
      <c r="S60" t="s">
        <v>620</v>
      </c>
      <c r="T60">
        <v>100</v>
      </c>
      <c r="U60">
        <v>516.18867532657396</v>
      </c>
      <c r="V60">
        <v>-1.0193976556310631</v>
      </c>
      <c r="W60">
        <f>P60/O60</f>
        <v>1.5728806930751116</v>
      </c>
    </row>
    <row r="61" spans="1:23" x14ac:dyDescent="0.3">
      <c r="A61" t="s">
        <v>1030</v>
      </c>
      <c r="B61" t="s">
        <v>34</v>
      </c>
      <c r="C61" t="s">
        <v>1031</v>
      </c>
      <c r="D61" t="s">
        <v>1032</v>
      </c>
      <c r="E61" t="s">
        <v>1033</v>
      </c>
      <c r="F61">
        <v>12461</v>
      </c>
      <c r="G61" t="s">
        <v>27</v>
      </c>
      <c r="H61" t="s">
        <v>28</v>
      </c>
      <c r="I61" t="s">
        <v>1034</v>
      </c>
      <c r="J61" t="s">
        <v>1035</v>
      </c>
      <c r="K61">
        <v>1946</v>
      </c>
      <c r="L61">
        <v>55000</v>
      </c>
      <c r="M61" t="s">
        <v>1036</v>
      </c>
      <c r="N61">
        <v>62</v>
      </c>
      <c r="O61">
        <v>887.09677419354841</v>
      </c>
      <c r="P61">
        <v>1376.8817204301081</v>
      </c>
      <c r="Q61">
        <v>1376.8817204301081</v>
      </c>
      <c r="R61">
        <v>2</v>
      </c>
      <c r="S61" t="s">
        <v>1037</v>
      </c>
      <c r="T61">
        <v>100</v>
      </c>
      <c r="U61">
        <v>692.66051361391919</v>
      </c>
      <c r="V61">
        <v>-0.70710678118654824</v>
      </c>
      <c r="W61">
        <f>P61/O61</f>
        <v>1.5521212121212127</v>
      </c>
    </row>
    <row r="62" spans="1:23" x14ac:dyDescent="0.3">
      <c r="A62" t="s">
        <v>456</v>
      </c>
      <c r="B62" t="s">
        <v>34</v>
      </c>
      <c r="C62" t="s">
        <v>457</v>
      </c>
      <c r="D62" t="s">
        <v>458</v>
      </c>
      <c r="E62" t="s">
        <v>459</v>
      </c>
      <c r="F62">
        <v>16232</v>
      </c>
      <c r="G62" t="s">
        <v>27</v>
      </c>
      <c r="H62" t="s">
        <v>47</v>
      </c>
      <c r="I62" t="s">
        <v>444</v>
      </c>
      <c r="J62" t="s">
        <v>460</v>
      </c>
      <c r="K62">
        <v>1974</v>
      </c>
      <c r="L62">
        <v>102000</v>
      </c>
      <c r="M62" t="s">
        <v>461</v>
      </c>
      <c r="N62">
        <v>61</v>
      </c>
      <c r="O62">
        <v>1672.1311475409841</v>
      </c>
      <c r="P62">
        <v>2591.534390572584</v>
      </c>
      <c r="Q62">
        <v>2181.818181818182</v>
      </c>
      <c r="R62">
        <v>30</v>
      </c>
      <c r="S62" t="s">
        <v>462</v>
      </c>
      <c r="T62">
        <v>100</v>
      </c>
      <c r="U62">
        <v>1231.6215430190359</v>
      </c>
      <c r="V62">
        <v>-0.74649818220773856</v>
      </c>
      <c r="W62">
        <f>P62/O62</f>
        <v>1.5498391943620351</v>
      </c>
    </row>
    <row r="63" spans="1:23" x14ac:dyDescent="0.3">
      <c r="A63" t="s">
        <v>309</v>
      </c>
      <c r="B63" t="s">
        <v>34</v>
      </c>
      <c r="C63" t="s">
        <v>310</v>
      </c>
      <c r="D63" t="s">
        <v>311</v>
      </c>
      <c r="E63" t="s">
        <v>312</v>
      </c>
      <c r="F63">
        <v>11524</v>
      </c>
      <c r="G63" t="s">
        <v>27</v>
      </c>
      <c r="H63" t="s">
        <v>47</v>
      </c>
      <c r="I63" t="s">
        <v>48</v>
      </c>
      <c r="J63" t="s">
        <v>313</v>
      </c>
      <c r="K63">
        <v>1971</v>
      </c>
      <c r="L63">
        <v>123000</v>
      </c>
      <c r="M63" t="s">
        <v>314</v>
      </c>
      <c r="N63">
        <v>66</v>
      </c>
      <c r="O63">
        <v>1863.636363636364</v>
      </c>
      <c r="P63">
        <v>2881.9769410364302</v>
      </c>
      <c r="Q63">
        <v>2803.4447821681861</v>
      </c>
      <c r="R63">
        <v>30</v>
      </c>
      <c r="S63" t="s">
        <v>315</v>
      </c>
      <c r="T63">
        <v>100</v>
      </c>
      <c r="U63">
        <v>1058.3661033090341</v>
      </c>
      <c r="V63">
        <v>-0.96218177643461378</v>
      </c>
      <c r="W63">
        <f>P63/O63</f>
        <v>1.5464266512878404</v>
      </c>
    </row>
    <row r="64" spans="1:23" x14ac:dyDescent="0.3">
      <c r="A64" t="s">
        <v>1009</v>
      </c>
      <c r="B64" t="s">
        <v>34</v>
      </c>
      <c r="C64" t="s">
        <v>1010</v>
      </c>
      <c r="D64" t="s">
        <v>1011</v>
      </c>
      <c r="E64" t="s">
        <v>1012</v>
      </c>
      <c r="F64">
        <v>13343</v>
      </c>
      <c r="G64" t="s">
        <v>27</v>
      </c>
      <c r="H64" t="s">
        <v>538</v>
      </c>
      <c r="I64" t="s">
        <v>1006</v>
      </c>
      <c r="J64" t="s">
        <v>1013</v>
      </c>
      <c r="K64">
        <v>1989</v>
      </c>
      <c r="L64">
        <v>94000</v>
      </c>
      <c r="M64" t="s">
        <v>1014</v>
      </c>
      <c r="N64">
        <v>93</v>
      </c>
      <c r="O64">
        <v>1010.752688172043</v>
      </c>
      <c r="P64">
        <v>1562.5</v>
      </c>
      <c r="Q64">
        <v>1562.5</v>
      </c>
      <c r="R64">
        <v>1</v>
      </c>
      <c r="S64" t="s">
        <v>1015</v>
      </c>
      <c r="T64">
        <v>100</v>
      </c>
      <c r="W64">
        <f>P64/O64</f>
        <v>1.5458776595744681</v>
      </c>
    </row>
    <row r="65" spans="1:23" x14ac:dyDescent="0.3">
      <c r="A65" t="s">
        <v>185</v>
      </c>
      <c r="B65" t="s">
        <v>34</v>
      </c>
      <c r="C65" t="s">
        <v>186</v>
      </c>
      <c r="D65" t="s">
        <v>187</v>
      </c>
      <c r="E65" t="s">
        <v>188</v>
      </c>
      <c r="F65">
        <v>10446</v>
      </c>
      <c r="G65" t="s">
        <v>27</v>
      </c>
      <c r="H65" t="s">
        <v>47</v>
      </c>
      <c r="I65" t="s">
        <v>48</v>
      </c>
      <c r="J65" t="s">
        <v>189</v>
      </c>
      <c r="K65">
        <v>1972</v>
      </c>
      <c r="L65">
        <v>57000</v>
      </c>
      <c r="M65" t="s">
        <v>190</v>
      </c>
      <c r="N65">
        <v>51</v>
      </c>
      <c r="O65">
        <v>1117.64705882353</v>
      </c>
      <c r="P65">
        <v>1716.550770067257</v>
      </c>
      <c r="Q65">
        <v>1545.1388888888889</v>
      </c>
      <c r="R65">
        <v>30</v>
      </c>
      <c r="S65" t="s">
        <v>191</v>
      </c>
      <c r="T65">
        <v>100</v>
      </c>
      <c r="U65">
        <v>543.21202617748031</v>
      </c>
      <c r="V65">
        <v>-1.1025229236144549</v>
      </c>
      <c r="W65">
        <f>P65/O65</f>
        <v>1.5358612153233344</v>
      </c>
    </row>
    <row r="66" spans="1:23" x14ac:dyDescent="0.3">
      <c r="A66" t="s">
        <v>600</v>
      </c>
      <c r="B66" t="s">
        <v>23</v>
      </c>
      <c r="C66" t="s">
        <v>601</v>
      </c>
      <c r="D66" t="s">
        <v>602</v>
      </c>
      <c r="E66" t="s">
        <v>603</v>
      </c>
      <c r="F66">
        <v>57500</v>
      </c>
      <c r="G66" t="s">
        <v>495</v>
      </c>
      <c r="H66" t="s">
        <v>496</v>
      </c>
      <c r="I66" t="s">
        <v>596</v>
      </c>
      <c r="J66" t="s">
        <v>604</v>
      </c>
      <c r="K66">
        <v>2000</v>
      </c>
      <c r="L66">
        <v>187000</v>
      </c>
      <c r="M66" t="s">
        <v>605</v>
      </c>
      <c r="N66">
        <v>215</v>
      </c>
      <c r="O66">
        <v>869.76744186046517</v>
      </c>
      <c r="P66">
        <v>1330.819507290096</v>
      </c>
      <c r="Q66">
        <v>1284.615384615385</v>
      </c>
      <c r="R66">
        <v>3</v>
      </c>
      <c r="S66" t="s">
        <v>606</v>
      </c>
      <c r="T66">
        <v>100</v>
      </c>
      <c r="U66">
        <v>95.992362353944031</v>
      </c>
      <c r="V66">
        <v>-4.8030078031587022</v>
      </c>
      <c r="W66">
        <f>P66/O66</f>
        <v>1.530086599290752</v>
      </c>
    </row>
    <row r="67" spans="1:23" x14ac:dyDescent="0.3">
      <c r="A67" t="s">
        <v>296</v>
      </c>
      <c r="B67" t="s">
        <v>34</v>
      </c>
      <c r="C67" t="s">
        <v>297</v>
      </c>
      <c r="D67" t="s">
        <v>298</v>
      </c>
      <c r="E67" t="s">
        <v>299</v>
      </c>
      <c r="F67">
        <v>10445</v>
      </c>
      <c r="G67" t="s">
        <v>27</v>
      </c>
      <c r="H67" t="s">
        <v>47</v>
      </c>
      <c r="I67" t="s">
        <v>48</v>
      </c>
      <c r="J67" t="s">
        <v>300</v>
      </c>
      <c r="K67">
        <v>1965</v>
      </c>
      <c r="L67">
        <v>55000</v>
      </c>
      <c r="M67" t="s">
        <v>301</v>
      </c>
      <c r="N67">
        <v>43</v>
      </c>
      <c r="O67">
        <v>1279.06976744186</v>
      </c>
      <c r="P67">
        <v>1919.139617414434</v>
      </c>
      <c r="Q67">
        <v>1686.7469879518069</v>
      </c>
      <c r="R67">
        <v>30</v>
      </c>
      <c r="S67" t="s">
        <v>302</v>
      </c>
      <c r="T67">
        <v>100</v>
      </c>
      <c r="U67">
        <v>1154.227805632423</v>
      </c>
      <c r="V67">
        <v>-0.55454377970202107</v>
      </c>
      <c r="W67">
        <f>P67/O67</f>
        <v>1.5004182463421945</v>
      </c>
    </row>
    <row r="68" spans="1:23" x14ac:dyDescent="0.3">
      <c r="A68" t="s">
        <v>964</v>
      </c>
      <c r="B68" t="s">
        <v>23</v>
      </c>
      <c r="C68" t="s">
        <v>965</v>
      </c>
      <c r="D68" t="s">
        <v>966</v>
      </c>
      <c r="E68" t="s">
        <v>967</v>
      </c>
      <c r="F68">
        <v>13231</v>
      </c>
      <c r="G68" t="s">
        <v>27</v>
      </c>
      <c r="H68" t="s">
        <v>28</v>
      </c>
      <c r="I68" t="s">
        <v>968</v>
      </c>
      <c r="J68" t="s">
        <v>969</v>
      </c>
      <c r="K68">
        <v>1992</v>
      </c>
      <c r="L68">
        <v>185000</v>
      </c>
      <c r="M68" t="s">
        <v>970</v>
      </c>
      <c r="N68">
        <v>117</v>
      </c>
      <c r="O68">
        <v>1581.1965811965811</v>
      </c>
      <c r="P68">
        <v>2349.9887973650261</v>
      </c>
      <c r="Q68">
        <v>2180.2325581395348</v>
      </c>
      <c r="R68">
        <v>8</v>
      </c>
      <c r="S68" t="s">
        <v>971</v>
      </c>
      <c r="T68">
        <v>100</v>
      </c>
      <c r="U68">
        <v>886.29650151000635</v>
      </c>
      <c r="V68">
        <v>-0.86742102090963191</v>
      </c>
      <c r="W68">
        <f>P68/O68</f>
        <v>1.4862091313065302</v>
      </c>
    </row>
    <row r="69" spans="1:23" x14ac:dyDescent="0.3">
      <c r="A69" t="s">
        <v>948</v>
      </c>
      <c r="B69" t="s">
        <v>34</v>
      </c>
      <c r="C69" t="s">
        <v>949</v>
      </c>
      <c r="D69" t="s">
        <v>950</v>
      </c>
      <c r="E69" t="s">
        <v>951</v>
      </c>
      <c r="F69">
        <v>18863</v>
      </c>
      <c r="G69" t="s">
        <v>27</v>
      </c>
      <c r="H69" t="s">
        <v>655</v>
      </c>
      <c r="I69" t="s">
        <v>952</v>
      </c>
      <c r="J69" t="s">
        <v>953</v>
      </c>
      <c r="K69">
        <v>1975</v>
      </c>
      <c r="L69">
        <v>98000</v>
      </c>
      <c r="M69" t="s">
        <v>954</v>
      </c>
      <c r="N69">
        <v>122</v>
      </c>
      <c r="O69">
        <v>803.27868852459017</v>
      </c>
      <c r="P69">
        <v>1187.486694577804</v>
      </c>
      <c r="Q69">
        <v>803.27868852459017</v>
      </c>
      <c r="R69">
        <v>19</v>
      </c>
      <c r="S69" t="s">
        <v>955</v>
      </c>
      <c r="T69">
        <v>100</v>
      </c>
      <c r="U69">
        <v>604.4694839270511</v>
      </c>
      <c r="V69">
        <v>-0.63561191469440825</v>
      </c>
      <c r="W69">
        <f>P69/O69</f>
        <v>1.4782997626376744</v>
      </c>
    </row>
    <row r="70" spans="1:23" x14ac:dyDescent="0.3">
      <c r="A70" t="s">
        <v>206</v>
      </c>
      <c r="B70" t="s">
        <v>34</v>
      </c>
      <c r="C70" t="s">
        <v>207</v>
      </c>
      <c r="D70" t="s">
        <v>208</v>
      </c>
      <c r="E70" t="s">
        <v>209</v>
      </c>
      <c r="F70">
        <v>11523</v>
      </c>
      <c r="G70" t="s">
        <v>27</v>
      </c>
      <c r="H70" t="s">
        <v>47</v>
      </c>
      <c r="I70" t="s">
        <v>48</v>
      </c>
      <c r="J70" t="s">
        <v>210</v>
      </c>
      <c r="K70">
        <v>1960</v>
      </c>
      <c r="L70">
        <v>191000</v>
      </c>
      <c r="M70" t="s">
        <v>211</v>
      </c>
      <c r="N70">
        <v>79</v>
      </c>
      <c r="O70">
        <v>2417.7215189873418</v>
      </c>
      <c r="P70">
        <v>3543.1598169442868</v>
      </c>
      <c r="Q70">
        <v>3151.2366689357841</v>
      </c>
      <c r="R70">
        <v>30</v>
      </c>
      <c r="S70" t="s">
        <v>212</v>
      </c>
      <c r="T70">
        <v>100</v>
      </c>
      <c r="U70">
        <v>1454.2283804648559</v>
      </c>
      <c r="V70">
        <v>-0.77390753273374402</v>
      </c>
      <c r="W70">
        <f>P70/O70</f>
        <v>1.4654954216680558</v>
      </c>
    </row>
    <row r="71" spans="1:23" x14ac:dyDescent="0.3">
      <c r="A71" t="s">
        <v>440</v>
      </c>
      <c r="B71" t="s">
        <v>34</v>
      </c>
      <c r="C71" t="s">
        <v>441</v>
      </c>
      <c r="D71" t="s">
        <v>442</v>
      </c>
      <c r="E71" t="s">
        <v>443</v>
      </c>
      <c r="F71">
        <v>16231</v>
      </c>
      <c r="G71" t="s">
        <v>27</v>
      </c>
      <c r="H71" t="s">
        <v>47</v>
      </c>
      <c r="I71" t="s">
        <v>444</v>
      </c>
      <c r="J71" t="s">
        <v>445</v>
      </c>
      <c r="K71">
        <v>1960</v>
      </c>
      <c r="L71">
        <v>129000</v>
      </c>
      <c r="M71" t="s">
        <v>446</v>
      </c>
      <c r="N71">
        <v>69</v>
      </c>
      <c r="O71">
        <v>1869.565217391304</v>
      </c>
      <c r="P71">
        <v>2714.187613845384</v>
      </c>
      <c r="Q71">
        <v>2739.6044624746451</v>
      </c>
      <c r="R71">
        <v>30</v>
      </c>
      <c r="S71" t="s">
        <v>447</v>
      </c>
      <c r="T71">
        <v>100</v>
      </c>
      <c r="U71">
        <v>853.5861524394013</v>
      </c>
      <c r="V71">
        <v>-0.98949870969707665</v>
      </c>
      <c r="W71">
        <f>P71/O71</f>
        <v>1.4517747701963684</v>
      </c>
    </row>
    <row r="72" spans="1:23" x14ac:dyDescent="0.3">
      <c r="A72" t="s">
        <v>217</v>
      </c>
      <c r="B72" t="s">
        <v>34</v>
      </c>
      <c r="C72" t="s">
        <v>218</v>
      </c>
      <c r="D72" t="s">
        <v>219</v>
      </c>
      <c r="E72" t="s">
        <v>220</v>
      </c>
      <c r="F72">
        <v>11362</v>
      </c>
      <c r="G72" t="s">
        <v>27</v>
      </c>
      <c r="H72" t="s">
        <v>47</v>
      </c>
      <c r="I72" t="s">
        <v>48</v>
      </c>
      <c r="J72" t="s">
        <v>221</v>
      </c>
      <c r="K72">
        <v>1940</v>
      </c>
      <c r="L72">
        <v>33000</v>
      </c>
      <c r="M72" t="s">
        <v>222</v>
      </c>
      <c r="N72">
        <v>20</v>
      </c>
      <c r="O72">
        <v>1650</v>
      </c>
      <c r="P72">
        <v>2326.962051379362</v>
      </c>
      <c r="Q72">
        <v>2241.379310344827</v>
      </c>
      <c r="R72">
        <v>30</v>
      </c>
      <c r="S72" t="s">
        <v>223</v>
      </c>
      <c r="T72">
        <v>100</v>
      </c>
      <c r="U72">
        <v>546.57584618026158</v>
      </c>
      <c r="V72">
        <v>-1.23855098265008</v>
      </c>
      <c r="W72">
        <f>P72/O72</f>
        <v>1.4102800311390074</v>
      </c>
    </row>
    <row r="73" spans="1:23" x14ac:dyDescent="0.3">
      <c r="A73" t="s">
        <v>86</v>
      </c>
      <c r="B73" t="s">
        <v>34</v>
      </c>
      <c r="C73" t="s">
        <v>87</v>
      </c>
      <c r="D73" t="s">
        <v>88</v>
      </c>
      <c r="E73" t="s">
        <v>89</v>
      </c>
      <c r="F73">
        <v>10443</v>
      </c>
      <c r="G73" t="s">
        <v>27</v>
      </c>
      <c r="H73" t="s">
        <v>47</v>
      </c>
      <c r="I73" t="s">
        <v>48</v>
      </c>
      <c r="J73" t="s">
        <v>90</v>
      </c>
      <c r="K73">
        <v>2008</v>
      </c>
      <c r="L73">
        <v>1020000</v>
      </c>
      <c r="M73" t="s">
        <v>91</v>
      </c>
      <c r="N73">
        <v>782</v>
      </c>
      <c r="O73">
        <v>1304.347826086957</v>
      </c>
      <c r="P73">
        <v>1835.383863905437</v>
      </c>
      <c r="Q73">
        <v>1792.4528301886789</v>
      </c>
      <c r="R73">
        <v>5</v>
      </c>
      <c r="S73" t="s">
        <v>92</v>
      </c>
      <c r="T73">
        <v>100</v>
      </c>
      <c r="U73">
        <v>628.24341337034275</v>
      </c>
      <c r="V73">
        <v>-0.84527115846647238</v>
      </c>
      <c r="W73">
        <f>P73/O73</f>
        <v>1.4071276289941679</v>
      </c>
    </row>
    <row r="74" spans="1:23" x14ac:dyDescent="0.3">
      <c r="A74" t="s">
        <v>534</v>
      </c>
      <c r="B74" t="s">
        <v>34</v>
      </c>
      <c r="C74" t="s">
        <v>535</v>
      </c>
      <c r="D74" t="s">
        <v>536</v>
      </c>
      <c r="E74" t="s">
        <v>537</v>
      </c>
      <c r="F74">
        <v>19200</v>
      </c>
      <c r="G74" t="s">
        <v>27</v>
      </c>
      <c r="H74" t="s">
        <v>538</v>
      </c>
      <c r="I74" t="s">
        <v>539</v>
      </c>
      <c r="J74" t="s">
        <v>540</v>
      </c>
      <c r="K74">
        <v>1997</v>
      </c>
      <c r="L74">
        <v>123000</v>
      </c>
      <c r="M74" t="s">
        <v>541</v>
      </c>
      <c r="N74">
        <v>105</v>
      </c>
      <c r="O74">
        <v>1171.4285714285711</v>
      </c>
      <c r="P74">
        <v>1645.496894409938</v>
      </c>
      <c r="Q74">
        <v>1645.496894409938</v>
      </c>
      <c r="R74">
        <v>2</v>
      </c>
      <c r="S74" t="s">
        <v>542</v>
      </c>
      <c r="T74">
        <v>100</v>
      </c>
      <c r="U74">
        <v>670.43385185171746</v>
      </c>
      <c r="V74">
        <v>-0.70710678118654768</v>
      </c>
      <c r="W74">
        <f>P74/O74</f>
        <v>1.4046924708377524</v>
      </c>
    </row>
    <row r="75" spans="1:23" x14ac:dyDescent="0.3">
      <c r="A75" t="s">
        <v>857</v>
      </c>
      <c r="B75" t="s">
        <v>34</v>
      </c>
      <c r="C75" t="s">
        <v>858</v>
      </c>
      <c r="D75" t="s">
        <v>859</v>
      </c>
      <c r="E75" t="s">
        <v>860</v>
      </c>
      <c r="F75">
        <v>17562</v>
      </c>
      <c r="G75" t="s">
        <v>27</v>
      </c>
      <c r="H75" t="s">
        <v>369</v>
      </c>
      <c r="I75" t="s">
        <v>846</v>
      </c>
      <c r="J75" t="s">
        <v>861</v>
      </c>
      <c r="K75">
        <v>2005</v>
      </c>
      <c r="L75">
        <v>414000</v>
      </c>
      <c r="M75" t="s">
        <v>862</v>
      </c>
      <c r="N75">
        <v>120</v>
      </c>
      <c r="O75">
        <v>3450</v>
      </c>
      <c r="P75">
        <v>4838.5555771127874</v>
      </c>
      <c r="Q75">
        <v>4703.767123287671</v>
      </c>
      <c r="R75">
        <v>30</v>
      </c>
      <c r="S75" t="s">
        <v>863</v>
      </c>
      <c r="T75">
        <v>100</v>
      </c>
      <c r="U75">
        <v>1470.631252523546</v>
      </c>
      <c r="V75">
        <v>-0.94419017325388677</v>
      </c>
      <c r="W75">
        <f>P75/O75</f>
        <v>1.4024798774239964</v>
      </c>
    </row>
    <row r="76" spans="1:23" x14ac:dyDescent="0.3">
      <c r="A76" t="s">
        <v>550</v>
      </c>
      <c r="B76" t="s">
        <v>34</v>
      </c>
      <c r="C76" t="s">
        <v>551</v>
      </c>
      <c r="D76" t="s">
        <v>552</v>
      </c>
      <c r="E76" t="s">
        <v>553</v>
      </c>
      <c r="F76">
        <v>16344</v>
      </c>
      <c r="G76" t="s">
        <v>27</v>
      </c>
      <c r="H76" t="s">
        <v>47</v>
      </c>
      <c r="I76" t="s">
        <v>554</v>
      </c>
      <c r="J76" t="s">
        <v>555</v>
      </c>
      <c r="K76">
        <v>1975</v>
      </c>
      <c r="L76">
        <v>122000</v>
      </c>
      <c r="M76" t="s">
        <v>556</v>
      </c>
      <c r="N76">
        <v>93</v>
      </c>
      <c r="O76">
        <v>1311.827956989247</v>
      </c>
      <c r="P76">
        <v>1831.96617158749</v>
      </c>
      <c r="Q76">
        <v>1854.838709677419</v>
      </c>
      <c r="R76">
        <v>15</v>
      </c>
      <c r="S76" t="s">
        <v>557</v>
      </c>
      <c r="T76">
        <v>100</v>
      </c>
      <c r="U76">
        <v>705.92070280673647</v>
      </c>
      <c r="V76">
        <v>-0.73682243987203699</v>
      </c>
      <c r="W76">
        <f>P76/O76</f>
        <v>1.3964988029314476</v>
      </c>
    </row>
    <row r="77" spans="1:23" x14ac:dyDescent="0.3">
      <c r="A77" t="s">
        <v>114</v>
      </c>
      <c r="B77" t="s">
        <v>34</v>
      </c>
      <c r="C77" t="s">
        <v>115</v>
      </c>
      <c r="D77" t="s">
        <v>116</v>
      </c>
      <c r="E77" t="s">
        <v>117</v>
      </c>
      <c r="F77">
        <v>10432</v>
      </c>
      <c r="G77" t="s">
        <v>27</v>
      </c>
      <c r="H77" t="s">
        <v>47</v>
      </c>
      <c r="I77" t="s">
        <v>48</v>
      </c>
      <c r="J77" t="s">
        <v>118</v>
      </c>
      <c r="K77">
        <v>1961</v>
      </c>
      <c r="L77">
        <v>165000</v>
      </c>
      <c r="M77" t="s">
        <v>119</v>
      </c>
      <c r="N77">
        <v>108</v>
      </c>
      <c r="O77">
        <v>1527.7777777777781</v>
      </c>
      <c r="P77">
        <v>2130.735594035174</v>
      </c>
      <c r="Q77">
        <v>1726.1904761904759</v>
      </c>
      <c r="R77">
        <v>30</v>
      </c>
      <c r="S77" t="s">
        <v>120</v>
      </c>
      <c r="T77">
        <v>100</v>
      </c>
      <c r="U77">
        <v>1043.3099296275691</v>
      </c>
      <c r="V77">
        <v>-0.5779278037472857</v>
      </c>
      <c r="W77">
        <f>P77/O77</f>
        <v>1.3946632979139317</v>
      </c>
    </row>
    <row r="78" spans="1:23" x14ac:dyDescent="0.3">
      <c r="A78" t="s">
        <v>719</v>
      </c>
      <c r="B78" t="s">
        <v>34</v>
      </c>
      <c r="C78" t="s">
        <v>720</v>
      </c>
      <c r="D78" t="s">
        <v>721</v>
      </c>
      <c r="E78" t="s">
        <v>722</v>
      </c>
      <c r="F78">
        <v>18121</v>
      </c>
      <c r="G78" t="s">
        <v>27</v>
      </c>
      <c r="H78" t="s">
        <v>655</v>
      </c>
      <c r="I78" t="s">
        <v>723</v>
      </c>
      <c r="J78" t="s">
        <v>724</v>
      </c>
      <c r="K78">
        <v>1967</v>
      </c>
      <c r="L78">
        <v>75000</v>
      </c>
      <c r="M78" t="s">
        <v>725</v>
      </c>
      <c r="N78">
        <v>73</v>
      </c>
      <c r="O78">
        <v>1027.397260273973</v>
      </c>
      <c r="P78">
        <v>1431.904831164841</v>
      </c>
      <c r="Q78">
        <v>1027.397260273973</v>
      </c>
      <c r="R78">
        <v>17</v>
      </c>
      <c r="S78" t="s">
        <v>726</v>
      </c>
      <c r="T78">
        <v>100</v>
      </c>
      <c r="U78">
        <v>531.02300099893682</v>
      </c>
      <c r="V78">
        <v>-0.76175150629996602</v>
      </c>
      <c r="W78">
        <f>P78/O78</f>
        <v>1.3937207023337781</v>
      </c>
    </row>
    <row r="79" spans="1:23" x14ac:dyDescent="0.3">
      <c r="A79" t="s">
        <v>283</v>
      </c>
      <c r="B79" t="s">
        <v>34</v>
      </c>
      <c r="C79" t="s">
        <v>284</v>
      </c>
      <c r="D79" t="s">
        <v>285</v>
      </c>
      <c r="E79" t="s">
        <v>286</v>
      </c>
      <c r="F79">
        <v>11633</v>
      </c>
      <c r="G79" t="s">
        <v>27</v>
      </c>
      <c r="H79" t="s">
        <v>47</v>
      </c>
      <c r="I79" t="s">
        <v>48</v>
      </c>
      <c r="J79" t="s">
        <v>287</v>
      </c>
      <c r="K79">
        <v>1980</v>
      </c>
      <c r="L79">
        <v>235000</v>
      </c>
      <c r="M79" t="s">
        <v>288</v>
      </c>
      <c r="N79">
        <v>102</v>
      </c>
      <c r="O79">
        <v>2303.9215686274511</v>
      </c>
      <c r="P79">
        <v>3198.297776917942</v>
      </c>
      <c r="Q79">
        <v>3007.3529411764698</v>
      </c>
      <c r="R79">
        <v>30</v>
      </c>
      <c r="S79" t="s">
        <v>289</v>
      </c>
      <c r="T79">
        <v>100</v>
      </c>
      <c r="U79">
        <v>1147.7110188199049</v>
      </c>
      <c r="V79">
        <v>-0.77926951438533987</v>
      </c>
      <c r="W79">
        <f>P79/O79</f>
        <v>1.388197332960128</v>
      </c>
    </row>
    <row r="80" spans="1:23" x14ac:dyDescent="0.3">
      <c r="A80" t="s">
        <v>501</v>
      </c>
      <c r="B80" t="s">
        <v>23</v>
      </c>
      <c r="C80" t="s">
        <v>502</v>
      </c>
      <c r="D80" t="s">
        <v>503</v>
      </c>
      <c r="E80" t="s">
        <v>504</v>
      </c>
      <c r="F80">
        <v>14569</v>
      </c>
      <c r="G80" t="s">
        <v>27</v>
      </c>
      <c r="H80" t="s">
        <v>393</v>
      </c>
      <c r="I80" t="s">
        <v>505</v>
      </c>
      <c r="J80" t="s">
        <v>506</v>
      </c>
      <c r="K80">
        <v>1986</v>
      </c>
      <c r="L80">
        <v>295000</v>
      </c>
      <c r="M80" t="s">
        <v>507</v>
      </c>
      <c r="N80">
        <v>234</v>
      </c>
      <c r="O80">
        <v>1260.683760683761</v>
      </c>
      <c r="P80">
        <v>1750</v>
      </c>
      <c r="Q80">
        <v>1750</v>
      </c>
      <c r="R80">
        <v>2</v>
      </c>
      <c r="S80" t="s">
        <v>508</v>
      </c>
      <c r="T80">
        <v>100</v>
      </c>
      <c r="U80">
        <v>0</v>
      </c>
      <c r="W80">
        <f>P80/O80</f>
        <v>1.3881355932203387</v>
      </c>
    </row>
    <row r="81" spans="1:23" x14ac:dyDescent="0.3">
      <c r="A81" t="s">
        <v>893</v>
      </c>
      <c r="B81" t="s">
        <v>34</v>
      </c>
      <c r="C81" t="s">
        <v>894</v>
      </c>
      <c r="D81" t="s">
        <v>895</v>
      </c>
      <c r="E81" t="s">
        <v>896</v>
      </c>
      <c r="F81">
        <v>18542</v>
      </c>
      <c r="G81" t="s">
        <v>27</v>
      </c>
      <c r="H81" t="s">
        <v>655</v>
      </c>
      <c r="I81" t="s">
        <v>655</v>
      </c>
      <c r="J81" t="s">
        <v>897</v>
      </c>
      <c r="K81">
        <v>2005</v>
      </c>
      <c r="L81">
        <v>170000</v>
      </c>
      <c r="M81" t="s">
        <v>898</v>
      </c>
      <c r="N81">
        <v>88</v>
      </c>
      <c r="O81">
        <v>1931.818181818182</v>
      </c>
      <c r="P81">
        <v>2662.574094630224</v>
      </c>
      <c r="Q81">
        <v>2928.8856304985338</v>
      </c>
      <c r="R81">
        <v>30</v>
      </c>
      <c r="S81" t="s">
        <v>899</v>
      </c>
      <c r="T81">
        <v>100</v>
      </c>
      <c r="U81">
        <v>547.58710720242982</v>
      </c>
      <c r="V81">
        <v>-1.334501676902885</v>
      </c>
      <c r="W81">
        <f>P81/O81</f>
        <v>1.3782736489850569</v>
      </c>
    </row>
    <row r="82" spans="1:23" x14ac:dyDescent="0.3">
      <c r="A82" t="s">
        <v>417</v>
      </c>
      <c r="B82" t="s">
        <v>34</v>
      </c>
      <c r="C82" t="s">
        <v>405</v>
      </c>
      <c r="D82" t="s">
        <v>418</v>
      </c>
      <c r="E82" t="s">
        <v>419</v>
      </c>
      <c r="F82">
        <v>13671</v>
      </c>
      <c r="G82" t="s">
        <v>27</v>
      </c>
      <c r="H82" t="s">
        <v>393</v>
      </c>
      <c r="I82" t="s">
        <v>394</v>
      </c>
      <c r="J82" t="s">
        <v>420</v>
      </c>
      <c r="K82">
        <v>1972</v>
      </c>
      <c r="L82">
        <v>90000</v>
      </c>
      <c r="M82" t="s">
        <v>421</v>
      </c>
      <c r="N82">
        <v>109</v>
      </c>
      <c r="O82">
        <v>825.6880733944954</v>
      </c>
      <c r="P82">
        <v>1135.7157689869441</v>
      </c>
      <c r="Q82">
        <v>818.18181818181813</v>
      </c>
      <c r="R82">
        <v>13</v>
      </c>
      <c r="S82" t="s">
        <v>422</v>
      </c>
      <c r="T82">
        <v>100</v>
      </c>
      <c r="U82">
        <v>681.59926109410253</v>
      </c>
      <c r="V82">
        <v>-0.45485333287303242</v>
      </c>
      <c r="W82">
        <f>P82/O82</f>
        <v>1.375477986884188</v>
      </c>
    </row>
    <row r="83" spans="1:23" x14ac:dyDescent="0.3">
      <c r="A83" t="s">
        <v>1060</v>
      </c>
      <c r="B83" t="s">
        <v>23</v>
      </c>
      <c r="C83" t="s">
        <v>1061</v>
      </c>
      <c r="D83" t="s">
        <v>1062</v>
      </c>
      <c r="E83" t="s">
        <v>1063</v>
      </c>
      <c r="F83">
        <v>57018</v>
      </c>
      <c r="G83" t="s">
        <v>495</v>
      </c>
      <c r="H83" t="s">
        <v>496</v>
      </c>
      <c r="I83" t="s">
        <v>1056</v>
      </c>
      <c r="J83" t="s">
        <v>1064</v>
      </c>
      <c r="K83">
        <v>1979</v>
      </c>
      <c r="L83">
        <v>140000</v>
      </c>
      <c r="M83" t="s">
        <v>1065</v>
      </c>
      <c r="N83">
        <v>208</v>
      </c>
      <c r="O83">
        <v>673.07692307692309</v>
      </c>
      <c r="P83">
        <v>911.60401124314524</v>
      </c>
      <c r="Q83">
        <v>898.98989898989907</v>
      </c>
      <c r="R83">
        <v>4</v>
      </c>
      <c r="S83" t="s">
        <v>1066</v>
      </c>
      <c r="T83">
        <v>100</v>
      </c>
      <c r="U83">
        <v>91.573474398176941</v>
      </c>
      <c r="V83">
        <v>-2.604761801753487</v>
      </c>
      <c r="W83">
        <f>P83/O83</f>
        <v>1.3543831024183872</v>
      </c>
    </row>
    <row r="84" spans="1:23" x14ac:dyDescent="0.3">
      <c r="A84" t="s">
        <v>1016</v>
      </c>
      <c r="B84" t="s">
        <v>34</v>
      </c>
      <c r="C84" t="s">
        <v>1017</v>
      </c>
      <c r="D84" t="s">
        <v>1018</v>
      </c>
      <c r="E84" t="s">
        <v>1019</v>
      </c>
      <c r="F84">
        <v>13341</v>
      </c>
      <c r="G84" t="s">
        <v>27</v>
      </c>
      <c r="H84" t="s">
        <v>538</v>
      </c>
      <c r="I84" t="s">
        <v>1006</v>
      </c>
      <c r="J84" t="s">
        <v>1020</v>
      </c>
      <c r="K84">
        <v>1976</v>
      </c>
      <c r="L84">
        <v>50000</v>
      </c>
      <c r="M84" t="s">
        <v>1021</v>
      </c>
      <c r="N84">
        <v>86</v>
      </c>
      <c r="O84">
        <v>581.39534883720933</v>
      </c>
      <c r="P84">
        <v>779.40199335548175</v>
      </c>
      <c r="Q84">
        <v>581.39534883720933</v>
      </c>
      <c r="R84">
        <v>5</v>
      </c>
      <c r="S84" t="s">
        <v>1022</v>
      </c>
      <c r="T84">
        <v>100</v>
      </c>
      <c r="U84">
        <v>442.75631713949321</v>
      </c>
      <c r="V84">
        <v>-0.44721359549995798</v>
      </c>
      <c r="W84">
        <f>P84/O84</f>
        <v>1.3405714285714285</v>
      </c>
    </row>
    <row r="85" spans="1:23" x14ac:dyDescent="0.3">
      <c r="A85" t="s">
        <v>228</v>
      </c>
      <c r="B85" t="s">
        <v>34</v>
      </c>
      <c r="C85" t="s">
        <v>229</v>
      </c>
      <c r="D85" t="s">
        <v>230</v>
      </c>
      <c r="E85" t="s">
        <v>231</v>
      </c>
      <c r="F85">
        <v>10441</v>
      </c>
      <c r="G85" t="s">
        <v>27</v>
      </c>
      <c r="H85" t="s">
        <v>47</v>
      </c>
      <c r="I85" t="s">
        <v>48</v>
      </c>
      <c r="J85" t="s">
        <v>232</v>
      </c>
      <c r="K85">
        <v>2005</v>
      </c>
      <c r="L85">
        <v>190000</v>
      </c>
      <c r="M85" t="s">
        <v>233</v>
      </c>
      <c r="N85">
        <v>112</v>
      </c>
      <c r="O85">
        <v>1696.4285714285711</v>
      </c>
      <c r="P85">
        <v>2251.195823661662</v>
      </c>
      <c r="Q85">
        <v>2213.75</v>
      </c>
      <c r="R85">
        <v>30</v>
      </c>
      <c r="S85" t="s">
        <v>234</v>
      </c>
      <c r="T85">
        <v>100</v>
      </c>
      <c r="U85">
        <v>759.30594018892373</v>
      </c>
      <c r="V85">
        <v>-0.73062414353700222</v>
      </c>
      <c r="W85">
        <f>P85/O85</f>
        <v>1.3270206960531905</v>
      </c>
    </row>
    <row r="86" spans="1:23" x14ac:dyDescent="0.3">
      <c r="A86" t="s">
        <v>742</v>
      </c>
      <c r="B86" t="s">
        <v>34</v>
      </c>
      <c r="C86" t="s">
        <v>743</v>
      </c>
      <c r="D86" t="s">
        <v>744</v>
      </c>
      <c r="E86" t="s">
        <v>745</v>
      </c>
      <c r="F86">
        <v>14122</v>
      </c>
      <c r="G86" t="s">
        <v>27</v>
      </c>
      <c r="H86" t="s">
        <v>38</v>
      </c>
      <c r="I86" t="s">
        <v>746</v>
      </c>
      <c r="J86" t="s">
        <v>747</v>
      </c>
      <c r="K86">
        <v>1981</v>
      </c>
      <c r="L86">
        <v>97000</v>
      </c>
      <c r="M86" t="s">
        <v>748</v>
      </c>
      <c r="N86">
        <v>65</v>
      </c>
      <c r="O86">
        <v>1492.3076923076919</v>
      </c>
      <c r="P86">
        <v>1976.7577045047981</v>
      </c>
      <c r="Q86">
        <v>1515.625</v>
      </c>
      <c r="R86">
        <v>11</v>
      </c>
      <c r="S86" t="s">
        <v>749</v>
      </c>
      <c r="T86">
        <v>100</v>
      </c>
      <c r="U86">
        <v>879.219887548099</v>
      </c>
      <c r="V86">
        <v>-0.55099983412352371</v>
      </c>
      <c r="W86">
        <f>P86/O86</f>
        <v>1.3246314514722877</v>
      </c>
    </row>
    <row r="87" spans="1:23" x14ac:dyDescent="0.3">
      <c r="A87" t="s">
        <v>907</v>
      </c>
      <c r="B87" t="s">
        <v>34</v>
      </c>
      <c r="C87" t="s">
        <v>908</v>
      </c>
      <c r="D87" t="s">
        <v>909</v>
      </c>
      <c r="E87" t="s">
        <v>910</v>
      </c>
      <c r="F87">
        <v>18546</v>
      </c>
      <c r="G87" t="s">
        <v>27</v>
      </c>
      <c r="H87" t="s">
        <v>655</v>
      </c>
      <c r="I87" t="s">
        <v>655</v>
      </c>
      <c r="J87" t="s">
        <v>911</v>
      </c>
      <c r="K87">
        <v>2004</v>
      </c>
      <c r="L87">
        <v>167000</v>
      </c>
      <c r="M87" t="s">
        <v>912</v>
      </c>
      <c r="N87">
        <v>95</v>
      </c>
      <c r="O87">
        <v>1757.894736842105</v>
      </c>
      <c r="P87">
        <v>2306.8397478925299</v>
      </c>
      <c r="Q87">
        <v>2805.5555555555561</v>
      </c>
      <c r="R87">
        <v>11</v>
      </c>
      <c r="S87" t="s">
        <v>913</v>
      </c>
      <c r="T87">
        <v>100</v>
      </c>
      <c r="U87">
        <v>1114.2689839223101</v>
      </c>
      <c r="V87">
        <v>-0.49265035549863118</v>
      </c>
      <c r="W87">
        <f>P87/O87</f>
        <v>1.3122741080825771</v>
      </c>
    </row>
    <row r="88" spans="1:23" x14ac:dyDescent="0.3">
      <c r="A88" t="s">
        <v>643</v>
      </c>
      <c r="B88" t="s">
        <v>34</v>
      </c>
      <c r="C88" t="s">
        <v>644</v>
      </c>
      <c r="D88" t="s">
        <v>645</v>
      </c>
      <c r="E88" t="s">
        <v>646</v>
      </c>
      <c r="F88">
        <v>55133</v>
      </c>
      <c r="G88" t="s">
        <v>495</v>
      </c>
      <c r="H88" t="s">
        <v>496</v>
      </c>
      <c r="I88" t="s">
        <v>647</v>
      </c>
      <c r="J88" t="s">
        <v>648</v>
      </c>
      <c r="K88">
        <v>2003</v>
      </c>
      <c r="L88">
        <v>230000</v>
      </c>
      <c r="M88" t="s">
        <v>649</v>
      </c>
      <c r="N88">
        <v>94</v>
      </c>
      <c r="O88">
        <v>2446.8085106382978</v>
      </c>
      <c r="P88">
        <v>3142.7669974616219</v>
      </c>
      <c r="Q88">
        <v>3065.6934306569342</v>
      </c>
      <c r="R88">
        <v>30</v>
      </c>
      <c r="S88" t="s">
        <v>650</v>
      </c>
      <c r="T88">
        <v>100</v>
      </c>
      <c r="U88">
        <v>779.88094820844219</v>
      </c>
      <c r="V88">
        <v>-0.89239067632321789</v>
      </c>
      <c r="W88">
        <f>P88/O88</f>
        <v>1.2844352076582282</v>
      </c>
    </row>
    <row r="89" spans="1:23" x14ac:dyDescent="0.3">
      <c r="A89" t="s">
        <v>577</v>
      </c>
      <c r="B89" t="s">
        <v>23</v>
      </c>
      <c r="C89" t="s">
        <v>578</v>
      </c>
      <c r="D89" t="s">
        <v>579</v>
      </c>
      <c r="E89" t="s">
        <v>580</v>
      </c>
      <c r="F89">
        <v>14121</v>
      </c>
      <c r="G89" t="s">
        <v>27</v>
      </c>
      <c r="H89" t="s">
        <v>38</v>
      </c>
      <c r="I89" t="s">
        <v>562</v>
      </c>
      <c r="J89" t="s">
        <v>581</v>
      </c>
      <c r="K89">
        <v>2004</v>
      </c>
      <c r="L89">
        <v>240000</v>
      </c>
      <c r="M89" t="s">
        <v>582</v>
      </c>
      <c r="N89">
        <v>82</v>
      </c>
      <c r="O89">
        <v>2926.8292682926831</v>
      </c>
      <c r="P89">
        <v>3756.801120603398</v>
      </c>
      <c r="Q89">
        <v>3950</v>
      </c>
      <c r="R89">
        <v>8</v>
      </c>
      <c r="S89" t="s">
        <v>583</v>
      </c>
      <c r="T89">
        <v>100</v>
      </c>
      <c r="U89">
        <v>788.65731375851624</v>
      </c>
      <c r="V89">
        <v>-1.052385919500709</v>
      </c>
      <c r="W89">
        <f>P89/O89</f>
        <v>1.2835737162061609</v>
      </c>
    </row>
    <row r="90" spans="1:23" x14ac:dyDescent="0.3">
      <c r="A90" t="s">
        <v>246</v>
      </c>
      <c r="B90" t="s">
        <v>34</v>
      </c>
      <c r="C90" t="s">
        <v>247</v>
      </c>
      <c r="D90" t="s">
        <v>248</v>
      </c>
      <c r="E90" t="s">
        <v>249</v>
      </c>
      <c r="F90">
        <v>11364</v>
      </c>
      <c r="G90" t="s">
        <v>27</v>
      </c>
      <c r="H90" t="s">
        <v>47</v>
      </c>
      <c r="I90" t="s">
        <v>48</v>
      </c>
      <c r="J90" t="s">
        <v>250</v>
      </c>
      <c r="K90">
        <v>1987</v>
      </c>
      <c r="L90">
        <v>200000</v>
      </c>
      <c r="M90" t="s">
        <v>251</v>
      </c>
      <c r="N90">
        <v>113</v>
      </c>
      <c r="O90">
        <v>1769.911504424779</v>
      </c>
      <c r="P90">
        <v>2249.5238095238101</v>
      </c>
      <c r="Q90">
        <v>2100</v>
      </c>
      <c r="R90">
        <v>5</v>
      </c>
      <c r="S90" t="s">
        <v>252</v>
      </c>
      <c r="T90">
        <v>100</v>
      </c>
      <c r="U90">
        <v>255.91860242225391</v>
      </c>
      <c r="V90">
        <v>-1.87408144839621</v>
      </c>
      <c r="W90">
        <f>P90/O90</f>
        <v>1.2709809523809525</v>
      </c>
    </row>
    <row r="91" spans="1:23" x14ac:dyDescent="0.3">
      <c r="A91" t="s">
        <v>796</v>
      </c>
      <c r="B91" t="s">
        <v>23</v>
      </c>
      <c r="C91" t="s">
        <v>797</v>
      </c>
      <c r="D91" t="s">
        <v>798</v>
      </c>
      <c r="E91" t="s">
        <v>799</v>
      </c>
      <c r="F91">
        <v>19100</v>
      </c>
      <c r="G91" t="s">
        <v>27</v>
      </c>
      <c r="H91" t="s">
        <v>538</v>
      </c>
      <c r="I91" t="s">
        <v>792</v>
      </c>
      <c r="J91" t="s">
        <v>800</v>
      </c>
      <c r="K91">
        <v>1950</v>
      </c>
      <c r="L91">
        <v>32000</v>
      </c>
      <c r="M91" t="s">
        <v>801</v>
      </c>
      <c r="N91">
        <v>76</v>
      </c>
      <c r="O91">
        <v>421.05263157894728</v>
      </c>
      <c r="P91">
        <v>530.10101010101016</v>
      </c>
      <c r="Q91">
        <v>581.81818181818187</v>
      </c>
      <c r="R91">
        <v>3</v>
      </c>
      <c r="S91" t="s">
        <v>802</v>
      </c>
      <c r="T91">
        <v>100</v>
      </c>
      <c r="U91">
        <v>89.576769037905592</v>
      </c>
      <c r="V91">
        <v>-1.2173734294426</v>
      </c>
      <c r="W91">
        <f>P91/O91</f>
        <v>1.2589898989898993</v>
      </c>
    </row>
    <row r="92" spans="1:23" x14ac:dyDescent="0.3">
      <c r="A92" t="s">
        <v>712</v>
      </c>
      <c r="B92" t="s">
        <v>34</v>
      </c>
      <c r="C92" t="s">
        <v>713</v>
      </c>
      <c r="D92" t="s">
        <v>714</v>
      </c>
      <c r="E92" t="s">
        <v>715</v>
      </c>
      <c r="F92">
        <v>56334</v>
      </c>
      <c r="G92" t="s">
        <v>495</v>
      </c>
      <c r="H92" t="s">
        <v>496</v>
      </c>
      <c r="I92" t="s">
        <v>695</v>
      </c>
      <c r="J92" t="s">
        <v>716</v>
      </c>
      <c r="K92">
        <v>1982</v>
      </c>
      <c r="L92">
        <v>120000</v>
      </c>
      <c r="M92" t="s">
        <v>717</v>
      </c>
      <c r="N92">
        <v>93</v>
      </c>
      <c r="O92">
        <v>1290.322580645161</v>
      </c>
      <c r="P92">
        <v>1620.66464203092</v>
      </c>
      <c r="Q92">
        <v>1311.2280701754389</v>
      </c>
      <c r="R92">
        <v>18</v>
      </c>
      <c r="S92" t="s">
        <v>718</v>
      </c>
      <c r="T92">
        <v>100</v>
      </c>
      <c r="U92">
        <v>519.7238297416427</v>
      </c>
      <c r="V92">
        <v>-0.63561076572142849</v>
      </c>
      <c r="W92">
        <f>P92/O92</f>
        <v>1.2560150975739632</v>
      </c>
    </row>
    <row r="93" spans="1:23" x14ac:dyDescent="0.3">
      <c r="A93" t="s">
        <v>886</v>
      </c>
      <c r="B93" t="s">
        <v>34</v>
      </c>
      <c r="C93" t="s">
        <v>887</v>
      </c>
      <c r="D93" t="s">
        <v>888</v>
      </c>
      <c r="E93" t="s">
        <v>889</v>
      </c>
      <c r="F93">
        <v>56431</v>
      </c>
      <c r="G93" t="s">
        <v>495</v>
      </c>
      <c r="H93" t="s">
        <v>496</v>
      </c>
      <c r="I93" t="s">
        <v>882</v>
      </c>
      <c r="J93" t="s">
        <v>890</v>
      </c>
      <c r="K93">
        <v>1976</v>
      </c>
      <c r="L93">
        <v>115000</v>
      </c>
      <c r="M93" t="s">
        <v>891</v>
      </c>
      <c r="N93">
        <v>123</v>
      </c>
      <c r="O93">
        <v>934.95934959349597</v>
      </c>
      <c r="P93">
        <v>1167.2330199350499</v>
      </c>
      <c r="Q93">
        <v>934.95934959349597</v>
      </c>
      <c r="R93">
        <v>21</v>
      </c>
      <c r="S93" t="s">
        <v>892</v>
      </c>
      <c r="T93">
        <v>100</v>
      </c>
      <c r="U93">
        <v>360.100922734314</v>
      </c>
      <c r="V93">
        <v>-0.64502381326283842</v>
      </c>
      <c r="W93">
        <f>P93/O93</f>
        <v>1.2484318387131403</v>
      </c>
    </row>
    <row r="94" spans="1:23" x14ac:dyDescent="0.3">
      <c r="A94" t="s">
        <v>52</v>
      </c>
      <c r="B94" t="s">
        <v>34</v>
      </c>
      <c r="C94" t="s">
        <v>53</v>
      </c>
      <c r="D94" t="s">
        <v>54</v>
      </c>
      <c r="E94" t="s">
        <v>55</v>
      </c>
      <c r="F94">
        <v>10446</v>
      </c>
      <c r="G94" t="s">
        <v>27</v>
      </c>
      <c r="H94" t="s">
        <v>47</v>
      </c>
      <c r="I94" t="s">
        <v>48</v>
      </c>
      <c r="J94" t="s">
        <v>56</v>
      </c>
      <c r="K94">
        <v>2003</v>
      </c>
      <c r="L94">
        <v>148000</v>
      </c>
      <c r="M94" t="s">
        <v>57</v>
      </c>
      <c r="N94">
        <v>77</v>
      </c>
      <c r="O94">
        <v>1922.077922077922</v>
      </c>
      <c r="P94">
        <v>2327.5024008230662</v>
      </c>
      <c r="Q94">
        <v>2461.8725868725869</v>
      </c>
      <c r="R94">
        <v>30</v>
      </c>
      <c r="S94" t="s">
        <v>58</v>
      </c>
      <c r="T94">
        <v>100</v>
      </c>
      <c r="U94">
        <v>582.42522968013122</v>
      </c>
      <c r="V94">
        <v>-0.69609704058974897</v>
      </c>
      <c r="W94">
        <f>P94/O94</f>
        <v>1.2109303031309195</v>
      </c>
    </row>
    <row r="95" spans="1:23" x14ac:dyDescent="0.3">
      <c r="A95" t="s">
        <v>735</v>
      </c>
      <c r="B95" t="s">
        <v>34</v>
      </c>
      <c r="C95" t="s">
        <v>736</v>
      </c>
      <c r="D95" t="s">
        <v>737</v>
      </c>
      <c r="E95" t="s">
        <v>738</v>
      </c>
      <c r="F95">
        <v>57200</v>
      </c>
      <c r="G95" t="s">
        <v>495</v>
      </c>
      <c r="H95" t="s">
        <v>496</v>
      </c>
      <c r="I95" t="s">
        <v>731</v>
      </c>
      <c r="J95" t="s">
        <v>739</v>
      </c>
      <c r="K95">
        <v>2007</v>
      </c>
      <c r="L95">
        <v>163000</v>
      </c>
      <c r="M95" t="s">
        <v>740</v>
      </c>
      <c r="N95">
        <v>192</v>
      </c>
      <c r="O95">
        <v>848.95833333333337</v>
      </c>
      <c r="P95">
        <v>1021.23566928714</v>
      </c>
      <c r="Q95">
        <v>1000</v>
      </c>
      <c r="R95">
        <v>10</v>
      </c>
      <c r="S95" t="s">
        <v>741</v>
      </c>
      <c r="T95">
        <v>100</v>
      </c>
      <c r="U95">
        <v>216.3745581411543</v>
      </c>
      <c r="V95">
        <v>-0.79619959681867791</v>
      </c>
      <c r="W95">
        <f>P95/O95</f>
        <v>1.2029279049271833</v>
      </c>
    </row>
    <row r="96" spans="1:23" x14ac:dyDescent="0.3">
      <c r="A96" t="s">
        <v>336</v>
      </c>
      <c r="B96" t="s">
        <v>34</v>
      </c>
      <c r="C96" t="s">
        <v>337</v>
      </c>
      <c r="D96" t="s">
        <v>338</v>
      </c>
      <c r="E96" t="s">
        <v>339</v>
      </c>
      <c r="F96">
        <v>12244</v>
      </c>
      <c r="G96" t="s">
        <v>27</v>
      </c>
      <c r="H96" t="s">
        <v>28</v>
      </c>
      <c r="I96" t="s">
        <v>340</v>
      </c>
      <c r="J96" t="s">
        <v>341</v>
      </c>
      <c r="K96">
        <v>1980</v>
      </c>
      <c r="L96">
        <v>145000</v>
      </c>
      <c r="M96" t="s">
        <v>342</v>
      </c>
      <c r="N96">
        <v>105</v>
      </c>
      <c r="O96">
        <v>1380.952380952381</v>
      </c>
      <c r="P96">
        <v>1658.783096286397</v>
      </c>
      <c r="Q96">
        <v>1380.952380952381</v>
      </c>
      <c r="R96">
        <v>20</v>
      </c>
      <c r="S96" t="s">
        <v>343</v>
      </c>
      <c r="T96">
        <v>100</v>
      </c>
      <c r="U96">
        <v>548.09859512837022</v>
      </c>
      <c r="V96">
        <v>-0.50689915610702363</v>
      </c>
      <c r="W96">
        <f>P96/O96</f>
        <v>1.2011877593798048</v>
      </c>
    </row>
    <row r="97" spans="1:23" x14ac:dyDescent="0.3">
      <c r="A97" t="s">
        <v>699</v>
      </c>
      <c r="B97" t="s">
        <v>34</v>
      </c>
      <c r="C97" t="s">
        <v>700</v>
      </c>
      <c r="D97" t="s">
        <v>701</v>
      </c>
      <c r="E97" t="s">
        <v>702</v>
      </c>
      <c r="F97">
        <v>56334</v>
      </c>
      <c r="G97" t="s">
        <v>495</v>
      </c>
      <c r="H97" t="s">
        <v>496</v>
      </c>
      <c r="I97" t="s">
        <v>695</v>
      </c>
      <c r="J97" t="s">
        <v>703</v>
      </c>
      <c r="K97">
        <v>1988</v>
      </c>
      <c r="L97">
        <v>111000</v>
      </c>
      <c r="M97" t="s">
        <v>704</v>
      </c>
      <c r="N97">
        <v>103</v>
      </c>
      <c r="O97">
        <v>1077.669902912621</v>
      </c>
      <c r="P97">
        <v>1289.68253968254</v>
      </c>
      <c r="Q97">
        <v>1289.68253968254</v>
      </c>
      <c r="R97">
        <v>2</v>
      </c>
      <c r="S97" t="s">
        <v>705</v>
      </c>
      <c r="T97">
        <v>100</v>
      </c>
      <c r="U97">
        <v>701.49482260570198</v>
      </c>
      <c r="V97">
        <v>-0.30222979548501561</v>
      </c>
      <c r="W97">
        <f>P97/O97</f>
        <v>1.1967324467324474</v>
      </c>
    </row>
    <row r="98" spans="1:23" x14ac:dyDescent="0.3">
      <c r="A98" t="s">
        <v>570</v>
      </c>
      <c r="B98" t="s">
        <v>34</v>
      </c>
      <c r="C98" t="s">
        <v>571</v>
      </c>
      <c r="D98" t="s">
        <v>572</v>
      </c>
      <c r="E98" t="s">
        <v>573</v>
      </c>
      <c r="F98">
        <v>14122</v>
      </c>
      <c r="G98" t="s">
        <v>27</v>
      </c>
      <c r="H98" t="s">
        <v>38</v>
      </c>
      <c r="I98" t="s">
        <v>562</v>
      </c>
      <c r="J98" t="s">
        <v>574</v>
      </c>
      <c r="K98">
        <v>2007</v>
      </c>
      <c r="L98">
        <v>110000</v>
      </c>
      <c r="M98" t="s">
        <v>575</v>
      </c>
      <c r="N98">
        <v>52</v>
      </c>
      <c r="O98">
        <v>2115.3846153846148</v>
      </c>
      <c r="P98">
        <v>2529.411764705882</v>
      </c>
      <c r="Q98">
        <v>2500</v>
      </c>
      <c r="R98">
        <v>3</v>
      </c>
      <c r="S98" t="s">
        <v>576</v>
      </c>
      <c r="T98">
        <v>100</v>
      </c>
      <c r="U98">
        <v>345.05904414264609</v>
      </c>
      <c r="V98">
        <v>-1.199873344430032</v>
      </c>
      <c r="W98">
        <f>P98/O98</f>
        <v>1.1957219251336899</v>
      </c>
    </row>
    <row r="99" spans="1:23" x14ac:dyDescent="0.3">
      <c r="A99" t="s">
        <v>803</v>
      </c>
      <c r="B99" t="s">
        <v>34</v>
      </c>
      <c r="C99" t="s">
        <v>804</v>
      </c>
      <c r="D99" t="s">
        <v>805</v>
      </c>
      <c r="E99" t="s">
        <v>806</v>
      </c>
      <c r="F99">
        <v>19100</v>
      </c>
      <c r="G99" t="s">
        <v>27</v>
      </c>
      <c r="H99" t="s">
        <v>538</v>
      </c>
      <c r="I99" t="s">
        <v>792</v>
      </c>
      <c r="J99" t="s">
        <v>807</v>
      </c>
      <c r="K99">
        <v>1972</v>
      </c>
      <c r="L99">
        <v>71000</v>
      </c>
      <c r="M99" t="s">
        <v>808</v>
      </c>
      <c r="N99">
        <v>113</v>
      </c>
      <c r="O99">
        <v>628.31858407079642</v>
      </c>
      <c r="P99">
        <v>751.2229702628465</v>
      </c>
      <c r="Q99">
        <v>628.31858407079642</v>
      </c>
      <c r="R99">
        <v>7</v>
      </c>
      <c r="S99" t="s">
        <v>809</v>
      </c>
      <c r="T99">
        <v>100</v>
      </c>
      <c r="U99">
        <v>260.36159237249751</v>
      </c>
      <c r="V99">
        <v>-0.47205267517419253</v>
      </c>
      <c r="W99">
        <f>P99/O99</f>
        <v>1.1956083892915728</v>
      </c>
    </row>
    <row r="100" spans="1:23" x14ac:dyDescent="0.3">
      <c r="A100" t="s">
        <v>781</v>
      </c>
      <c r="B100" t="s">
        <v>34</v>
      </c>
      <c r="C100" t="s">
        <v>782</v>
      </c>
      <c r="D100" t="s">
        <v>783</v>
      </c>
      <c r="E100" t="s">
        <v>784</v>
      </c>
      <c r="F100">
        <v>19003</v>
      </c>
      <c r="G100" t="s">
        <v>27</v>
      </c>
      <c r="H100" t="s">
        <v>393</v>
      </c>
      <c r="I100" t="s">
        <v>772</v>
      </c>
      <c r="J100" t="s">
        <v>785</v>
      </c>
      <c r="K100">
        <v>2005</v>
      </c>
      <c r="L100">
        <v>93000</v>
      </c>
      <c r="M100" t="s">
        <v>786</v>
      </c>
      <c r="N100">
        <v>80</v>
      </c>
      <c r="O100">
        <v>1162.5</v>
      </c>
      <c r="P100">
        <v>1376.0892519970951</v>
      </c>
      <c r="Q100">
        <v>1162.5</v>
      </c>
      <c r="R100">
        <v>9</v>
      </c>
      <c r="S100" t="s">
        <v>787</v>
      </c>
      <c r="T100">
        <v>100</v>
      </c>
      <c r="U100">
        <v>453.16355551774018</v>
      </c>
      <c r="V100">
        <v>-0.47132927923356271</v>
      </c>
      <c r="W100">
        <f>P100/O100</f>
        <v>1.1837326898899743</v>
      </c>
    </row>
    <row r="101" spans="1:23" x14ac:dyDescent="0.3">
      <c r="A101" t="s">
        <v>290</v>
      </c>
      <c r="B101" t="s">
        <v>34</v>
      </c>
      <c r="C101" t="s">
        <v>181</v>
      </c>
      <c r="D101" t="s">
        <v>291</v>
      </c>
      <c r="E101" t="s">
        <v>292</v>
      </c>
      <c r="F101">
        <v>11251</v>
      </c>
      <c r="G101" t="s">
        <v>27</v>
      </c>
      <c r="H101" t="s">
        <v>47</v>
      </c>
      <c r="I101" t="s">
        <v>48</v>
      </c>
      <c r="J101" t="s">
        <v>293</v>
      </c>
      <c r="K101">
        <v>2004</v>
      </c>
      <c r="L101">
        <v>160000</v>
      </c>
      <c r="M101" t="s">
        <v>294</v>
      </c>
      <c r="N101">
        <v>101</v>
      </c>
      <c r="O101">
        <v>1584.158415841584</v>
      </c>
      <c r="P101">
        <v>1862.0661480635031</v>
      </c>
      <c r="Q101">
        <v>1885.752688172043</v>
      </c>
      <c r="R101">
        <v>30</v>
      </c>
      <c r="S101" t="s">
        <v>295</v>
      </c>
      <c r="T101">
        <v>100</v>
      </c>
      <c r="U101">
        <v>439.36919982673732</v>
      </c>
      <c r="V101">
        <v>-0.63251527947682762</v>
      </c>
      <c r="W101">
        <f>P101/O101</f>
        <v>1.1754292559650865</v>
      </c>
    </row>
    <row r="102" spans="1:23" x14ac:dyDescent="0.3">
      <c r="A102" t="s">
        <v>522</v>
      </c>
      <c r="B102" t="s">
        <v>23</v>
      </c>
      <c r="C102" t="s">
        <v>523</v>
      </c>
      <c r="D102" t="s">
        <v>524</v>
      </c>
      <c r="E102" t="s">
        <v>525</v>
      </c>
      <c r="F102">
        <v>14568</v>
      </c>
      <c r="G102" t="s">
        <v>27</v>
      </c>
      <c r="H102" t="s">
        <v>393</v>
      </c>
      <c r="I102" t="s">
        <v>505</v>
      </c>
      <c r="J102" t="s">
        <v>526</v>
      </c>
      <c r="K102">
        <v>2007</v>
      </c>
      <c r="L102">
        <v>144000</v>
      </c>
      <c r="M102" t="s">
        <v>527</v>
      </c>
      <c r="N102">
        <v>80</v>
      </c>
      <c r="O102">
        <v>1800</v>
      </c>
      <c r="P102">
        <v>2084.256628787879</v>
      </c>
      <c r="Q102">
        <v>1800</v>
      </c>
      <c r="R102">
        <v>16</v>
      </c>
      <c r="S102" t="s">
        <v>528</v>
      </c>
      <c r="T102">
        <v>100</v>
      </c>
      <c r="U102">
        <v>807.3447441006972</v>
      </c>
      <c r="V102">
        <v>-0.35208828801445041</v>
      </c>
      <c r="W102">
        <f>P102/O102</f>
        <v>1.1579203493265995</v>
      </c>
    </row>
    <row r="103" spans="1:23" x14ac:dyDescent="0.3">
      <c r="A103" t="s">
        <v>107</v>
      </c>
      <c r="B103" t="s">
        <v>34</v>
      </c>
      <c r="C103" t="s">
        <v>108</v>
      </c>
      <c r="D103" t="s">
        <v>109</v>
      </c>
      <c r="E103" t="s">
        <v>110</v>
      </c>
      <c r="F103">
        <v>11741</v>
      </c>
      <c r="G103" t="s">
        <v>27</v>
      </c>
      <c r="H103" t="s">
        <v>47</v>
      </c>
      <c r="I103" t="s">
        <v>48</v>
      </c>
      <c r="J103" t="s">
        <v>111</v>
      </c>
      <c r="K103">
        <v>1969</v>
      </c>
      <c r="L103">
        <v>550000</v>
      </c>
      <c r="M103" t="s">
        <v>112</v>
      </c>
      <c r="N103">
        <v>180</v>
      </c>
      <c r="O103">
        <v>3055.5555555555561</v>
      </c>
      <c r="P103">
        <v>3536.6455418322989</v>
      </c>
      <c r="Q103">
        <v>3333.333333333333</v>
      </c>
      <c r="R103">
        <v>30</v>
      </c>
      <c r="S103" t="s">
        <v>113</v>
      </c>
      <c r="T103">
        <v>100</v>
      </c>
      <c r="U103">
        <v>772.51977866206346</v>
      </c>
      <c r="V103">
        <v>-0.62275426411728763</v>
      </c>
      <c r="W103">
        <f>P103/O103</f>
        <v>1.1574476318723885</v>
      </c>
    </row>
    <row r="104" spans="1:23" x14ac:dyDescent="0.3">
      <c r="A104" t="s">
        <v>404</v>
      </c>
      <c r="B104" t="s">
        <v>34</v>
      </c>
      <c r="C104" t="s">
        <v>405</v>
      </c>
      <c r="D104" t="s">
        <v>406</v>
      </c>
      <c r="E104" t="s">
        <v>407</v>
      </c>
      <c r="F104">
        <v>13674</v>
      </c>
      <c r="G104" t="s">
        <v>27</v>
      </c>
      <c r="H104" t="s">
        <v>393</v>
      </c>
      <c r="I104" t="s">
        <v>394</v>
      </c>
      <c r="J104" t="s">
        <v>408</v>
      </c>
      <c r="K104">
        <v>2003</v>
      </c>
      <c r="L104">
        <v>135000</v>
      </c>
      <c r="M104" t="s">
        <v>409</v>
      </c>
      <c r="N104">
        <v>102</v>
      </c>
      <c r="O104">
        <v>1323.5294117647061</v>
      </c>
      <c r="P104">
        <v>1526.077295761708</v>
      </c>
      <c r="Q104">
        <v>1388.5913664394679</v>
      </c>
      <c r="R104">
        <v>10</v>
      </c>
      <c r="S104" t="s">
        <v>410</v>
      </c>
      <c r="T104">
        <v>100</v>
      </c>
      <c r="U104">
        <v>531.95916873134888</v>
      </c>
      <c r="V104">
        <v>-0.38075832865152343</v>
      </c>
      <c r="W104">
        <f>P104/O104</f>
        <v>1.153036179019957</v>
      </c>
    </row>
    <row r="105" spans="1:23" x14ac:dyDescent="0.3">
      <c r="A105" t="s">
        <v>166</v>
      </c>
      <c r="B105" t="s">
        <v>34</v>
      </c>
      <c r="C105" t="s">
        <v>167</v>
      </c>
      <c r="D105" t="s">
        <v>168</v>
      </c>
      <c r="E105" t="s">
        <v>169</v>
      </c>
      <c r="F105">
        <v>11143</v>
      </c>
      <c r="G105" t="s">
        <v>27</v>
      </c>
      <c r="H105" t="s">
        <v>47</v>
      </c>
      <c r="I105" t="s">
        <v>48</v>
      </c>
      <c r="J105" t="s">
        <v>170</v>
      </c>
      <c r="K105">
        <v>1971</v>
      </c>
      <c r="L105">
        <v>196000</v>
      </c>
      <c r="M105" t="s">
        <v>171</v>
      </c>
      <c r="N105">
        <v>110</v>
      </c>
      <c r="O105">
        <v>1781.818181818182</v>
      </c>
      <c r="P105">
        <v>2047.169942243142</v>
      </c>
      <c r="Q105">
        <v>1937.5</v>
      </c>
      <c r="R105">
        <v>30</v>
      </c>
      <c r="S105" t="s">
        <v>172</v>
      </c>
      <c r="T105">
        <v>100</v>
      </c>
      <c r="U105">
        <v>357.17057359038182</v>
      </c>
      <c r="V105">
        <v>-0.74292727353647225</v>
      </c>
      <c r="W105">
        <f>P105/O105</f>
        <v>1.148921906360947</v>
      </c>
    </row>
    <row r="106" spans="1:23" x14ac:dyDescent="0.3">
      <c r="A106" t="s">
        <v>43</v>
      </c>
      <c r="B106" t="s">
        <v>34</v>
      </c>
      <c r="C106" t="s">
        <v>44</v>
      </c>
      <c r="D106" t="s">
        <v>45</v>
      </c>
      <c r="E106" t="s">
        <v>46</v>
      </c>
      <c r="F106">
        <v>11254</v>
      </c>
      <c r="G106" t="s">
        <v>27</v>
      </c>
      <c r="H106" t="s">
        <v>47</v>
      </c>
      <c r="I106" t="s">
        <v>48</v>
      </c>
      <c r="J106" t="s">
        <v>49</v>
      </c>
      <c r="K106">
        <v>2005</v>
      </c>
      <c r="L106">
        <v>185000</v>
      </c>
      <c r="M106" t="s">
        <v>50</v>
      </c>
      <c r="N106">
        <v>95</v>
      </c>
      <c r="O106">
        <v>1947.3684210526319</v>
      </c>
      <c r="P106">
        <v>2237.3361538484241</v>
      </c>
      <c r="Q106">
        <v>2000</v>
      </c>
      <c r="R106">
        <v>30</v>
      </c>
      <c r="S106" t="s">
        <v>51</v>
      </c>
      <c r="T106">
        <v>100</v>
      </c>
      <c r="U106">
        <v>706.16671823165029</v>
      </c>
      <c r="V106">
        <v>-0.41062220196657828</v>
      </c>
      <c r="W106">
        <f>P106/O106</f>
        <v>1.1489023492735149</v>
      </c>
    </row>
    <row r="107" spans="1:23" x14ac:dyDescent="0.3">
      <c r="A107" t="s">
        <v>706</v>
      </c>
      <c r="B107" t="s">
        <v>34</v>
      </c>
      <c r="C107" t="s">
        <v>692</v>
      </c>
      <c r="D107" t="s">
        <v>707</v>
      </c>
      <c r="E107" t="s">
        <v>708</v>
      </c>
      <c r="F107">
        <v>56224</v>
      </c>
      <c r="G107" t="s">
        <v>495</v>
      </c>
      <c r="H107" t="s">
        <v>496</v>
      </c>
      <c r="I107" t="s">
        <v>695</v>
      </c>
      <c r="J107" t="s">
        <v>709</v>
      </c>
      <c r="K107">
        <v>2003</v>
      </c>
      <c r="L107">
        <v>75000</v>
      </c>
      <c r="M107" t="s">
        <v>710</v>
      </c>
      <c r="N107">
        <v>76</v>
      </c>
      <c r="O107">
        <v>986.84210526315792</v>
      </c>
      <c r="P107">
        <v>1113.5122245990531</v>
      </c>
      <c r="Q107">
        <v>1054.9450549450551</v>
      </c>
      <c r="R107">
        <v>14</v>
      </c>
      <c r="S107" t="s">
        <v>711</v>
      </c>
      <c r="T107">
        <v>100</v>
      </c>
      <c r="U107">
        <v>426.5545965425963</v>
      </c>
      <c r="V107">
        <v>-0.29696109328702469</v>
      </c>
      <c r="W107">
        <f>P107/O107</f>
        <v>1.1283590542603736</v>
      </c>
    </row>
    <row r="108" spans="1:23" x14ac:dyDescent="0.3">
      <c r="A108" t="s">
        <v>788</v>
      </c>
      <c r="B108" t="s">
        <v>23</v>
      </c>
      <c r="C108" t="s">
        <v>789</v>
      </c>
      <c r="D108" t="s">
        <v>790</v>
      </c>
      <c r="E108" t="s">
        <v>791</v>
      </c>
      <c r="F108">
        <v>19100</v>
      </c>
      <c r="G108" t="s">
        <v>27</v>
      </c>
      <c r="H108" t="s">
        <v>538</v>
      </c>
      <c r="I108" t="s">
        <v>792</v>
      </c>
      <c r="J108" t="s">
        <v>793</v>
      </c>
      <c r="K108">
        <v>1970</v>
      </c>
      <c r="L108">
        <v>30000</v>
      </c>
      <c r="M108" t="s">
        <v>794</v>
      </c>
      <c r="N108">
        <v>158</v>
      </c>
      <c r="O108">
        <v>189.87341772151899</v>
      </c>
      <c r="P108">
        <v>213.9843279083785</v>
      </c>
      <c r="Q108">
        <v>213.9843279083785</v>
      </c>
      <c r="R108">
        <v>2</v>
      </c>
      <c r="S108" t="s">
        <v>795</v>
      </c>
      <c r="T108">
        <v>100</v>
      </c>
      <c r="U108">
        <v>34.0979761874164</v>
      </c>
      <c r="V108">
        <v>-0.70710678118654624</v>
      </c>
      <c r="W108">
        <f>P108/O108</f>
        <v>1.1269841269841268</v>
      </c>
    </row>
    <row r="109" spans="1:23" x14ac:dyDescent="0.3">
      <c r="A109" t="s">
        <v>607</v>
      </c>
      <c r="B109" t="s">
        <v>34</v>
      </c>
      <c r="C109" t="s">
        <v>608</v>
      </c>
      <c r="D109" t="s">
        <v>609</v>
      </c>
      <c r="E109" t="s">
        <v>610</v>
      </c>
      <c r="F109">
        <v>57500</v>
      </c>
      <c r="G109" t="s">
        <v>495</v>
      </c>
      <c r="H109" t="s">
        <v>496</v>
      </c>
      <c r="I109" t="s">
        <v>596</v>
      </c>
      <c r="J109" t="s">
        <v>611</v>
      </c>
      <c r="K109">
        <v>2008</v>
      </c>
      <c r="L109">
        <v>153000</v>
      </c>
      <c r="M109" t="s">
        <v>612</v>
      </c>
      <c r="N109">
        <v>125</v>
      </c>
      <c r="O109">
        <v>1224</v>
      </c>
      <c r="P109">
        <v>1362.0646173368009</v>
      </c>
      <c r="Q109">
        <v>1224</v>
      </c>
      <c r="R109">
        <v>11</v>
      </c>
      <c r="S109" t="s">
        <v>613</v>
      </c>
      <c r="T109">
        <v>100</v>
      </c>
      <c r="U109">
        <v>187.3026317354088</v>
      </c>
      <c r="V109">
        <v>-0.73712054154068962</v>
      </c>
      <c r="W109">
        <f>P109/O109</f>
        <v>1.1127978899810465</v>
      </c>
    </row>
    <row r="110" spans="1:23" x14ac:dyDescent="0.3">
      <c r="A110" t="s">
        <v>850</v>
      </c>
      <c r="B110" t="s">
        <v>34</v>
      </c>
      <c r="C110" t="s">
        <v>851</v>
      </c>
      <c r="D110" t="s">
        <v>852</v>
      </c>
      <c r="E110" t="s">
        <v>853</v>
      </c>
      <c r="F110">
        <v>17563</v>
      </c>
      <c r="G110" t="s">
        <v>27</v>
      </c>
      <c r="H110" t="s">
        <v>369</v>
      </c>
      <c r="I110" t="s">
        <v>846</v>
      </c>
      <c r="J110" t="s">
        <v>854</v>
      </c>
      <c r="K110">
        <v>1992</v>
      </c>
      <c r="L110">
        <v>535000</v>
      </c>
      <c r="M110" t="s">
        <v>855</v>
      </c>
      <c r="N110">
        <v>175</v>
      </c>
      <c r="O110">
        <v>3057.1428571428569</v>
      </c>
      <c r="P110">
        <v>3365.3682185237321</v>
      </c>
      <c r="Q110">
        <v>3074.7126436781609</v>
      </c>
      <c r="R110">
        <v>23</v>
      </c>
      <c r="S110" t="s">
        <v>856</v>
      </c>
      <c r="T110">
        <v>100</v>
      </c>
      <c r="U110">
        <v>788.31734625973013</v>
      </c>
      <c r="V110">
        <v>-0.39099147423723257</v>
      </c>
      <c r="W110">
        <f>P110/O110</f>
        <v>1.1008213798909405</v>
      </c>
    </row>
    <row r="111" spans="1:23" x14ac:dyDescent="0.3">
      <c r="A111" t="s">
        <v>397</v>
      </c>
      <c r="B111" t="s">
        <v>34</v>
      </c>
      <c r="C111" t="s">
        <v>398</v>
      </c>
      <c r="D111" t="s">
        <v>399</v>
      </c>
      <c r="E111" t="s">
        <v>400</v>
      </c>
      <c r="F111">
        <v>13674</v>
      </c>
      <c r="G111" t="s">
        <v>27</v>
      </c>
      <c r="H111" t="s">
        <v>393</v>
      </c>
      <c r="I111" t="s">
        <v>394</v>
      </c>
      <c r="J111" t="s">
        <v>401</v>
      </c>
      <c r="K111">
        <v>2003</v>
      </c>
      <c r="L111">
        <v>109000</v>
      </c>
      <c r="M111" t="s">
        <v>402</v>
      </c>
      <c r="N111">
        <v>78</v>
      </c>
      <c r="O111">
        <v>1397.435897435897</v>
      </c>
      <c r="P111">
        <v>1526.077295761708</v>
      </c>
      <c r="Q111">
        <v>1388.5913664394679</v>
      </c>
      <c r="R111">
        <v>10</v>
      </c>
      <c r="S111" t="s">
        <v>403</v>
      </c>
      <c r="T111">
        <v>100</v>
      </c>
      <c r="U111">
        <v>531.95916873134888</v>
      </c>
      <c r="V111">
        <v>-0.24182569995475969</v>
      </c>
      <c r="W111">
        <f>P111/O111</f>
        <v>1.0920553125634245</v>
      </c>
    </row>
    <row r="112" spans="1:23" x14ac:dyDescent="0.3">
      <c r="A112" t="s">
        <v>986</v>
      </c>
      <c r="B112" t="s">
        <v>23</v>
      </c>
      <c r="C112" t="s">
        <v>987</v>
      </c>
      <c r="D112" t="s">
        <v>988</v>
      </c>
      <c r="E112" t="s">
        <v>989</v>
      </c>
      <c r="F112">
        <v>19001</v>
      </c>
      <c r="G112" t="s">
        <v>27</v>
      </c>
      <c r="H112" t="s">
        <v>393</v>
      </c>
      <c r="I112" t="s">
        <v>983</v>
      </c>
      <c r="J112" t="s">
        <v>990</v>
      </c>
      <c r="K112" t="s">
        <v>991</v>
      </c>
      <c r="L112">
        <v>530000</v>
      </c>
      <c r="M112" t="s">
        <v>992</v>
      </c>
      <c r="N112">
        <v>500</v>
      </c>
      <c r="O112">
        <v>1060</v>
      </c>
      <c r="P112">
        <v>1150</v>
      </c>
      <c r="Q112">
        <v>1150</v>
      </c>
      <c r="R112">
        <v>1</v>
      </c>
      <c r="S112" t="s">
        <v>993</v>
      </c>
      <c r="T112">
        <v>100</v>
      </c>
      <c r="W112">
        <f>P112/O112</f>
        <v>1.0849056603773586</v>
      </c>
    </row>
    <row r="113" spans="1:23" x14ac:dyDescent="0.3">
      <c r="A113" t="s">
        <v>660</v>
      </c>
      <c r="B113" t="s">
        <v>34</v>
      </c>
      <c r="C113" t="s">
        <v>661</v>
      </c>
      <c r="D113" t="s">
        <v>662</v>
      </c>
      <c r="E113" t="s">
        <v>663</v>
      </c>
      <c r="F113">
        <v>14578</v>
      </c>
      <c r="G113" t="s">
        <v>27</v>
      </c>
      <c r="H113" t="s">
        <v>38</v>
      </c>
      <c r="I113" t="s">
        <v>664</v>
      </c>
      <c r="J113" t="s">
        <v>665</v>
      </c>
      <c r="K113">
        <v>1998</v>
      </c>
      <c r="L113">
        <v>400000</v>
      </c>
      <c r="M113" t="s">
        <v>666</v>
      </c>
      <c r="N113">
        <v>163</v>
      </c>
      <c r="O113">
        <v>2453.9877300613498</v>
      </c>
      <c r="P113">
        <v>2653.1258884744102</v>
      </c>
      <c r="Q113">
        <v>2453.9877300613498</v>
      </c>
      <c r="R113">
        <v>9</v>
      </c>
      <c r="S113" t="s">
        <v>667</v>
      </c>
      <c r="T113">
        <v>100</v>
      </c>
      <c r="U113">
        <v>597.41447523918157</v>
      </c>
      <c r="V113">
        <v>-0.33333333333333309</v>
      </c>
      <c r="W113">
        <f>P113/O113</f>
        <v>1.0811487995533222</v>
      </c>
    </row>
    <row r="114" spans="1:23" x14ac:dyDescent="0.3">
      <c r="A114" t="s">
        <v>316</v>
      </c>
      <c r="B114" t="s">
        <v>34</v>
      </c>
      <c r="C114" t="s">
        <v>317</v>
      </c>
      <c r="D114" t="s">
        <v>318</v>
      </c>
      <c r="E114" t="s">
        <v>319</v>
      </c>
      <c r="F114">
        <v>11254</v>
      </c>
      <c r="G114" t="s">
        <v>27</v>
      </c>
      <c r="H114" t="s">
        <v>47</v>
      </c>
      <c r="I114" t="s">
        <v>48</v>
      </c>
      <c r="J114" t="s">
        <v>320</v>
      </c>
      <c r="K114">
        <v>1957</v>
      </c>
      <c r="L114">
        <v>113000</v>
      </c>
      <c r="M114" t="s">
        <v>321</v>
      </c>
      <c r="N114">
        <v>65</v>
      </c>
      <c r="O114">
        <v>1738.461538461539</v>
      </c>
      <c r="P114">
        <v>1857.7570882380901</v>
      </c>
      <c r="Q114">
        <v>1750.471401634192</v>
      </c>
      <c r="R114">
        <v>30</v>
      </c>
      <c r="S114" t="s">
        <v>322</v>
      </c>
      <c r="T114">
        <v>100</v>
      </c>
      <c r="U114">
        <v>454.70383948840379</v>
      </c>
      <c r="V114">
        <v>-0.26235879140755292</v>
      </c>
      <c r="W114">
        <f>P114/O114</f>
        <v>1.0686213339422639</v>
      </c>
    </row>
    <row r="115" spans="1:23" x14ac:dyDescent="0.3">
      <c r="A115" t="s">
        <v>691</v>
      </c>
      <c r="B115" t="s">
        <v>34</v>
      </c>
      <c r="C115" t="s">
        <v>692</v>
      </c>
      <c r="D115" t="s">
        <v>693</v>
      </c>
      <c r="E115" t="s">
        <v>694</v>
      </c>
      <c r="F115">
        <v>56224</v>
      </c>
      <c r="G115" t="s">
        <v>495</v>
      </c>
      <c r="H115" t="s">
        <v>496</v>
      </c>
      <c r="I115" t="s">
        <v>695</v>
      </c>
      <c r="J115" t="s">
        <v>696</v>
      </c>
      <c r="K115">
        <v>2006</v>
      </c>
      <c r="L115">
        <v>120000</v>
      </c>
      <c r="M115" t="s">
        <v>697</v>
      </c>
      <c r="N115">
        <v>76</v>
      </c>
      <c r="O115">
        <v>1578.9473684210529</v>
      </c>
      <c r="P115">
        <v>1674.833307637615</v>
      </c>
      <c r="Q115">
        <v>1600</v>
      </c>
      <c r="R115">
        <v>15</v>
      </c>
      <c r="S115" t="s">
        <v>698</v>
      </c>
      <c r="T115">
        <v>100</v>
      </c>
      <c r="U115">
        <v>271.23185259498109</v>
      </c>
      <c r="V115">
        <v>-0.35352020162522968</v>
      </c>
      <c r="W115">
        <f>P115/O115</f>
        <v>1.0607277615038226</v>
      </c>
    </row>
    <row r="116" spans="1:23" x14ac:dyDescent="0.3">
      <c r="A116" t="s">
        <v>529</v>
      </c>
      <c r="B116" t="s">
        <v>23</v>
      </c>
      <c r="C116" t="s">
        <v>523</v>
      </c>
      <c r="D116" t="s">
        <v>530</v>
      </c>
      <c r="E116" t="s">
        <v>525</v>
      </c>
      <c r="F116">
        <v>14568</v>
      </c>
      <c r="G116" t="s">
        <v>27</v>
      </c>
      <c r="H116" t="s">
        <v>393</v>
      </c>
      <c r="I116" t="s">
        <v>505</v>
      </c>
      <c r="J116" t="s">
        <v>531</v>
      </c>
      <c r="K116">
        <v>2007</v>
      </c>
      <c r="L116">
        <v>158000</v>
      </c>
      <c r="M116" t="s">
        <v>532</v>
      </c>
      <c r="N116">
        <v>88</v>
      </c>
      <c r="O116">
        <v>1795.454545454545</v>
      </c>
      <c r="P116">
        <v>1897.890750692475</v>
      </c>
      <c r="Q116">
        <v>1800</v>
      </c>
      <c r="R116">
        <v>18</v>
      </c>
      <c r="S116" t="s">
        <v>533</v>
      </c>
      <c r="T116">
        <v>100</v>
      </c>
      <c r="U116">
        <v>219.57386446622601</v>
      </c>
      <c r="V116">
        <v>-0.46652275983276598</v>
      </c>
      <c r="W116">
        <f>P116/O116</f>
        <v>1.0570530763350496</v>
      </c>
    </row>
    <row r="117" spans="1:23" x14ac:dyDescent="0.3">
      <c r="A117" t="s">
        <v>411</v>
      </c>
      <c r="B117" t="s">
        <v>34</v>
      </c>
      <c r="C117" t="s">
        <v>405</v>
      </c>
      <c r="D117" t="s">
        <v>412</v>
      </c>
      <c r="E117" t="s">
        <v>413</v>
      </c>
      <c r="F117">
        <v>13674</v>
      </c>
      <c r="G117" t="s">
        <v>27</v>
      </c>
      <c r="H117" t="s">
        <v>393</v>
      </c>
      <c r="I117" t="s">
        <v>394</v>
      </c>
      <c r="J117" t="s">
        <v>414</v>
      </c>
      <c r="K117">
        <v>2005</v>
      </c>
      <c r="L117">
        <v>179000</v>
      </c>
      <c r="M117" t="s">
        <v>415</v>
      </c>
      <c r="N117">
        <v>116</v>
      </c>
      <c r="O117">
        <v>1543.1034482758621</v>
      </c>
      <c r="P117">
        <v>1612.7502085777419</v>
      </c>
      <c r="Q117">
        <v>1543.1034482758621</v>
      </c>
      <c r="R117">
        <v>11</v>
      </c>
      <c r="S117" t="s">
        <v>416</v>
      </c>
      <c r="T117">
        <v>100</v>
      </c>
      <c r="U117">
        <v>389.79565892358909</v>
      </c>
      <c r="V117">
        <v>-0.178675053729966</v>
      </c>
      <c r="W117">
        <f>P117/O117</f>
        <v>1.0451342133799892</v>
      </c>
    </row>
    <row r="118" spans="1:23" x14ac:dyDescent="0.3">
      <c r="A118" t="s">
        <v>543</v>
      </c>
      <c r="B118" t="s">
        <v>34</v>
      </c>
      <c r="C118" t="s">
        <v>544</v>
      </c>
      <c r="D118" t="s">
        <v>545</v>
      </c>
      <c r="E118" t="s">
        <v>546</v>
      </c>
      <c r="F118">
        <v>19200</v>
      </c>
      <c r="G118" t="s">
        <v>27</v>
      </c>
      <c r="H118" t="s">
        <v>538</v>
      </c>
      <c r="I118" t="s">
        <v>539</v>
      </c>
      <c r="J118" t="s">
        <v>547</v>
      </c>
      <c r="K118">
        <v>1973</v>
      </c>
      <c r="L118">
        <v>77000</v>
      </c>
      <c r="M118" t="s">
        <v>548</v>
      </c>
      <c r="N118">
        <v>84</v>
      </c>
      <c r="O118">
        <v>916.66666666666663</v>
      </c>
      <c r="P118">
        <v>919.82214572576015</v>
      </c>
      <c r="Q118">
        <v>916.66666666666663</v>
      </c>
      <c r="R118">
        <v>7</v>
      </c>
      <c r="S118" t="s">
        <v>549</v>
      </c>
      <c r="T118">
        <v>100</v>
      </c>
      <c r="U118">
        <v>5.3890064269246407</v>
      </c>
      <c r="V118">
        <v>-0.58554004376911994</v>
      </c>
      <c r="W118">
        <f>P118/O118</f>
        <v>1.0034423407917383</v>
      </c>
    </row>
    <row r="119" spans="1:23" x14ac:dyDescent="0.3">
      <c r="A119" t="s">
        <v>1038</v>
      </c>
      <c r="B119" t="s">
        <v>23</v>
      </c>
      <c r="C119" t="s">
        <v>1039</v>
      </c>
      <c r="D119" t="s">
        <v>1040</v>
      </c>
      <c r="E119" t="s">
        <v>1041</v>
      </c>
      <c r="F119">
        <v>57100</v>
      </c>
      <c r="G119" t="s">
        <v>495</v>
      </c>
      <c r="H119" t="s">
        <v>496</v>
      </c>
      <c r="I119" t="s">
        <v>1042</v>
      </c>
      <c r="J119" t="s">
        <v>1043</v>
      </c>
      <c r="K119">
        <v>2005</v>
      </c>
      <c r="L119">
        <v>110000</v>
      </c>
      <c r="M119" t="s">
        <v>1044</v>
      </c>
      <c r="N119">
        <v>192</v>
      </c>
      <c r="O119">
        <v>572.91666666666663</v>
      </c>
      <c r="P119">
        <v>571.1355785837651</v>
      </c>
      <c r="Q119">
        <v>569.94818652849744</v>
      </c>
      <c r="R119">
        <v>5</v>
      </c>
      <c r="S119" t="s">
        <v>1045</v>
      </c>
      <c r="T119">
        <v>100</v>
      </c>
      <c r="U119">
        <v>1.6259035331813141</v>
      </c>
      <c r="V119">
        <v>1.0954451150103459</v>
      </c>
      <c r="W119">
        <f>P119/O119</f>
        <v>0.99689119170984464</v>
      </c>
    </row>
    <row r="120" spans="1:23" x14ac:dyDescent="0.3">
      <c r="A120" t="s">
        <v>558</v>
      </c>
      <c r="B120" t="s">
        <v>34</v>
      </c>
      <c r="C120" t="s">
        <v>559</v>
      </c>
      <c r="D120" t="s">
        <v>560</v>
      </c>
      <c r="E120" t="s">
        <v>561</v>
      </c>
      <c r="F120">
        <v>14122</v>
      </c>
      <c r="G120" t="s">
        <v>27</v>
      </c>
      <c r="H120" t="s">
        <v>38</v>
      </c>
      <c r="I120" t="s">
        <v>562</v>
      </c>
      <c r="J120" t="s">
        <v>563</v>
      </c>
      <c r="K120">
        <v>2007</v>
      </c>
      <c r="L120">
        <v>154000</v>
      </c>
      <c r="M120" t="s">
        <v>564</v>
      </c>
      <c r="N120">
        <v>63</v>
      </c>
      <c r="O120">
        <v>2444.4444444444439</v>
      </c>
      <c r="P120">
        <v>2410.0244798774211</v>
      </c>
      <c r="Q120">
        <v>2444.4444444444439</v>
      </c>
      <c r="R120">
        <v>30</v>
      </c>
      <c r="S120" t="s">
        <v>565</v>
      </c>
      <c r="T120">
        <v>100</v>
      </c>
      <c r="U120">
        <v>337.77993834688971</v>
      </c>
      <c r="V120">
        <v>0.10190055909026489</v>
      </c>
      <c r="W120">
        <f>P120/O120</f>
        <v>0.98591910540439975</v>
      </c>
    </row>
    <row r="121" spans="1:23" x14ac:dyDescent="0.3">
      <c r="A121" t="s">
        <v>1067</v>
      </c>
      <c r="B121" t="s">
        <v>23</v>
      </c>
      <c r="C121" t="s">
        <v>1068</v>
      </c>
      <c r="D121" t="s">
        <v>1069</v>
      </c>
      <c r="E121" t="s">
        <v>1070</v>
      </c>
      <c r="F121">
        <v>19014</v>
      </c>
      <c r="G121" t="s">
        <v>27</v>
      </c>
      <c r="H121" t="s">
        <v>393</v>
      </c>
      <c r="I121" t="s">
        <v>1071</v>
      </c>
      <c r="J121" t="s">
        <v>1072</v>
      </c>
      <c r="K121">
        <v>1986</v>
      </c>
      <c r="L121">
        <v>155000</v>
      </c>
      <c r="M121" t="s">
        <v>1073</v>
      </c>
      <c r="N121">
        <v>126</v>
      </c>
      <c r="O121">
        <v>1230.1587301587299</v>
      </c>
      <c r="P121">
        <v>1208.958382689726</v>
      </c>
      <c r="Q121">
        <v>1230.1587301587299</v>
      </c>
      <c r="R121">
        <v>3</v>
      </c>
      <c r="S121" t="s">
        <v>1074</v>
      </c>
      <c r="T121">
        <v>100</v>
      </c>
      <c r="U121">
        <v>45.509667226004659</v>
      </c>
      <c r="V121">
        <v>0.46584272663918802</v>
      </c>
      <c r="W121">
        <f>P121/O121</f>
        <v>0.9827661691542291</v>
      </c>
    </row>
    <row r="122" spans="1:23" x14ac:dyDescent="0.3">
      <c r="A122" t="s">
        <v>59</v>
      </c>
      <c r="B122" t="s">
        <v>34</v>
      </c>
      <c r="C122" t="s">
        <v>60</v>
      </c>
      <c r="D122" t="s">
        <v>61</v>
      </c>
      <c r="E122" t="s">
        <v>62</v>
      </c>
      <c r="F122">
        <v>11524</v>
      </c>
      <c r="G122" t="s">
        <v>27</v>
      </c>
      <c r="H122" t="s">
        <v>47</v>
      </c>
      <c r="I122" t="s">
        <v>48</v>
      </c>
      <c r="J122" t="s">
        <v>63</v>
      </c>
      <c r="K122">
        <v>2009</v>
      </c>
      <c r="L122">
        <v>244000</v>
      </c>
      <c r="M122" t="s">
        <v>64</v>
      </c>
      <c r="N122">
        <v>84</v>
      </c>
      <c r="O122">
        <v>2904.761904761905</v>
      </c>
      <c r="P122">
        <v>2851.3280223833508</v>
      </c>
      <c r="Q122">
        <v>2951.807228915663</v>
      </c>
      <c r="R122">
        <v>30</v>
      </c>
      <c r="S122" t="s">
        <v>65</v>
      </c>
      <c r="T122">
        <v>100</v>
      </c>
      <c r="U122">
        <v>465.28022026047131</v>
      </c>
      <c r="V122">
        <v>0.1148423682155254</v>
      </c>
      <c r="W122">
        <f>P122/O122</f>
        <v>0.98160472901721907</v>
      </c>
    </row>
    <row r="123" spans="1:23" x14ac:dyDescent="0.3">
      <c r="A123" t="s">
        <v>621</v>
      </c>
      <c r="B123" t="s">
        <v>34</v>
      </c>
      <c r="C123" t="s">
        <v>622</v>
      </c>
      <c r="D123" t="s">
        <v>623</v>
      </c>
      <c r="E123" t="s">
        <v>624</v>
      </c>
      <c r="F123">
        <v>54643</v>
      </c>
      <c r="G123" t="s">
        <v>495</v>
      </c>
      <c r="H123" t="s">
        <v>496</v>
      </c>
      <c r="I123" t="s">
        <v>496</v>
      </c>
      <c r="J123" t="s">
        <v>625</v>
      </c>
      <c r="K123">
        <v>1999</v>
      </c>
      <c r="L123">
        <v>335000</v>
      </c>
      <c r="M123" t="s">
        <v>626</v>
      </c>
      <c r="N123">
        <v>127</v>
      </c>
      <c r="O123">
        <v>2637.7952755905508</v>
      </c>
      <c r="P123">
        <v>2571.2900981847511</v>
      </c>
      <c r="Q123">
        <v>2625.5102040816332</v>
      </c>
      <c r="R123">
        <v>30</v>
      </c>
      <c r="S123" t="s">
        <v>627</v>
      </c>
      <c r="T123">
        <v>100</v>
      </c>
      <c r="U123">
        <v>560.77568093221669</v>
      </c>
      <c r="V123">
        <v>0.118594974188688</v>
      </c>
      <c r="W123">
        <f>P123/O123</f>
        <v>0.9747875894610849</v>
      </c>
    </row>
    <row r="124" spans="1:23" x14ac:dyDescent="0.3">
      <c r="A124" t="s">
        <v>69</v>
      </c>
      <c r="B124" t="s">
        <v>34</v>
      </c>
      <c r="C124" t="s">
        <v>60</v>
      </c>
      <c r="D124" t="s">
        <v>70</v>
      </c>
      <c r="E124" t="s">
        <v>62</v>
      </c>
      <c r="F124">
        <v>11524</v>
      </c>
      <c r="G124" t="s">
        <v>27</v>
      </c>
      <c r="H124" t="s">
        <v>47</v>
      </c>
      <c r="I124" t="s">
        <v>48</v>
      </c>
      <c r="J124" t="s">
        <v>63</v>
      </c>
      <c r="K124">
        <v>2009</v>
      </c>
      <c r="L124">
        <v>245000</v>
      </c>
      <c r="M124" t="s">
        <v>71</v>
      </c>
      <c r="N124">
        <v>82</v>
      </c>
      <c r="O124">
        <v>2987.8048780487811</v>
      </c>
      <c r="P124">
        <v>2851.3280223833508</v>
      </c>
      <c r="Q124">
        <v>2951.807228915663</v>
      </c>
      <c r="R124">
        <v>30</v>
      </c>
      <c r="S124" t="s">
        <v>65</v>
      </c>
      <c r="T124">
        <v>100</v>
      </c>
      <c r="U124">
        <v>465.28022026047131</v>
      </c>
      <c r="V124">
        <v>0.29332185148345208</v>
      </c>
      <c r="W124">
        <f>P124/O124</f>
        <v>0.95432203198136623</v>
      </c>
    </row>
    <row r="125" spans="1:23" x14ac:dyDescent="0.3">
      <c r="A125" t="s">
        <v>684</v>
      </c>
      <c r="B125" t="s">
        <v>23</v>
      </c>
      <c r="C125" t="s">
        <v>685</v>
      </c>
      <c r="D125" t="s">
        <v>686</v>
      </c>
      <c r="E125" t="s">
        <v>687</v>
      </c>
      <c r="F125">
        <v>14578</v>
      </c>
      <c r="G125" t="s">
        <v>27</v>
      </c>
      <c r="H125" t="s">
        <v>38</v>
      </c>
      <c r="I125" t="s">
        <v>664</v>
      </c>
      <c r="J125" t="s">
        <v>688</v>
      </c>
      <c r="K125">
        <v>1980</v>
      </c>
      <c r="L125">
        <v>845000</v>
      </c>
      <c r="M125" t="s">
        <v>689</v>
      </c>
      <c r="N125">
        <v>200</v>
      </c>
      <c r="O125">
        <v>4225</v>
      </c>
      <c r="P125">
        <v>4020.1005025125628</v>
      </c>
      <c r="Q125">
        <v>4020.1005025125628</v>
      </c>
      <c r="R125">
        <v>1</v>
      </c>
      <c r="S125" t="s">
        <v>690</v>
      </c>
      <c r="T125">
        <v>100</v>
      </c>
      <c r="W125">
        <f>P125/O125</f>
        <v>0.9515030775177663</v>
      </c>
    </row>
    <row r="126" spans="1:23" x14ac:dyDescent="0.3">
      <c r="A126" t="s">
        <v>66</v>
      </c>
      <c r="B126" t="s">
        <v>34</v>
      </c>
      <c r="C126" t="s">
        <v>60</v>
      </c>
      <c r="D126" t="s">
        <v>67</v>
      </c>
      <c r="E126" t="s">
        <v>62</v>
      </c>
      <c r="F126">
        <v>11524</v>
      </c>
      <c r="G126" t="s">
        <v>27</v>
      </c>
      <c r="H126" t="s">
        <v>47</v>
      </c>
      <c r="I126" t="s">
        <v>48</v>
      </c>
      <c r="J126" t="s">
        <v>63</v>
      </c>
      <c r="K126">
        <v>2009</v>
      </c>
      <c r="L126">
        <v>253000</v>
      </c>
      <c r="M126" t="s">
        <v>68</v>
      </c>
      <c r="N126">
        <v>82</v>
      </c>
      <c r="O126">
        <v>3085.3658536585372</v>
      </c>
      <c r="P126">
        <v>2851.3280223833508</v>
      </c>
      <c r="Q126">
        <v>2951.807228915663</v>
      </c>
      <c r="R126">
        <v>30</v>
      </c>
      <c r="S126" t="s">
        <v>65</v>
      </c>
      <c r="T126">
        <v>100</v>
      </c>
      <c r="U126">
        <v>465.28022026047131</v>
      </c>
      <c r="V126">
        <v>0.50300404161640011</v>
      </c>
      <c r="W126">
        <f>P126/O126</f>
        <v>0.92414584124677757</v>
      </c>
    </row>
    <row r="127" spans="1:23" x14ac:dyDescent="0.3">
      <c r="A127" t="s">
        <v>491</v>
      </c>
      <c r="B127" t="s">
        <v>34</v>
      </c>
      <c r="C127" t="s">
        <v>492</v>
      </c>
      <c r="D127" t="s">
        <v>493</v>
      </c>
      <c r="E127" t="s">
        <v>494</v>
      </c>
      <c r="F127">
        <v>57008</v>
      </c>
      <c r="G127" t="s">
        <v>495</v>
      </c>
      <c r="H127" t="s">
        <v>496</v>
      </c>
      <c r="I127" t="s">
        <v>497</v>
      </c>
      <c r="J127" t="s">
        <v>498</v>
      </c>
      <c r="K127">
        <v>2005</v>
      </c>
      <c r="L127">
        <v>100000</v>
      </c>
      <c r="M127" t="s">
        <v>499</v>
      </c>
      <c r="N127">
        <v>64</v>
      </c>
      <c r="O127">
        <v>1562.5</v>
      </c>
      <c r="P127">
        <v>1351.0576923076919</v>
      </c>
      <c r="Q127">
        <v>1550.4807692307691</v>
      </c>
      <c r="R127">
        <v>8</v>
      </c>
      <c r="S127" t="s">
        <v>500</v>
      </c>
      <c r="T127">
        <v>100</v>
      </c>
      <c r="U127">
        <v>338.49114818034712</v>
      </c>
      <c r="V127">
        <v>0.62466126168726932</v>
      </c>
      <c r="W127">
        <f>P127/O127</f>
        <v>0.86467692307692279</v>
      </c>
    </row>
    <row r="128" spans="1:23" x14ac:dyDescent="0.3">
      <c r="A128" t="s">
        <v>566</v>
      </c>
      <c r="B128" t="s">
        <v>34</v>
      </c>
      <c r="C128" t="s">
        <v>559</v>
      </c>
      <c r="D128" t="s">
        <v>567</v>
      </c>
      <c r="E128" t="s">
        <v>568</v>
      </c>
      <c r="F128">
        <v>14122</v>
      </c>
      <c r="G128" t="s">
        <v>27</v>
      </c>
      <c r="H128" t="s">
        <v>38</v>
      </c>
      <c r="I128" t="s">
        <v>562</v>
      </c>
      <c r="J128" t="s">
        <v>563</v>
      </c>
      <c r="K128">
        <v>2007</v>
      </c>
      <c r="L128">
        <v>245500</v>
      </c>
      <c r="M128" t="s">
        <v>569</v>
      </c>
      <c r="N128">
        <v>85</v>
      </c>
      <c r="O128">
        <v>2888.2352941176468</v>
      </c>
      <c r="P128">
        <v>2410.0244798774211</v>
      </c>
      <c r="Q128">
        <v>2444.4444444444439</v>
      </c>
      <c r="R128">
        <v>30</v>
      </c>
      <c r="S128" t="s">
        <v>565</v>
      </c>
      <c r="T128">
        <v>100</v>
      </c>
      <c r="U128">
        <v>337.77993834688971</v>
      </c>
      <c r="V128">
        <v>1.4157466443407241</v>
      </c>
      <c r="W128">
        <f>P128/O128</f>
        <v>0.83442802765613366</v>
      </c>
    </row>
    <row r="129" spans="1:23" x14ac:dyDescent="0.3">
      <c r="A129" t="s">
        <v>79</v>
      </c>
      <c r="B129" t="s">
        <v>34</v>
      </c>
      <c r="C129" t="s">
        <v>80</v>
      </c>
      <c r="D129" t="s">
        <v>81</v>
      </c>
      <c r="E129" t="s">
        <v>82</v>
      </c>
      <c r="F129">
        <v>10440</v>
      </c>
      <c r="G129" t="s">
        <v>27</v>
      </c>
      <c r="H129" t="s">
        <v>47</v>
      </c>
      <c r="I129" t="s">
        <v>48</v>
      </c>
      <c r="J129" t="s">
        <v>83</v>
      </c>
      <c r="K129">
        <v>2007</v>
      </c>
      <c r="L129">
        <v>161000</v>
      </c>
      <c r="M129" t="s">
        <v>84</v>
      </c>
      <c r="N129">
        <v>68</v>
      </c>
      <c r="O129">
        <v>2367.6470588235288</v>
      </c>
      <c r="P129">
        <v>1972.6342096053579</v>
      </c>
      <c r="Q129">
        <v>1753.3783783783781</v>
      </c>
      <c r="R129">
        <v>30</v>
      </c>
      <c r="S129" t="s">
        <v>85</v>
      </c>
      <c r="T129">
        <v>100</v>
      </c>
      <c r="U129">
        <v>767.81594400306108</v>
      </c>
      <c r="V129">
        <v>0.51446294167680962</v>
      </c>
      <c r="W129">
        <f>P129/O129</f>
        <v>0.833162274864375</v>
      </c>
    </row>
    <row r="130" spans="1:23" x14ac:dyDescent="0.3">
      <c r="A130" t="s">
        <v>810</v>
      </c>
      <c r="B130" t="s">
        <v>34</v>
      </c>
      <c r="C130" t="s">
        <v>811</v>
      </c>
      <c r="D130" t="s">
        <v>812</v>
      </c>
      <c r="E130" t="s">
        <v>813</v>
      </c>
      <c r="F130">
        <v>56626</v>
      </c>
      <c r="G130" t="s">
        <v>495</v>
      </c>
      <c r="H130" t="s">
        <v>496</v>
      </c>
      <c r="I130" t="s">
        <v>814</v>
      </c>
      <c r="J130" t="s">
        <v>815</v>
      </c>
      <c r="K130">
        <v>2005</v>
      </c>
      <c r="L130">
        <v>87000</v>
      </c>
      <c r="M130" t="s">
        <v>816</v>
      </c>
      <c r="N130">
        <v>41</v>
      </c>
      <c r="O130">
        <v>2121.9512195121952</v>
      </c>
      <c r="P130">
        <v>1755.7478207465431</v>
      </c>
      <c r="Q130">
        <v>1795.8144796380091</v>
      </c>
      <c r="R130">
        <v>30</v>
      </c>
      <c r="S130" t="s">
        <v>817</v>
      </c>
      <c r="T130">
        <v>100</v>
      </c>
      <c r="U130">
        <v>476.03179788212628</v>
      </c>
      <c r="V130">
        <v>0.76928348147098013</v>
      </c>
      <c r="W130">
        <f>P130/O130</f>
        <v>0.82742138678860078</v>
      </c>
    </row>
    <row r="131" spans="1:23" x14ac:dyDescent="0.3">
      <c r="A131" t="s">
        <v>871</v>
      </c>
      <c r="B131" t="s">
        <v>34</v>
      </c>
      <c r="C131" t="s">
        <v>872</v>
      </c>
      <c r="D131" t="s">
        <v>873</v>
      </c>
      <c r="E131" t="s">
        <v>874</v>
      </c>
      <c r="F131">
        <v>15351</v>
      </c>
      <c r="G131" t="s">
        <v>27</v>
      </c>
      <c r="H131" t="s">
        <v>393</v>
      </c>
      <c r="I131" t="s">
        <v>868</v>
      </c>
      <c r="J131" t="s">
        <v>875</v>
      </c>
      <c r="K131">
        <v>1999</v>
      </c>
      <c r="L131">
        <v>356000</v>
      </c>
      <c r="M131" t="s">
        <v>876</v>
      </c>
      <c r="N131">
        <v>112</v>
      </c>
      <c r="O131">
        <v>3178.571428571428</v>
      </c>
      <c r="P131">
        <v>2597.2756410256411</v>
      </c>
      <c r="Q131">
        <v>2562.5</v>
      </c>
      <c r="R131">
        <v>14</v>
      </c>
      <c r="S131" t="s">
        <v>877</v>
      </c>
      <c r="T131">
        <v>100</v>
      </c>
      <c r="U131">
        <v>299.61032041516319</v>
      </c>
      <c r="V131">
        <v>1.940172777560863</v>
      </c>
      <c r="W131">
        <f>P131/O131</f>
        <v>0.81712042639008953</v>
      </c>
    </row>
    <row r="132" spans="1:23" x14ac:dyDescent="0.3">
      <c r="A132" t="s">
        <v>592</v>
      </c>
      <c r="B132" t="s">
        <v>23</v>
      </c>
      <c r="C132" t="s">
        <v>593</v>
      </c>
      <c r="D132" t="s">
        <v>594</v>
      </c>
      <c r="E132" t="s">
        <v>595</v>
      </c>
      <c r="F132">
        <v>57006</v>
      </c>
      <c r="G132" t="s">
        <v>495</v>
      </c>
      <c r="H132" t="s">
        <v>496</v>
      </c>
      <c r="I132" t="s">
        <v>596</v>
      </c>
      <c r="J132" t="s">
        <v>597</v>
      </c>
      <c r="K132">
        <v>2005</v>
      </c>
      <c r="L132">
        <v>49000</v>
      </c>
      <c r="M132" t="s">
        <v>598</v>
      </c>
      <c r="N132">
        <v>64</v>
      </c>
      <c r="O132">
        <v>765.625</v>
      </c>
      <c r="P132">
        <v>307.01478905789168</v>
      </c>
      <c r="Q132">
        <v>262.03208556149741</v>
      </c>
      <c r="R132">
        <v>3</v>
      </c>
      <c r="S132" t="s">
        <v>599</v>
      </c>
      <c r="T132">
        <v>100</v>
      </c>
      <c r="U132">
        <v>79.122452570246125</v>
      </c>
      <c r="V132">
        <v>5.7962082322327806</v>
      </c>
      <c r="W132">
        <f>P132/O132</f>
        <v>0.40099890815724626</v>
      </c>
    </row>
    <row r="133" spans="1:23" x14ac:dyDescent="0.3">
      <c r="A133" t="s">
        <v>433</v>
      </c>
      <c r="B133" t="s">
        <v>23</v>
      </c>
      <c r="C133" t="s">
        <v>434</v>
      </c>
      <c r="D133" t="s">
        <v>435</v>
      </c>
      <c r="E133" t="s">
        <v>436</v>
      </c>
      <c r="F133">
        <v>16673</v>
      </c>
      <c r="G133" t="s">
        <v>27</v>
      </c>
      <c r="H133" t="s">
        <v>393</v>
      </c>
      <c r="I133" t="s">
        <v>427</v>
      </c>
      <c r="J133" t="s">
        <v>437</v>
      </c>
      <c r="K133">
        <v>1986</v>
      </c>
      <c r="L133">
        <v>765000</v>
      </c>
      <c r="M133" t="s">
        <v>438</v>
      </c>
      <c r="N133">
        <v>308</v>
      </c>
      <c r="O133">
        <v>2483.7662337662341</v>
      </c>
      <c r="P133">
        <v>981.59509202453989</v>
      </c>
      <c r="Q133">
        <v>981.59509202453989</v>
      </c>
      <c r="R133">
        <v>1</v>
      </c>
      <c r="S133" t="s">
        <v>439</v>
      </c>
      <c r="T133">
        <v>100</v>
      </c>
      <c r="W133">
        <f>P133/O133</f>
        <v>0.39520429848831146</v>
      </c>
    </row>
    <row r="134" spans="1:23" x14ac:dyDescent="0.3">
      <c r="A134" t="s">
        <v>727</v>
      </c>
      <c r="B134" t="s">
        <v>23</v>
      </c>
      <c r="C134" t="s">
        <v>728</v>
      </c>
      <c r="D134" t="s">
        <v>729</v>
      </c>
      <c r="E134" t="s">
        <v>730</v>
      </c>
      <c r="F134">
        <v>57200</v>
      </c>
      <c r="G134" t="s">
        <v>495</v>
      </c>
      <c r="H134" t="s">
        <v>496</v>
      </c>
      <c r="I134" t="s">
        <v>731</v>
      </c>
      <c r="J134" t="s">
        <v>732</v>
      </c>
      <c r="K134">
        <v>2006</v>
      </c>
      <c r="L134">
        <v>85000</v>
      </c>
      <c r="M134" t="s">
        <v>733</v>
      </c>
      <c r="N134">
        <v>51</v>
      </c>
      <c r="O134">
        <v>1666.666666666667</v>
      </c>
      <c r="P134">
        <v>551.36539264828741</v>
      </c>
      <c r="Q134">
        <v>498.53801169590639</v>
      </c>
      <c r="R134">
        <v>8</v>
      </c>
      <c r="S134" t="s">
        <v>734</v>
      </c>
      <c r="T134">
        <v>100</v>
      </c>
      <c r="U134">
        <v>98.740724834744867</v>
      </c>
      <c r="V134">
        <v>11.29525103127385</v>
      </c>
      <c r="W134">
        <f>P134/O134</f>
        <v>0.33081923558897236</v>
      </c>
    </row>
    <row r="135" spans="1:23" x14ac:dyDescent="0.3">
      <c r="A135" t="s">
        <v>128</v>
      </c>
      <c r="B135" t="s">
        <v>34</v>
      </c>
      <c r="C135" t="s">
        <v>129</v>
      </c>
      <c r="D135" t="s">
        <v>130</v>
      </c>
      <c r="E135" t="s">
        <v>131</v>
      </c>
      <c r="F135">
        <v>11144</v>
      </c>
      <c r="G135" t="s">
        <v>27</v>
      </c>
      <c r="H135" t="s">
        <v>47</v>
      </c>
      <c r="I135" t="s">
        <v>48</v>
      </c>
      <c r="J135" t="s">
        <v>132</v>
      </c>
      <c r="K135">
        <v>1964</v>
      </c>
      <c r="L135">
        <v>60000</v>
      </c>
      <c r="M135" t="s">
        <v>133</v>
      </c>
      <c r="N135">
        <v>1</v>
      </c>
      <c r="O135">
        <v>60000</v>
      </c>
      <c r="P135">
        <v>1634.0287538562011</v>
      </c>
      <c r="Q135">
        <v>1597.7798771846949</v>
      </c>
      <c r="R135">
        <v>30</v>
      </c>
      <c r="S135" t="s">
        <v>134</v>
      </c>
      <c r="T135">
        <v>100</v>
      </c>
      <c r="U135">
        <v>471.95749802873041</v>
      </c>
      <c r="V135">
        <v>123.6678546053966</v>
      </c>
      <c r="W135">
        <f>P135/O135</f>
        <v>2.7233812564270019E-2</v>
      </c>
    </row>
    <row r="136" spans="1:23" x14ac:dyDescent="0.3">
      <c r="A136" t="s">
        <v>352</v>
      </c>
      <c r="B136" t="s">
        <v>23</v>
      </c>
      <c r="C136" t="s">
        <v>353</v>
      </c>
      <c r="D136" t="s">
        <v>354</v>
      </c>
      <c r="E136" t="s">
        <v>355</v>
      </c>
      <c r="F136">
        <v>18010</v>
      </c>
      <c r="G136" t="s">
        <v>27</v>
      </c>
      <c r="H136" t="s">
        <v>257</v>
      </c>
      <c r="I136" t="s">
        <v>348</v>
      </c>
      <c r="J136" t="s">
        <v>356</v>
      </c>
      <c r="K136">
        <v>1995</v>
      </c>
      <c r="L136">
        <v>200000</v>
      </c>
      <c r="M136" t="s">
        <v>357</v>
      </c>
      <c r="N136">
        <v>224</v>
      </c>
      <c r="O136">
        <v>892.85714285714289</v>
      </c>
      <c r="W136">
        <f>P136/O136</f>
        <v>0</v>
      </c>
    </row>
    <row r="137" spans="1:23" x14ac:dyDescent="0.3">
      <c r="A137" t="s">
        <v>389</v>
      </c>
      <c r="B137" t="s">
        <v>23</v>
      </c>
      <c r="C137" t="s">
        <v>390</v>
      </c>
      <c r="D137" t="s">
        <v>391</v>
      </c>
      <c r="E137" t="s">
        <v>392</v>
      </c>
      <c r="F137">
        <v>13676</v>
      </c>
      <c r="G137" t="s">
        <v>27</v>
      </c>
      <c r="H137" t="s">
        <v>393</v>
      </c>
      <c r="I137" t="s">
        <v>394</v>
      </c>
      <c r="J137" t="s">
        <v>395</v>
      </c>
      <c r="K137">
        <v>1973</v>
      </c>
      <c r="L137">
        <v>320000</v>
      </c>
      <c r="M137" t="s">
        <v>396</v>
      </c>
      <c r="N137">
        <v>320</v>
      </c>
      <c r="O137">
        <v>1000</v>
      </c>
      <c r="W137">
        <f>P137/O137</f>
        <v>0</v>
      </c>
    </row>
    <row r="138" spans="1:23" x14ac:dyDescent="0.3">
      <c r="A138" t="s">
        <v>485</v>
      </c>
      <c r="B138" t="s">
        <v>34</v>
      </c>
      <c r="C138" t="s">
        <v>486</v>
      </c>
      <c r="D138" t="s">
        <v>487</v>
      </c>
      <c r="E138" t="s">
        <v>488</v>
      </c>
      <c r="F138">
        <v>17236</v>
      </c>
      <c r="G138" t="s">
        <v>27</v>
      </c>
      <c r="H138" t="s">
        <v>47</v>
      </c>
      <c r="I138" t="s">
        <v>48</v>
      </c>
      <c r="J138" t="s">
        <v>489</v>
      </c>
      <c r="K138">
        <v>2002</v>
      </c>
      <c r="L138">
        <v>240000</v>
      </c>
      <c r="M138" t="s">
        <v>490</v>
      </c>
      <c r="N138">
        <v>103</v>
      </c>
      <c r="O138">
        <v>2330.0970873786409</v>
      </c>
      <c r="W138">
        <f>P138/O138</f>
        <v>0</v>
      </c>
    </row>
    <row r="139" spans="1:23" x14ac:dyDescent="0.3">
      <c r="A139" t="s">
        <v>509</v>
      </c>
      <c r="B139" t="s">
        <v>23</v>
      </c>
      <c r="C139" t="s">
        <v>510</v>
      </c>
      <c r="D139" t="s">
        <v>511</v>
      </c>
      <c r="E139" t="s">
        <v>512</v>
      </c>
      <c r="F139">
        <v>14575</v>
      </c>
      <c r="G139" t="s">
        <v>27</v>
      </c>
      <c r="H139" t="s">
        <v>393</v>
      </c>
      <c r="I139" t="s">
        <v>505</v>
      </c>
      <c r="J139" t="s">
        <v>513</v>
      </c>
      <c r="K139">
        <v>1982</v>
      </c>
      <c r="L139">
        <v>640000</v>
      </c>
      <c r="M139" t="s">
        <v>514</v>
      </c>
      <c r="N139">
        <v>531</v>
      </c>
      <c r="O139">
        <v>1205.273069679849</v>
      </c>
      <c r="W139">
        <f>P139/O139</f>
        <v>0</v>
      </c>
    </row>
    <row r="140" spans="1:23" x14ac:dyDescent="0.3">
      <c r="A140" t="s">
        <v>668</v>
      </c>
      <c r="B140" t="s">
        <v>23</v>
      </c>
      <c r="C140" t="s">
        <v>669</v>
      </c>
      <c r="D140" t="s">
        <v>670</v>
      </c>
      <c r="E140" t="s">
        <v>671</v>
      </c>
      <c r="F140">
        <v>14564</v>
      </c>
      <c r="G140" t="s">
        <v>27</v>
      </c>
      <c r="H140" t="s">
        <v>38</v>
      </c>
      <c r="I140" t="s">
        <v>664</v>
      </c>
      <c r="J140" t="s">
        <v>672</v>
      </c>
      <c r="K140">
        <v>2004</v>
      </c>
      <c r="L140">
        <v>485000</v>
      </c>
      <c r="M140" t="s">
        <v>673</v>
      </c>
      <c r="N140">
        <v>298</v>
      </c>
      <c r="O140">
        <v>1627.5167785234901</v>
      </c>
      <c r="W140">
        <f>P140/O140</f>
        <v>0</v>
      </c>
    </row>
    <row r="141" spans="1:23" x14ac:dyDescent="0.3">
      <c r="A141" t="s">
        <v>674</v>
      </c>
      <c r="B141" t="s">
        <v>23</v>
      </c>
      <c r="C141" t="s">
        <v>669</v>
      </c>
      <c r="D141" t="s">
        <v>675</v>
      </c>
      <c r="E141" t="s">
        <v>671</v>
      </c>
      <c r="F141">
        <v>14564</v>
      </c>
      <c r="G141" t="s">
        <v>27</v>
      </c>
      <c r="H141" t="s">
        <v>38</v>
      </c>
      <c r="I141" t="s">
        <v>664</v>
      </c>
      <c r="J141" t="s">
        <v>672</v>
      </c>
      <c r="K141">
        <v>2004</v>
      </c>
      <c r="L141">
        <v>460000</v>
      </c>
      <c r="M141" t="s">
        <v>676</v>
      </c>
      <c r="N141">
        <v>292</v>
      </c>
      <c r="O141">
        <v>1575.3424657534249</v>
      </c>
      <c r="W141">
        <f>P141/O141</f>
        <v>0</v>
      </c>
    </row>
    <row r="142" spans="1:23" x14ac:dyDescent="0.3">
      <c r="A142" t="s">
        <v>750</v>
      </c>
      <c r="B142" t="s">
        <v>34</v>
      </c>
      <c r="C142" t="s">
        <v>751</v>
      </c>
      <c r="D142" t="s">
        <v>752</v>
      </c>
      <c r="E142" t="s">
        <v>753</v>
      </c>
      <c r="F142">
        <v>19600</v>
      </c>
      <c r="G142" t="s">
        <v>27</v>
      </c>
      <c r="H142" t="s">
        <v>538</v>
      </c>
      <c r="I142" t="s">
        <v>754</v>
      </c>
      <c r="J142" t="s">
        <v>755</v>
      </c>
      <c r="K142">
        <v>1982</v>
      </c>
      <c r="L142">
        <v>55000</v>
      </c>
      <c r="M142" t="s">
        <v>756</v>
      </c>
      <c r="N142">
        <v>52</v>
      </c>
      <c r="O142">
        <v>1057.6923076923081</v>
      </c>
      <c r="W142">
        <f>P142/O142</f>
        <v>0</v>
      </c>
    </row>
    <row r="143" spans="1:23" x14ac:dyDescent="0.3">
      <c r="A143" t="s">
        <v>757</v>
      </c>
      <c r="B143" t="s">
        <v>34</v>
      </c>
      <c r="C143" t="s">
        <v>758</v>
      </c>
      <c r="D143" t="s">
        <v>759</v>
      </c>
      <c r="E143" t="s">
        <v>753</v>
      </c>
      <c r="F143">
        <v>19600</v>
      </c>
      <c r="G143" t="s">
        <v>27</v>
      </c>
      <c r="H143" t="s">
        <v>538</v>
      </c>
      <c r="I143" t="s">
        <v>754</v>
      </c>
      <c r="J143" t="s">
        <v>755</v>
      </c>
      <c r="K143">
        <v>2007</v>
      </c>
      <c r="L143">
        <v>395000</v>
      </c>
      <c r="M143" t="s">
        <v>760</v>
      </c>
      <c r="N143">
        <v>301</v>
      </c>
      <c r="O143">
        <v>1312.2923588039871</v>
      </c>
      <c r="W143">
        <f>P143/O143</f>
        <v>0</v>
      </c>
    </row>
    <row r="144" spans="1:23" x14ac:dyDescent="0.3">
      <c r="A144" t="s">
        <v>761</v>
      </c>
      <c r="B144" t="s">
        <v>23</v>
      </c>
      <c r="C144" t="s">
        <v>762</v>
      </c>
      <c r="D144" t="s">
        <v>763</v>
      </c>
      <c r="E144" t="s">
        <v>764</v>
      </c>
      <c r="F144">
        <v>19005</v>
      </c>
      <c r="G144" t="s">
        <v>27</v>
      </c>
      <c r="H144" t="s">
        <v>393</v>
      </c>
      <c r="I144" t="s">
        <v>765</v>
      </c>
      <c r="J144" t="s">
        <v>766</v>
      </c>
      <c r="K144">
        <v>2006</v>
      </c>
      <c r="L144">
        <v>330000</v>
      </c>
      <c r="M144" t="s">
        <v>767</v>
      </c>
      <c r="N144">
        <v>288</v>
      </c>
      <c r="O144">
        <v>1145.833333333333</v>
      </c>
      <c r="W144">
        <f>P144/O144</f>
        <v>0</v>
      </c>
    </row>
    <row r="145" spans="1:23" x14ac:dyDescent="0.3">
      <c r="A145" t="s">
        <v>768</v>
      </c>
      <c r="B145" t="s">
        <v>23</v>
      </c>
      <c r="C145" t="s">
        <v>769</v>
      </c>
      <c r="D145" t="s">
        <v>770</v>
      </c>
      <c r="E145" t="s">
        <v>771</v>
      </c>
      <c r="F145">
        <v>19003</v>
      </c>
      <c r="G145" t="s">
        <v>27</v>
      </c>
      <c r="H145" t="s">
        <v>393</v>
      </c>
      <c r="I145" t="s">
        <v>772</v>
      </c>
      <c r="J145" t="s">
        <v>773</v>
      </c>
      <c r="K145">
        <v>1986</v>
      </c>
      <c r="L145">
        <v>228000</v>
      </c>
      <c r="M145" t="s">
        <v>774</v>
      </c>
      <c r="N145">
        <v>247</v>
      </c>
      <c r="O145">
        <v>923.07692307692309</v>
      </c>
      <c r="W145">
        <f>P145/O145</f>
        <v>0</v>
      </c>
    </row>
    <row r="146" spans="1:23" x14ac:dyDescent="0.3">
      <c r="A146" t="s">
        <v>775</v>
      </c>
      <c r="B146" t="s">
        <v>23</v>
      </c>
      <c r="C146" t="s">
        <v>776</v>
      </c>
      <c r="D146" t="s">
        <v>777</v>
      </c>
      <c r="E146" t="s">
        <v>778</v>
      </c>
      <c r="F146">
        <v>19003</v>
      </c>
      <c r="G146" t="s">
        <v>27</v>
      </c>
      <c r="H146" t="s">
        <v>393</v>
      </c>
      <c r="I146" t="s">
        <v>772</v>
      </c>
      <c r="J146" t="s">
        <v>779</v>
      </c>
      <c r="K146">
        <v>1992</v>
      </c>
      <c r="L146">
        <v>565000</v>
      </c>
      <c r="M146" t="s">
        <v>780</v>
      </c>
      <c r="N146">
        <v>492</v>
      </c>
      <c r="O146">
        <v>1148.3739837398371</v>
      </c>
      <c r="W146">
        <f>P146/O146</f>
        <v>0</v>
      </c>
    </row>
    <row r="147" spans="1:23" x14ac:dyDescent="0.3">
      <c r="A147" t="s">
        <v>864</v>
      </c>
      <c r="B147" t="s">
        <v>23</v>
      </c>
      <c r="C147" t="s">
        <v>865</v>
      </c>
      <c r="D147" t="s">
        <v>866</v>
      </c>
      <c r="E147" t="s">
        <v>867</v>
      </c>
      <c r="F147">
        <v>15351</v>
      </c>
      <c r="G147" t="s">
        <v>27</v>
      </c>
      <c r="H147" t="s">
        <v>393</v>
      </c>
      <c r="I147" t="s">
        <v>868</v>
      </c>
      <c r="J147" t="s">
        <v>869</v>
      </c>
      <c r="K147">
        <v>2001</v>
      </c>
      <c r="L147">
        <v>788000</v>
      </c>
      <c r="M147" t="s">
        <v>870</v>
      </c>
      <c r="N147">
        <v>600</v>
      </c>
      <c r="O147">
        <v>1313.333333333333</v>
      </c>
      <c r="W147">
        <f>P147/O147</f>
        <v>0</v>
      </c>
    </row>
    <row r="148" spans="1:23" x14ac:dyDescent="0.3">
      <c r="A148" t="s">
        <v>972</v>
      </c>
      <c r="B148" t="s">
        <v>23</v>
      </c>
      <c r="C148" t="s">
        <v>973</v>
      </c>
      <c r="D148" t="s">
        <v>974</v>
      </c>
      <c r="E148" t="s">
        <v>975</v>
      </c>
      <c r="F148">
        <v>15351</v>
      </c>
      <c r="G148" t="s">
        <v>27</v>
      </c>
      <c r="H148" t="s">
        <v>393</v>
      </c>
      <c r="I148" t="s">
        <v>976</v>
      </c>
      <c r="J148" t="s">
        <v>977</v>
      </c>
      <c r="K148">
        <v>2007</v>
      </c>
      <c r="L148">
        <v>420000</v>
      </c>
      <c r="M148" t="s">
        <v>978</v>
      </c>
      <c r="N148">
        <v>275</v>
      </c>
      <c r="O148">
        <v>1527.272727272727</v>
      </c>
      <c r="W148">
        <f>P148/O148</f>
        <v>0</v>
      </c>
    </row>
    <row r="149" spans="1:23" x14ac:dyDescent="0.3">
      <c r="A149" t="s">
        <v>979</v>
      </c>
      <c r="B149" t="s">
        <v>23</v>
      </c>
      <c r="C149" t="s">
        <v>980</v>
      </c>
      <c r="D149" t="s">
        <v>981</v>
      </c>
      <c r="E149" t="s">
        <v>982</v>
      </c>
      <c r="F149">
        <v>19010</v>
      </c>
      <c r="G149" t="s">
        <v>27</v>
      </c>
      <c r="H149" t="s">
        <v>393</v>
      </c>
      <c r="I149" t="s">
        <v>983</v>
      </c>
      <c r="J149" t="s">
        <v>984</v>
      </c>
      <c r="K149">
        <v>2006</v>
      </c>
      <c r="L149">
        <v>605000</v>
      </c>
      <c r="M149" t="s">
        <v>985</v>
      </c>
      <c r="N149">
        <v>509</v>
      </c>
      <c r="O149">
        <v>1188.6051080550101</v>
      </c>
      <c r="W149">
        <f>P149/O149</f>
        <v>0</v>
      </c>
    </row>
    <row r="150" spans="1:23" x14ac:dyDescent="0.3">
      <c r="A150" t="s">
        <v>1002</v>
      </c>
      <c r="B150" t="s">
        <v>23</v>
      </c>
      <c r="C150" t="s">
        <v>1003</v>
      </c>
      <c r="D150" t="s">
        <v>1004</v>
      </c>
      <c r="E150" t="s">
        <v>1005</v>
      </c>
      <c r="F150">
        <v>13672</v>
      </c>
      <c r="G150" t="s">
        <v>27</v>
      </c>
      <c r="H150" t="s">
        <v>538</v>
      </c>
      <c r="I150" t="s">
        <v>1006</v>
      </c>
      <c r="J150" t="s">
        <v>1007</v>
      </c>
      <c r="K150">
        <v>2006</v>
      </c>
      <c r="L150">
        <v>292000</v>
      </c>
      <c r="M150" t="s">
        <v>1008</v>
      </c>
      <c r="N150">
        <v>351</v>
      </c>
      <c r="O150">
        <v>831.90883190883187</v>
      </c>
      <c r="W150">
        <f>P150/O150</f>
        <v>0</v>
      </c>
    </row>
    <row r="151" spans="1:23" x14ac:dyDescent="0.3">
      <c r="A151" t="s">
        <v>1046</v>
      </c>
      <c r="B151" t="s">
        <v>23</v>
      </c>
      <c r="C151" t="s">
        <v>1047</v>
      </c>
      <c r="D151" t="s">
        <v>1048</v>
      </c>
      <c r="E151" t="s">
        <v>1049</v>
      </c>
      <c r="F151">
        <v>57007</v>
      </c>
      <c r="G151" t="s">
        <v>495</v>
      </c>
      <c r="H151" t="s">
        <v>496</v>
      </c>
      <c r="I151" t="s">
        <v>1042</v>
      </c>
      <c r="J151" t="s">
        <v>1050</v>
      </c>
      <c r="K151">
        <v>1991</v>
      </c>
      <c r="L151">
        <v>69000</v>
      </c>
      <c r="M151" t="s">
        <v>1051</v>
      </c>
      <c r="N151">
        <v>243</v>
      </c>
      <c r="O151">
        <v>283.95061728395058</v>
      </c>
      <c r="W151">
        <f>P151/O151</f>
        <v>0</v>
      </c>
    </row>
    <row r="152" spans="1:23" x14ac:dyDescent="0.3">
      <c r="A152" t="s">
        <v>1075</v>
      </c>
      <c r="B152" t="s">
        <v>23</v>
      </c>
      <c r="C152" t="s">
        <v>1076</v>
      </c>
      <c r="D152" t="s">
        <v>1077</v>
      </c>
      <c r="E152" t="s">
        <v>1078</v>
      </c>
      <c r="F152">
        <v>16233</v>
      </c>
      <c r="G152" t="s">
        <v>27</v>
      </c>
      <c r="H152" t="s">
        <v>47</v>
      </c>
      <c r="I152" t="s">
        <v>444</v>
      </c>
      <c r="K152">
        <v>1978</v>
      </c>
      <c r="L152">
        <v>305000</v>
      </c>
      <c r="N152">
        <v>155</v>
      </c>
      <c r="O152">
        <v>1967.741935483871</v>
      </c>
      <c r="W152">
        <f>P152/O152</f>
        <v>0</v>
      </c>
    </row>
    <row r="153" spans="1:23" x14ac:dyDescent="0.3">
      <c r="A153" t="s">
        <v>1079</v>
      </c>
      <c r="B153" t="s">
        <v>23</v>
      </c>
      <c r="C153" t="s">
        <v>1080</v>
      </c>
      <c r="D153" t="s">
        <v>1081</v>
      </c>
      <c r="E153" t="s">
        <v>1082</v>
      </c>
      <c r="F153">
        <v>54645</v>
      </c>
      <c r="G153" t="s">
        <v>495</v>
      </c>
      <c r="H153" t="s">
        <v>496</v>
      </c>
      <c r="I153" t="s">
        <v>496</v>
      </c>
      <c r="L153">
        <v>1450000</v>
      </c>
      <c r="M153" t="s">
        <v>1083</v>
      </c>
      <c r="N153">
        <v>713</v>
      </c>
      <c r="O153">
        <v>2033.6605890603089</v>
      </c>
      <c r="W153">
        <f>P153/O153</f>
        <v>0</v>
      </c>
    </row>
  </sheetData>
  <sortState xmlns:xlrd2="http://schemas.microsoft.com/office/spreadsheetml/2017/richdata2" ref="A2:W153">
    <sortCondition descending="1" ref="W1:W153"/>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2025-10-12T14:50:24Z</dcterms:created>
  <dcterms:modified xsi:type="dcterms:W3CDTF">2025-10-12T14:54:40Z</dcterms:modified>
</cp:coreProperties>
</file>