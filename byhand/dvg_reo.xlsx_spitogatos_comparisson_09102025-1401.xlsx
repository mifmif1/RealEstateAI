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User\Documents\workspace\kfintech\RealEstateAI\byhand\"/>
    </mc:Choice>
  </mc:AlternateContent>
  <xr:revisionPtr revIDLastSave="0" documentId="13_ncr:1_{8353DB06-1A9B-4D1E-837A-FAC857EF9AF5}" xr6:coauthVersionLast="47" xr6:coauthVersionMax="47" xr10:uidLastSave="{00000000-0000-0000-0000-000000000000}"/>
  <bookViews>
    <workbookView xWindow="-108" yWindow="-108" windowWidth="23256" windowHeight="12576" xr2:uid="{00000000-000D-0000-FFFF-FFFF00000000}"/>
  </bookViews>
  <sheets>
    <sheet name="Sheet1" sheetId="1" r:id="rId1"/>
  </sheets>
  <calcPr calcId="181029"/>
</workbook>
</file>

<file path=xl/calcChain.xml><?xml version="1.0" encoding="utf-8"?>
<calcChain xmlns="http://schemas.openxmlformats.org/spreadsheetml/2006/main">
  <c r="V151" i="1" l="1"/>
  <c r="V150" i="1"/>
  <c r="V149" i="1"/>
  <c r="V147" i="1"/>
  <c r="V146" i="1"/>
  <c r="V145" i="1"/>
  <c r="V144" i="1"/>
  <c r="V141" i="1"/>
  <c r="V137" i="1"/>
  <c r="V136" i="1"/>
  <c r="V135" i="1"/>
  <c r="V133" i="1"/>
  <c r="V132" i="1"/>
  <c r="V131" i="1"/>
  <c r="V130" i="1"/>
  <c r="V129" i="1"/>
  <c r="V128" i="1"/>
  <c r="V127" i="1"/>
  <c r="V126" i="1"/>
  <c r="V125" i="1"/>
  <c r="V124" i="1"/>
  <c r="V122" i="1"/>
  <c r="V121" i="1"/>
  <c r="V120" i="1"/>
  <c r="V119" i="1"/>
  <c r="V118" i="1"/>
  <c r="V117" i="1"/>
  <c r="V116" i="1"/>
  <c r="V115" i="1"/>
  <c r="V114" i="1"/>
  <c r="V113" i="1"/>
  <c r="V112" i="1"/>
  <c r="V106" i="1"/>
  <c r="V105" i="1"/>
  <c r="V104" i="1"/>
  <c r="V103" i="1"/>
  <c r="V102" i="1"/>
  <c r="V101" i="1"/>
  <c r="V100" i="1"/>
  <c r="V99" i="1"/>
  <c r="V97" i="1"/>
  <c r="V94" i="1"/>
  <c r="V93" i="1"/>
  <c r="V92" i="1"/>
  <c r="V91" i="1"/>
  <c r="V90" i="1"/>
  <c r="V89" i="1"/>
  <c r="V88" i="1"/>
  <c r="V87" i="1"/>
  <c r="V86" i="1"/>
  <c r="V85" i="1"/>
  <c r="V84" i="1"/>
  <c r="V83" i="1"/>
  <c r="V82" i="1"/>
  <c r="V81" i="1"/>
  <c r="V80" i="1"/>
  <c r="V79" i="1"/>
  <c r="V78" i="1"/>
  <c r="V77" i="1"/>
  <c r="V76" i="1"/>
  <c r="V75" i="1"/>
  <c r="V74" i="1"/>
  <c r="V71" i="1"/>
  <c r="V69" i="1"/>
  <c r="V67" i="1"/>
  <c r="V68" i="1"/>
  <c r="V66" i="1"/>
  <c r="V65" i="1"/>
  <c r="V64" i="1"/>
  <c r="V60" i="1"/>
  <c r="V61" i="1"/>
  <c r="V62" i="1"/>
  <c r="V59" i="1"/>
  <c r="V58" i="1"/>
  <c r="V57" i="1"/>
  <c r="V55" i="1"/>
  <c r="V54" i="1"/>
  <c r="V53" i="1"/>
  <c r="V52" i="1"/>
  <c r="V3" i="1"/>
  <c r="V4" i="1"/>
  <c r="V5" i="1"/>
  <c r="V6" i="1"/>
  <c r="V7" i="1"/>
  <c r="V8" i="1"/>
  <c r="V9" i="1"/>
  <c r="V10" i="1"/>
  <c r="V11" i="1"/>
  <c r="V12" i="1"/>
  <c r="V13" i="1"/>
  <c r="V14" i="1"/>
  <c r="V15" i="1"/>
  <c r="V16"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2" i="1"/>
  <c r="O3" i="1"/>
  <c r="O4" i="1"/>
  <c r="O5" i="1"/>
  <c r="O6" i="1"/>
  <c r="O7" i="1"/>
  <c r="O8" i="1"/>
  <c r="O9" i="1"/>
  <c r="O10" i="1"/>
  <c r="O11" i="1"/>
  <c r="O12" i="1"/>
  <c r="O13" i="1"/>
  <c r="O14" i="1"/>
  <c r="O15" i="1"/>
  <c r="O16" i="1"/>
  <c r="O17" i="1"/>
  <c r="V17" i="1" s="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2" i="1"/>
</calcChain>
</file>

<file path=xl/sharedStrings.xml><?xml version="1.0" encoding="utf-8"?>
<sst xmlns="http://schemas.openxmlformats.org/spreadsheetml/2006/main" count="1673" uniqueCount="1083">
  <si>
    <t>AM Portal</t>
  </si>
  <si>
    <t>Property Category</t>
  </si>
  <si>
    <t>Property Title</t>
  </si>
  <si>
    <t>Description</t>
  </si>
  <si>
    <t>Address</t>
  </si>
  <si>
    <t>zip code</t>
  </si>
  <si>
    <t>Region</t>
  </si>
  <si>
    <t>Regional Unit</t>
  </si>
  <si>
    <t>Municipality</t>
  </si>
  <si>
    <t>coords</t>
  </si>
  <si>
    <t>Year of Building Permit</t>
  </si>
  <si>
    <t>price</t>
  </si>
  <si>
    <t xml:space="preserve">Link </t>
  </si>
  <si>
    <t>sqm</t>
  </si>
  <si>
    <t>price/sqm</t>
  </si>
  <si>
    <t>comparison_average</t>
  </si>
  <si>
    <t>comparison_median</t>
  </si>
  <si>
    <t>#assets</t>
  </si>
  <si>
    <t>spitogatos_url</t>
  </si>
  <si>
    <t>searched_radius</t>
  </si>
  <si>
    <t>comparison_std</t>
  </si>
  <si>
    <t>score</t>
  </si>
  <si>
    <t>33779_0</t>
  </si>
  <si>
    <t>Residence</t>
  </si>
  <si>
    <t>Residencial building in Agia Varvara, Attica</t>
  </si>
  <si>
    <t xml:space="preserve">Three-storey residential building of total area 144,26 sq.m comprised of a ground floor apartment of 42.24 sq.m., a first and second floor maisonette of a total area of 90,62 sq.m. and a roof area of ​​11.4 sq.m. with a first floor of 45,66 sq.m. and second floor of 44.96 sq.m.  within a land plot of a total area of 180,00 sq.m. </t>
  </si>
  <si>
    <t>53, P.P. Germanou Str.</t>
  </si>
  <si>
    <t>Attica</t>
  </si>
  <si>
    <t>West Sector of Athens</t>
  </si>
  <si>
    <t>Agia Varvara</t>
  </si>
  <si>
    <t xml:space="preserve"> 37° 59' 29.00" N  23° 39'  9.80" E</t>
  </si>
  <si>
    <t>https://www.realestateonline.gr/en/akinito/33779_0-RES_17532</t>
  </si>
  <si>
    <t>https://www.spitogatos.gr/en/for_sale-homes/map-search/minliving_area-30/maxliving_area-200?latitudeLow=37.990487&amp;latitudeHigh=37.992289&amp;longitudeLow=23.651583&amp;longitudeHigh=23.653860&amp;zoom=18</t>
  </si>
  <si>
    <t>33984_0</t>
  </si>
  <si>
    <t>Apartment</t>
  </si>
  <si>
    <t>Apartment in Agia Paraskevi, Attica</t>
  </si>
  <si>
    <t>First floor apartment of an area of 114,00 sq.m. on a land plot of an area of 178,80 sq.m. The property is leased at a monthly rent of €534.32. The lease agreement has become indefinite. The property is being sold without the possibility of demonstration.</t>
  </si>
  <si>
    <t xml:space="preserve">15, Kapsali Str. </t>
  </si>
  <si>
    <t>North Sector of Athens</t>
  </si>
  <si>
    <t>Agia Paraskevi</t>
  </si>
  <si>
    <t xml:space="preserve"> 38°  1' 12.00" N  23° 49' 48.00" E</t>
  </si>
  <si>
    <t>https://www.realestateonline.gr/en/akinito/33984_0-APP_15894</t>
  </si>
  <si>
    <t>https://www.spitogatos.gr/en/for_sale-homes/map-search/minliving_area-30/maxliving_area-200?latitudeLow=38.019099&amp;latitudeHigh=38.020900&amp;longitudeLow=23.828861&amp;longitudeHigh=23.831138&amp;zoom=18</t>
  </si>
  <si>
    <t>33634_0</t>
  </si>
  <si>
    <t>Apartment in Kato Patisia</t>
  </si>
  <si>
    <t>THE PROPERTY MIGHT BE ELIGIBLE FOR THE "MY HOME" MORTAGE PROGRAM. Fifth floor apartment (Ε-1) of an area of 94,79 sq.m. with 2 basement parking spaces (ΘΣ7) of an area of 10,12 sq.m. and basement parking space (ΘΣ9) of an area of 10,12 sq. m. on a land plot of a total area of 247,00 sq.m. Before submitting the offer, it is recommended to check/evaluate by a Legal and Technical consultant of your choice.</t>
  </si>
  <si>
    <t>312 Acharnon Str.</t>
  </si>
  <si>
    <t>Central Sector of Athens</t>
  </si>
  <si>
    <t>Athens</t>
  </si>
  <si>
    <t xml:space="preserve"> 38°  0' 38.00" N  23° 43' 46.10" E</t>
  </si>
  <si>
    <t>https://www.realestateonline.gr/en/akinito/33634_0-APP_15648</t>
  </si>
  <si>
    <t>https://www.spitogatos.gr/en/for_sale-homes/map-search/minliving_area-30/maxliving_area-200?latitudeLow=38.009654&amp;latitudeHigh=38.011456&amp;longitudeLow=23.728333&amp;longitudeHigh=23.730610&amp;zoom=18</t>
  </si>
  <si>
    <t>33762_0</t>
  </si>
  <si>
    <t>Apartment in Plateia Attikis, Athens</t>
  </si>
  <si>
    <t>Sixth floor apartment (ΣΤ-1) of an area of 77.59 sq.m. with an underground parking space (ΥΡ-1) of an area of 10.125 sq.m. and an underground storage space (ΥΑ-1) of an area of 3.90 sq.m. It comprises of a living room, kitchen, bathroom &amp; 2 bedrooms. There is an elevator in the building. The apartment and the storage space are rented until 28.02.2027 and monthly rental €485.</t>
  </si>
  <si>
    <t>113, Pipinou str.</t>
  </si>
  <si>
    <t xml:space="preserve"> 38°  0'  0.00" N  23° 43' 12.00" E</t>
  </si>
  <si>
    <t>https://www.realestateonline.gr/en/akinito/33762_0-APP_15680</t>
  </si>
  <si>
    <t>https://www.spitogatos.gr/en/for_sale-homes/map-search/minliving_area-30/maxliving_area-200?latitudeLow=37.999099&amp;latitudeHigh=38.000900&amp;longitudeLow=23.718861&amp;longitudeHigh=23.721138&amp;zoom=18</t>
  </si>
  <si>
    <t>33800_4</t>
  </si>
  <si>
    <t>Apartment in Tourkovounia, Athens</t>
  </si>
  <si>
    <t>Ground floor apartment (I-1) of an area of ​​84.55 sq.m., with open parking space (P-3) of an area of 10.13 sq.m  and a basement warehouse  (AP-6) of ​​2.50 sq.m. on a plot of 263,86 sq.m. On the roof there is a  pool of 20.00 sq.m.</t>
  </si>
  <si>
    <t>3,Mega Ioannou str.</t>
  </si>
  <si>
    <t xml:space="preserve"> 37° 59' 56.80" N  23° 45' 36.40" E</t>
  </si>
  <si>
    <t>https://www.realestateonline.gr/en/akinito/33800_4-APP_16739</t>
  </si>
  <si>
    <t>https://www.spitogatos.gr/en/for_sale-homes/map-search/minliving_area-30/maxliving_area-200?latitudeLow=37.998210&amp;latitudeHigh=38.000012&amp;longitudeLow=23.758972&amp;longitudeHigh=23.761249&amp;zoom=18</t>
  </si>
  <si>
    <t>33800_5</t>
  </si>
  <si>
    <t>First  floor apartment (A-2)  of ​​82.30 sq.m., with exclusive use of the open parking space  (P-1) a of ​​10.13 sq.m. and a basement warehouse  (AP-3) of ​​3.72 sq.m. on a plot  of 263,86 sq.m. On the roof there is a  pool of 20.00 sq.m.</t>
  </si>
  <si>
    <t>https://www.realestateonline.gr/en/akinito/33800_5-APP_16740</t>
  </si>
  <si>
    <t>33800_6</t>
  </si>
  <si>
    <t>Third floor apartment (Γ-2) of an area of ​​82.83 sq.m.  on a plot of 263,86 sq.m.. On the roof there is a pool of 20.00 sq.m.</t>
  </si>
  <si>
    <t>https://www.realestateonline.gr/en/akinito/33800_6-APP_16741</t>
  </si>
  <si>
    <t>33877_1</t>
  </si>
  <si>
    <t>Apartment in Treis Gefyres, Athens</t>
  </si>
  <si>
    <t>Maisonette - apartment with a total area of ​​138.91 sq.m. which consists of the 3rd floor of 77.99 sq.m. and 4th floor 60.92 sq.m. It consists of 3 bedrooms, 2 bathrooms, dining room, kitchen and living room.</t>
  </si>
  <si>
    <t>39, Nirvana Str.</t>
  </si>
  <si>
    <t xml:space="preserve"> 38°  0' 36.00" N  23° 43' 12.00" E</t>
  </si>
  <si>
    <t>https://www.realestateonline.gr/en/akinito/33877_1-APP_19933</t>
  </si>
  <si>
    <t>https://www.spitogatos.gr/en/for_sale-homes/map-search/minliving_area-30/maxliving_area-200?latitudeLow=38.009099&amp;latitudeHigh=38.010900&amp;longitudeLow=23.718861&amp;longitudeHigh=23.721138&amp;zoom=18</t>
  </si>
  <si>
    <t>33890_0</t>
  </si>
  <si>
    <t>Apartment in Victoria Square, Athens</t>
  </si>
  <si>
    <t xml:space="preserve"> Fourth floor apartment (Δ-1) of 68.50 sq.m. with a basement storage space (9) of an area of 3.60 sq.m. and a basement parking space (4) of an area of 13.50 sq.m. on a land plot of 226.15 sq.m.</t>
  </si>
  <si>
    <t>65 Ioulianou Str.</t>
  </si>
  <si>
    <t xml:space="preserve"> 37° 59' 29.83" N  23° 43' 44.59" E</t>
  </si>
  <si>
    <t>https://www.realestateonline.gr/en/akinito/33890_0-APP_17159</t>
  </si>
  <si>
    <t>https://www.spitogatos.gr/en/for_sale-homes/map-search/minliving_area-30/maxliving_area-200?latitudeLow=37.990718&amp;latitudeHigh=37.992520&amp;longitudeLow=23.727914&amp;longitudeHigh=23.730191&amp;zoom=18</t>
  </si>
  <si>
    <t>33906_0</t>
  </si>
  <si>
    <t>Unfinished residential building in Sepolia, Athens</t>
  </si>
  <si>
    <t>Unfinished residential building of 782.41 sq.m. on a land plot of 227.78 sq.m. with Apartments on the first (A-2), second (B-2), third (Γ-2) and fourth floor (Δ-2) of 81.37 sq.m. each, A’-B’ floor maisonette (A1-B1) and C’-D’ floor maisonette of 93.64 sq.m. each (each floor is 46.82 sq.m. ), fifth floor Apartment of 105.68 sq.m., sixth floor apartment (ΣΤ-1) of 95.00 sq.m., with pilotis parking spaces (ΣΤ-1, ΣΤ-2, ΣΤ-3, ΣΤ-4) of 10.13 sq.m. each, underground storage spaces (A-1, A-2, A-3, A-4, A-5, A-6, A-7) of 22.60 sq.m. and underground parking spaces (ΣΤ-5, ΣΤ-6, ΣΤ-7, ΣΤ-8) of 46.37 sq.m. each.</t>
  </si>
  <si>
    <t>3, Deli Georgiou str.</t>
  </si>
  <si>
    <t xml:space="preserve"> 38°  0' 32.63" N  23° 43' 10.48" E</t>
  </si>
  <si>
    <t>https://www.realestateonline.gr/en/akinito/33906_0-APP_18673</t>
  </si>
  <si>
    <t>https://www.spitogatos.gr/en/for_sale-homes/map-search/minliving_area-30/maxliving_area-200?latitudeLow=38.008162&amp;latitudeHigh=38.009964&amp;longitudeLow=23.718439&amp;longitudeHigh=23.720716&amp;zoom=18</t>
  </si>
  <si>
    <t>33970_0</t>
  </si>
  <si>
    <t>Residence in Agios Panteleimonas</t>
  </si>
  <si>
    <t>Preserved roofless building of a total area of 310,98 sqm., that comprises of a basement of 15,60 sq.m., a ground floor of 132,44 sq.m. a 1st floor of 132,44 sq.m. and an attic of 30,50 sq.m. on a land plot of 165,00 sq.m. Visiting the property is not possible.</t>
  </si>
  <si>
    <t>15 Remoundou Str.</t>
  </si>
  <si>
    <t xml:space="preserve"> 38°  0'  0.00" N  23° 43' 48.00" E</t>
  </si>
  <si>
    <t>https://www.realestateonline.gr/en/akinito/33970_0-RES_15688</t>
  </si>
  <si>
    <t>https://www.spitogatos.gr/en/for_sale-homes/map-search/minliving_area-30/maxliving_area-200?latitudeLow=37.999099&amp;latitudeHigh=38.000900&amp;longitudeLow=23.728861&amp;longitudeHigh=23.731138&amp;zoom=18</t>
  </si>
  <si>
    <t>34017_0</t>
  </si>
  <si>
    <t>Apartment-Maisonette in Kolonos, Athens</t>
  </si>
  <si>
    <t>Unfinished apartment - maisonette 2nd &amp; 3rd floor (B1-Γ1) of a total area of 179.98 sq.m. It comprises of a 2nd floor with living room, kitchen, 3 bedrooms &amp; bathroom &amp; 3rd floor with living room, kitchen, 2 bedrooms &amp; bathroom. The building has an unfinished elevator.</t>
  </si>
  <si>
    <t>3, Epidaurou</t>
  </si>
  <si>
    <t xml:space="preserve"> 37° 59' 33.75" N  23° 43'  3.16" E</t>
  </si>
  <si>
    <t>https://www.realestateonline.gr/en/akinito/34017_0-APP_18063</t>
  </si>
  <si>
    <t>https://www.spitogatos.gr/en/for_sale-homes/map-search/minliving_area-30/maxliving_area-200?latitudeLow=37.991807&amp;latitudeHigh=37.993609&amp;longitudeLow=23.716406&amp;longitudeHigh=23.718682&amp;zoom=18</t>
  </si>
  <si>
    <t>34191_1</t>
  </si>
  <si>
    <t>Apartments in Koukaki, Athens</t>
  </si>
  <si>
    <t>Fourth floor apartment (Δ-1) of 179,10 sq.m. which consists of 2 apartments.Apartment Δ1Α of 91,75 sq.m., with 2 bedrooms, livingroom, kitchen, bathroom, WC, and a balcony to Mpeles str.Apartment Δ1Β of 87,35 sq.m., with 2 bedrooms, livingroom, kitchen, bathroom, WC and a balcony to Veikou str.The apartment has the exclusive use of a basement storage (Y-2) of 14,70 sq.m.. The building has an elevator. Renovated in 2010.</t>
  </si>
  <si>
    <t>94-96, Veikou str</t>
  </si>
  <si>
    <t xml:space="preserve"> 37° 57' 36.00" N  23° 43' 12.00" E</t>
  </si>
  <si>
    <t>https://www.realestateonline.gr/en/akinito/34191_1-APP_20119</t>
  </si>
  <si>
    <t>https://www.spitogatos.gr/en/for_sale-homes/map-search/minliving_area-30/maxliving_area-200?latitudeLow=37.959099&amp;latitudeHigh=37.960900&amp;longitudeLow=23.718862&amp;longitudeHigh=23.721137&amp;zoom=18</t>
  </si>
  <si>
    <t>34274_0</t>
  </si>
  <si>
    <t>Apartment in Plateia Vathi</t>
  </si>
  <si>
    <t>Eighth floor apartment (11Α) of an area of 108,69 sq.m. on a landplot of a total area of 325,00 sq.m. with an exclusive use of an underground storage space (4) of an area of 5,20 sq.m.</t>
  </si>
  <si>
    <t>54, Chalkokondili str.</t>
  </si>
  <si>
    <t xml:space="preserve"> 37° 59' 11.40" N  23° 43' 35.76" E</t>
  </si>
  <si>
    <t>https://www.realestateonline.gr/en/akinito/34274_0-APP_16463</t>
  </si>
  <si>
    <t>https://www.spitogatos.gr/en/for_sale-homes/map-search/minliving_area-30/maxliving_area-200?latitudeLow=37.985599&amp;latitudeHigh=37.987400&amp;longitudeLow=23.725461&amp;longitudeHigh=23.727738&amp;zoom=18</t>
  </si>
  <si>
    <t>34304_0</t>
  </si>
  <si>
    <t>Apartment in Thymarakia, Athens</t>
  </si>
  <si>
    <t>Ground floor apartment of an area of 89,00 sq.m. that comprises of a living room, dining room, hall, kitchen, bathroom and a bedroom. It needs renovation.</t>
  </si>
  <si>
    <t>5, Sardeon str.</t>
  </si>
  <si>
    <t xml:space="preserve"> 38°  0'  5.04" N  23° 43' 31.80" E</t>
  </si>
  <si>
    <t>https://www.realestateonline.gr/en/akinito/34304_0-APP_18081</t>
  </si>
  <si>
    <t>https://www.spitogatos.gr/en/for_sale-homes/map-search/minliving_area-30/maxliving_area-200?latitudeLow=38.000499&amp;latitudeHigh=38.002300&amp;longitudeLow=23.724361&amp;longitudeHigh=23.726638&amp;zoom=18</t>
  </si>
  <si>
    <t>34356_1</t>
  </si>
  <si>
    <t>Apartment in Agios Loukas, Athens</t>
  </si>
  <si>
    <t>THE PROPERTY MIGHT BE ELIGIBLE FOR THE "MY HOME" MORTAGE PROGRAM.</t>
  </si>
  <si>
    <t>9, Stefanou Vizantiou &amp; Agiou Louka, Agios Loukas</t>
  </si>
  <si>
    <t xml:space="preserve"> 38°  0' 54.72" N  23° 44'  3.12" E</t>
  </si>
  <si>
    <t>https://www.realestateonline.gr/en/akinito/34356_1-APP_19475</t>
  </si>
  <si>
    <t>https://www.spitogatos.gr/en/for_sale-homes/map-search/minliving_area-30/maxliving_area-200?latitudeLow=38.014299&amp;latitudeHigh=38.016100&amp;longitudeLow=23.733061&amp;longitudeHigh=23.735338&amp;zoom=18</t>
  </si>
  <si>
    <t>34358_1</t>
  </si>
  <si>
    <t>Apartment in Attiki's square, Athens</t>
  </si>
  <si>
    <t>Fifth floor apartment (E-1) of an area of 57,68 sq.m., consisting of a hall, kitchen, living room, 1 bedroom, and a bathroom. There's an elevator in the building.</t>
  </si>
  <si>
    <t>1, Thirsiou str.</t>
  </si>
  <si>
    <t xml:space="preserve"> 37° 59' 52.80" N  23° 43' 20.28" E</t>
  </si>
  <si>
    <t>https://www.spitogatos.gr/en/for_sale-homes/map-search/minliving_area-30/maxliving_area-200?latitudeLow=37.997099&amp;latitudeHigh=37.998900&amp;longitudeLow=23.721161&amp;longitudeHigh=23.723438&amp;zoom=18</t>
  </si>
  <si>
    <t>34391_0</t>
  </si>
  <si>
    <t>Apartment in Ampelokipoi, Athens</t>
  </si>
  <si>
    <t>THE PROPERTY MIGHT BE ELIGIBLE FOR THE "MY HOME" MORTAGE PROGRAM.Mezzanine apartment (4) of an area of 72,30 sq.m. that comprises of a living room, hall, kitchen, bathroom, storage space and a bedroom.  Before submitting the offer, it is recommended to check/evaluate by a Legal and Technical consultant of your choice.</t>
  </si>
  <si>
    <t>23, Mikras Asias str.</t>
  </si>
  <si>
    <t xml:space="preserve"> 37° 58' 53.04" N  23° 45' 40.32" E</t>
  </si>
  <si>
    <t>https://www.realestateonline.gr/en/akinito/34391_0-APP_18086</t>
  </si>
  <si>
    <t>https://www.spitogatos.gr/en/for_sale-homes/map-search/minliving_area-30/maxliving_area-200?latitudeLow=37.980499&amp;latitudeHigh=37.982300&amp;longitudeLow=23.760061&amp;longitudeHigh=23.762338&amp;zoom=18</t>
  </si>
  <si>
    <t>34408_0</t>
  </si>
  <si>
    <t>Residence building in Gazi, Athens</t>
  </si>
  <si>
    <t>Residential building with a total area of ​​419.20 sq.m. consisting of independent basement space 119.95 sq.m., ground floor apartment 110.71 sq.m. with living -dining room,  1 bedroom &amp; bathroom, 1st floor apartment 113.01 sq.m. with living -dining room, kitchen, 2 bedrooms &amp; bathroom and roof 34.86 sq.m. with office room, 1 bedroom &amp; bathroom on a plot of 369.02 sq.m. Additional ground floor auxiliary building of 40.67 sq.m. with kitchen, 2 bedrooms and wc. Renovation 2010.</t>
  </si>
  <si>
    <t>60, Triptolemou Str.</t>
  </si>
  <si>
    <t xml:space="preserve"> 37° 58' 48.00" N  23° 42' 36.00" E</t>
  </si>
  <si>
    <t>https://www.realestateonline.gr/en/akinito/34408_0-RES_17700</t>
  </si>
  <si>
    <t>https://www.spitogatos.gr/en/for_sale-homes/map-search/minliving_area-30/maxliving_area-200?latitudeLow=37.979099&amp;latitudeHigh=37.980900&amp;longitudeLow=23.708861&amp;longitudeHigh=23.711138&amp;zoom=18</t>
  </si>
  <si>
    <t>34410_0</t>
  </si>
  <si>
    <t>Apartment in Amerikis Square, Athens</t>
  </si>
  <si>
    <t>Second floor apartment (B4) of an area of 76,85 sq.m. that comprises of a living room, kitchen, bathroom and two bedrooms. There is elevator in the building. The property is rented until 30/10/2026 with a monthly amount of 310 € and visiting it is not possible.</t>
  </si>
  <si>
    <t>62-64 Kefalinias &amp; 12 Kalymnou str.</t>
  </si>
  <si>
    <t xml:space="preserve"> 37° 59' 58.56" N  23° 43' 51.96" E</t>
  </si>
  <si>
    <t>https://www.realestateonline.gr/en/akinito/34410_0-APP_18303</t>
  </si>
  <si>
    <t>https://www.spitogatos.gr/en/for_sale-homes/map-search/minliving_area-30/maxliving_area-200?latitudeLow=37.998699&amp;latitudeHigh=38.000500&amp;longitudeLow=23.729961&amp;longitudeHigh=23.732238&amp;zoom=18</t>
  </si>
  <si>
    <t>34412_0</t>
  </si>
  <si>
    <t>Ground floor apartment (4) of an area of 79.73 sq.m. consisting of hall, living room, kitchen, 2 bedrooms, 1 storage room (former service room), bathroom. It, also, has 1 basement warehouse of an area of ​​2.50 m. It needs renovation. There is elevator in the building.</t>
  </si>
  <si>
    <t>24, Kalimnou str.</t>
  </si>
  <si>
    <t>https://www.realestateonline.gr/en/akinito/34412_0-APP_17976</t>
  </si>
  <si>
    <t>34437_0</t>
  </si>
  <si>
    <t>Apartment in Ano Patisia, Athens</t>
  </si>
  <si>
    <t xml:space="preserve"> Fourteenth Floor Apartment (6) of an area of 110,70 sq.m. on a landplot of a total area of 4.088,05 sq.m. </t>
  </si>
  <si>
    <t>8 Doxara, 10-12 Tirinthos &amp; Pandionos Ave.</t>
  </si>
  <si>
    <t xml:space="preserve"> 38°  1' 32.88" N  23° 44'  2.04" E</t>
  </si>
  <si>
    <t>https://www.realestateonline.gr/en/akinito/34437_0-APP_16542</t>
  </si>
  <si>
    <t>https://www.spitogatos.gr/en/for_sale-homes/map-search/minliving_area-30/maxliving_area-200?latitudeLow=38.024899&amp;latitudeHigh=38.026700&amp;longitudeLow=23.732761&amp;longitudeHigh=23.735038&amp;zoom=18</t>
  </si>
  <si>
    <t>34497_0</t>
  </si>
  <si>
    <t>Apartment in Plateia Vikotrias</t>
  </si>
  <si>
    <t xml:space="preserve"> Third floor apartment, C-1, surface 100.92 sq.m. on a plot of 127.95 sq.m.</t>
  </si>
  <si>
    <t>82, Fylis &amp; Filippidou str.</t>
  </si>
  <si>
    <t xml:space="preserve"> 37° 59' 39.63" N  23° 43' 42.88" E</t>
  </si>
  <si>
    <t>https://www.realestateonline.gr/en/akinito/34497_0-APP_16430</t>
  </si>
  <si>
    <t>https://www.spitogatos.gr/en/for_sale-homes/map-search/minliving_area-30/maxliving_area-200?latitudeLow=37.993440&amp;latitudeHigh=37.995242&amp;longitudeLow=23.727439&amp;longitudeHigh=23.729716&amp;zoom=18</t>
  </si>
  <si>
    <t>34512_0</t>
  </si>
  <si>
    <t>Apartment in Agios Panteleimonas, Athens</t>
  </si>
  <si>
    <t>Third floor apartment (no 36) of an area of 61,00 sq.m. that comprises of a living room-kitchen, bathroom and two bedrooms. There is an elevator in the building.</t>
  </si>
  <si>
    <t>107-109, Alkamenous str.</t>
  </si>
  <si>
    <t>https://www.realestateonline.gr/en/akinito/34512_0-APP_18918</t>
  </si>
  <si>
    <t>34514_0</t>
  </si>
  <si>
    <t>Apartment in Attica Square, Athens</t>
  </si>
  <si>
    <t>Ground floor elevated apartment (2) of a total area of 51,16 sq.m. Comprises of one bedroom, living room, kitchen, WC and a hall. The building has an elevator. The property is leased until 31/03/2027 for €240/month.</t>
  </si>
  <si>
    <t>Agaios 23A</t>
  </si>
  <si>
    <t xml:space="preserve"> 37° 59' 55.32" N  23° 43' 31.08" E</t>
  </si>
  <si>
    <t>https://www.realestateonline.gr/en/akinito/34514_0-APP_19066</t>
  </si>
  <si>
    <t>https://www.spitogatos.gr/en/for_sale-homes/map-search/minliving_area-30/maxliving_area-200?latitudeLow=37.997799&amp;latitudeHigh=37.999600&amp;longitudeLow=23.724161&amp;longitudeHigh=23.726438&amp;zoom=18</t>
  </si>
  <si>
    <t>34664_0</t>
  </si>
  <si>
    <t>Apartment in Kato Patisia, Athens</t>
  </si>
  <si>
    <t>Ground floor apartment (1) of an area of 53,20 sq.m. that comprises of a living room, kitchen, bathroom and a bedroom. Visiting the property is not possible.</t>
  </si>
  <si>
    <t>160 Ionias Ave</t>
  </si>
  <si>
    <t xml:space="preserve"> 38°  0' 39.24" N  23° 43' 42.96" E</t>
  </si>
  <si>
    <t>https://www.realestateonline.gr/en/akinito/34664_0-APP_18295</t>
  </si>
  <si>
    <t>https://www.spitogatos.gr/en/for_sale-homes/map-search/minliving_area-30/maxliving_area-200?latitudeLow=38.009999&amp;latitudeHigh=38.011800&amp;longitudeLow=23.727461&amp;longitudeHigh=23.729738&amp;zoom=18</t>
  </si>
  <si>
    <t>34688_0</t>
  </si>
  <si>
    <t>Apartment near Plateia Viktorias</t>
  </si>
  <si>
    <t>First floor apartment under data "A-3" with an area of ​​70.00 sq.m. on a plot of land of 264.80 sq.m. The apartment is rented until 31/10/2025 with an amount of 260 euros. Visiting the property is not possible.</t>
  </si>
  <si>
    <t>Evnardou and Alkiviadou 65</t>
  </si>
  <si>
    <t xml:space="preserve"> 37° 59' 40.56" N  23° 43' 34.32" E</t>
  </si>
  <si>
    <t>https://www.realestateonline.gr/en/akinito/34688_0-APP_16113</t>
  </si>
  <si>
    <t>https://www.spitogatos.gr/en/for_sale-homes/map-search/minliving_area-30/maxliving_area-200?latitudeLow=37.993699&amp;latitudeHigh=37.995500&amp;longitudeLow=23.725061&amp;longitudeHigh=23.727338&amp;zoom=18</t>
  </si>
  <si>
    <t>34694_0</t>
  </si>
  <si>
    <t>Apartment in Ampelokypoi, Athens</t>
  </si>
  <si>
    <t>5th floor apartment (E-1) total area of 79.80 sq.m. It consists of 1 bedroom, living room, dining room, kitchen &amp; bathroom. It has an open horizon view. The building has an elevator. Needs renovation.</t>
  </si>
  <si>
    <t>57-59 Khfisias Ave.</t>
  </si>
  <si>
    <t xml:space="preserve"> 37° 59' 23.28" N  23° 45' 52.20" E</t>
  </si>
  <si>
    <t>https://www.realestateonline.gr/en/akinito/34694_0-APP_17914</t>
  </si>
  <si>
    <t>https://www.spitogatos.gr/en/for_sale-homes/map-search/minliving_area-30/maxliving_area-200?latitudeLow=37.988899&amp;latitudeHigh=37.990700&amp;longitudeLow=23.763361&amp;longitudeHigh=23.765638&amp;zoom=18</t>
  </si>
  <si>
    <t>34709_0</t>
  </si>
  <si>
    <t>Ground floor apartment (6) of an area of 52,45 sq.m. that comprises of a living room, kitchen, bathroom and a bedroom.</t>
  </si>
  <si>
    <t>3, Karpathou str.</t>
  </si>
  <si>
    <t>https://www.realestateonline.gr/en/akinito/34709_0-APP_18296</t>
  </si>
  <si>
    <t>34751_0</t>
  </si>
  <si>
    <t>Apartment in Kypseli, Athens</t>
  </si>
  <si>
    <t xml:space="preserve">Ground floor apartment (ΣΤΟΥΝΤΙΟ) of an area of 19,81 sq.m. that comprises of one room with a kitchen. </t>
  </si>
  <si>
    <t>23, Spetson str.</t>
  </si>
  <si>
    <t xml:space="preserve"> 37° 59' 47.76" N  23° 44' 14.64" E</t>
  </si>
  <si>
    <t>https://www.realestateonline.gr/en/akinito/34751_0-APP_18104</t>
  </si>
  <si>
    <t>https://www.spitogatos.gr/en/for_sale-homes/map-search/minliving_area-30/maxliving_area-200?latitudeLow=37.995699&amp;latitudeHigh=37.997500&amp;longitudeLow=23.736261&amp;longitudeHigh=23.738538&amp;zoom=18</t>
  </si>
  <si>
    <t>34760_0</t>
  </si>
  <si>
    <t>Ground floor apartment (I3) of an area of 52,08 sq.m. consisting of a living room, kitchen, bathroom and a bedroom.</t>
  </si>
  <si>
    <t>135, Alkamenous str.</t>
  </si>
  <si>
    <t>https://www.realestateonline.gr/en/akinito/34760_0-APP_18304</t>
  </si>
  <si>
    <t>34768_0</t>
  </si>
  <si>
    <t>Apartment in Kolonos, Athens</t>
  </si>
  <si>
    <t xml:space="preserve">Second floor apartment (Β-1) of an area of 111,77 sq.m. with an exclusive use of a pilotis parking space (Ρ2) of an area of 10,13 sq.m. The apartment comprises of a living room, kitchen, 2 bathrooms, wc and 2 bedrooms. There is an elevator in the building. </t>
  </si>
  <si>
    <t>48, Epidavrou str.</t>
  </si>
  <si>
    <t xml:space="preserve"> 37° 59' 27.24" N  23° 42' 47.52" E</t>
  </si>
  <si>
    <t>https://www.realestateonline.gr/en/akinito/34768_0-APP_18220</t>
  </si>
  <si>
    <t>https://www.spitogatos.gr/en/for_sale-homes/map-search/minliving_area-30/maxliving_area-200?latitudeLow=37.989999&amp;latitudeHigh=37.991800&amp;longitudeLow=23.712061&amp;longitudeHigh=23.714338&amp;zoom=18</t>
  </si>
  <si>
    <t>34787_0</t>
  </si>
  <si>
    <t xml:space="preserve">Apartment  in Neos Kosmos, Athens </t>
  </si>
  <si>
    <t>THE PROPERTY MIGHT BE ELIGIBLE FOR THE "MY HOME" MORTAGE PROGRAM.Third floor apartment of an area of 79.79 sq.m. that comprises of a living room, kitchen, bathroom &amp; 2 bedrooms. The building does not have an elevator. Before submitting the offer, it is recommended to check/evaluate by a Legal and Technical consultant of your choice.</t>
  </si>
  <si>
    <t>18A, Kriton str.</t>
  </si>
  <si>
    <t xml:space="preserve"> 37° 57' 15.12" N  23° 43' 28.20" E</t>
  </si>
  <si>
    <t>https://www.realestateonline.gr/en/akinito/34787_0-APP_18236</t>
  </si>
  <si>
    <t>https://www.spitogatos.gr/en/for_sale-homes/map-search/minliving_area-30/maxliving_area-200?latitudeLow=37.953299&amp;latitudeHigh=37.955100&amp;longitudeLow=23.723362&amp;longitudeHigh=23.725637&amp;zoom=18</t>
  </si>
  <si>
    <t>34834_0</t>
  </si>
  <si>
    <t>Second floor apartment (B2) of a total area of ​​158,10 sq.m. consisting of living room, kitchen, bathroom &amp; 2 bedrooms. Needs renovation. There's elevator in the building.</t>
  </si>
  <si>
    <t>Koraka &amp; 65 Strat.Dagkli str.</t>
  </si>
  <si>
    <t>https://www.realestateonline.gr/en/akinito/34834_0-APP_18307</t>
  </si>
  <si>
    <t>34848_0</t>
  </si>
  <si>
    <t>Apartment in Ano Kypseli</t>
  </si>
  <si>
    <t xml:space="preserve">  Sixth floor apartment (ΣΤ3) of a total area of 112,97 sq.m. on a landplot of a total area of  614,21 sq.m. The property is leased until 30/4/2025 with the amount of 763,85€. Visiting the property in not possible.</t>
  </si>
  <si>
    <t>56, Pithias str. &amp; Aeton, Ano Kipseli</t>
  </si>
  <si>
    <t xml:space="preserve"> 38°  0'  0.00" N  23° 45'  0.00" E</t>
  </si>
  <si>
    <t>https://www.realestateonline.gr/en/akinito/34848_0-APP_16826</t>
  </si>
  <si>
    <t>https://www.spitogatos.gr/en/for_sale-homes/map-search/minliving_area-30/maxliving_area-200?latitudeLow=37.999099&amp;latitudeHigh=38.000900&amp;longitudeLow=23.748861&amp;longitudeHigh=23.751138&amp;zoom=18</t>
  </si>
  <si>
    <t>34879_0</t>
  </si>
  <si>
    <t>Apartment in Larissa Station, Athens</t>
  </si>
  <si>
    <t>First floor apartment (A-2) of an area of 67 sq.m. on a land plot of a total area of 262,32 sq.m. Visiting the property is not possible.</t>
  </si>
  <si>
    <t>107, Samou str.</t>
  </si>
  <si>
    <t>Saronic Islands</t>
  </si>
  <si>
    <t>Salamis Island</t>
  </si>
  <si>
    <t xml:space="preserve"> 37° 59' 39.48" N  23° 43' 20.28" E</t>
  </si>
  <si>
    <t>https://www.realestateonline.gr/en/akinito/34879_0-APP_16436</t>
  </si>
  <si>
    <t>https://www.spitogatos.gr/en/for_sale-homes/map-search/minliving_area-30/maxliving_area-200?latitudeLow=37.993399&amp;latitudeHigh=37.995200&amp;longitudeLow=23.721161&amp;longitudeHigh=23.723438&amp;zoom=18</t>
  </si>
  <si>
    <t>34880_0</t>
  </si>
  <si>
    <t>Apartment in Plateia Viktorias</t>
  </si>
  <si>
    <t>Second floor apartment (8) of an area of 91,23 sq.m. on a land plot of total area of 240,56 sq.m. The apartment is rented until 31/10/2027 with a monthly amount of €290. Visiting the property is not possible.</t>
  </si>
  <si>
    <t>48, Acharnon Str.</t>
  </si>
  <si>
    <t xml:space="preserve"> 37° 59' 27.60" N  23° 43' 37.20" E</t>
  </si>
  <si>
    <t>https://www.realestateonline.gr/en/akinito/34880_0-APP_16112</t>
  </si>
  <si>
    <t>https://www.spitogatos.gr/en/for_sale-homes/map-search/minliving_area-30/maxliving_area-200?latitudeLow=37.990099&amp;latitudeHigh=37.991900&amp;longitudeLow=23.725861&amp;longitudeHigh=23.728138&amp;zoom=18</t>
  </si>
  <si>
    <t>34991_0</t>
  </si>
  <si>
    <t>Apartment in Attikis Square, Athens</t>
  </si>
  <si>
    <t xml:space="preserve">Fifth floor apartment (Ε-1) of an area of 88,10 sq.m. that comprises of a hall, living room, kitchen, bathroom and two bedrooms. There is an elevator in the building. </t>
  </si>
  <si>
    <t>82, Agathoupoleos str.</t>
  </si>
  <si>
    <t xml:space="preserve"> 38°  0'  7.92" N  23° 43' 36.12" E</t>
  </si>
  <si>
    <t>https://www.realestateonline.gr/en/akinito/34991_0-APP_18115</t>
  </si>
  <si>
    <t>https://www.spitogatos.gr/en/for_sale-homes/map-search/minliving_area-30/maxliving_area-200?latitudeLow=38.001299&amp;latitudeHigh=38.003100&amp;longitudeLow=23.725561&amp;longitudeHigh=23.727838&amp;zoom=18</t>
  </si>
  <si>
    <t>35005_0</t>
  </si>
  <si>
    <t>Apartment in Vathis Square, Athens</t>
  </si>
  <si>
    <t xml:space="preserve">Seventh floor apartment (33) of an area of 74,80 sq.m. that comprises of a hall, living room, kitchen, bathroom and two bedrooms. There is an elevator in the building. </t>
  </si>
  <si>
    <t>52, Chalkokondyli str.</t>
  </si>
  <si>
    <t xml:space="preserve"> 37° 59' 24.00" N  23° 43' 48.00" E</t>
  </si>
  <si>
    <t>https://www.realestateonline.gr/en/akinito/35005_0-APP_18116</t>
  </si>
  <si>
    <t>https://www.spitogatos.gr/en/for_sale-homes/map-search/minliving_area-30/maxliving_area-200?latitudeLow=37.989099&amp;latitudeHigh=37.990900&amp;longitudeLow=23.728861&amp;longitudeHigh=23.731138&amp;zoom=18</t>
  </si>
  <si>
    <t>35044_0</t>
  </si>
  <si>
    <t>Apartment in Pagrati</t>
  </si>
  <si>
    <t>Third floor apartment of an area of 101.97 sq.m. on a landplot of 138.50 sq.m. The property is rented until 31/8/2027 and monthly rental 750,00 euros.</t>
  </si>
  <si>
    <t>Laertou 42 &amp; Artotini 50</t>
  </si>
  <si>
    <t>37°57'58.4"N 23°45'17.4"E</t>
  </si>
  <si>
    <t>https://www.realestateonline.gr/en/akinito/35044_0-APP_16117</t>
  </si>
  <si>
    <t>https://www.spitogatos.gr/en/for_sale-homes/map-search/minliving_area-30/maxliving_area-200?latitudeLow=37.965321&amp;latitudeHigh=37.967123&amp;longitudeLow=23.753695&amp;longitudeHigh=23.755971&amp;zoom=18</t>
  </si>
  <si>
    <t>35058_0</t>
  </si>
  <si>
    <t>First floor apartment (Α2) of an area of 101.00 sq.m. that comprises of a living room, kitchen, 2 bathrooms &amp; 2 bedrooms, with an exclusive use of a pilotis parking space of an area of 12.00 sq.m. There is an elevator in the building.The property is rented until 31/1/2027 with monthly rental of €550.</t>
  </si>
  <si>
    <t>6, Nektariou str.</t>
  </si>
  <si>
    <t xml:space="preserve"> 38°  0'  0.72" N  23° 43' 43.32" E</t>
  </si>
  <si>
    <t>https://www.realestateonline.gr/en/akinito/35058_0-APP_19013</t>
  </si>
  <si>
    <t>https://www.spitogatos.gr/en/for_sale-homes/map-search/minliving_area-30/maxliving_area-200?latitudeLow=37.999299&amp;latitudeHigh=38.001100&amp;longitudeLow=23.727561&amp;longitudeHigh=23.729838&amp;zoom=18</t>
  </si>
  <si>
    <t>35068_0</t>
  </si>
  <si>
    <t>Apartment in Agios Nikolaos, Athens</t>
  </si>
  <si>
    <t>Ground floor apartment (5) of an area of 43,00 sq.m. that comprises of a hall, living room, kitchen, bathroom and a bedroom.</t>
  </si>
  <si>
    <t>Ionias Ave &amp; 2, Sp. Georgiadi str.</t>
  </si>
  <si>
    <t xml:space="preserve"> 38°  0' 25.92" N  23° 43' 39.00" E</t>
  </si>
  <si>
    <t>https://www.realestateonline.gr/en/akinito/35068_0-APP_18122</t>
  </si>
  <si>
    <t>https://www.spitogatos.gr/en/for_sale-homes/map-search/minliving_area-30/maxliving_area-200?latitudeLow=38.006299&amp;latitudeHigh=38.008100&amp;longitudeLow=23.726361&amp;longitudeHigh=23.728638&amp;zoom=18</t>
  </si>
  <si>
    <t>35124_0</t>
  </si>
  <si>
    <t>First floor apartment (IIA2) of a total area of 89,90 sq.m. Comprises of a living room, a dining room, 2 bedrooms, hall, kitchen and a WC. Has a balcony facing the vacant lot of the building. Visiting the property is not possible.</t>
  </si>
  <si>
    <t>54 Kypselis Str.</t>
  </si>
  <si>
    <t xml:space="preserve"> 37° 59' 57.12" N  23° 44' 19.68" E</t>
  </si>
  <si>
    <t>https://www.realestateonline.gr/en/akinito/35124_0-APP_17877</t>
  </si>
  <si>
    <t>https://www.spitogatos.gr/en/for_sale-homes/map-search/minliving_area-30/maxliving_area-200?latitudeLow=37.998299&amp;latitudeHigh=38.000100&amp;longitudeLow=23.737661&amp;longitudeHigh=23.739938&amp;zoom=18</t>
  </si>
  <si>
    <t>35129_0</t>
  </si>
  <si>
    <t>Apartment in Nea Filothei, Athens</t>
  </si>
  <si>
    <t>First floor apartment (1) of an area of 66,45 sq.m. that comprises of a living room-kitchen, bathroom and two bedrooms. There is an elevator in the building. The property is leased up until 31/05/2027 with monthly lease of €500</t>
  </si>
  <si>
    <t>21, Nik.Florou str.</t>
  </si>
  <si>
    <t xml:space="preserve"> 37° 59' 55.68" N  23° 45' 47.88" E</t>
  </si>
  <si>
    <t>https://www.realestateonline.gr/en/akinito/35129_0-APP_18313</t>
  </si>
  <si>
    <t>https://www.spitogatos.gr/en/for_sale-homes/map-search/minliving_area-30/maxliving_area-200?latitudeLow=37.997899&amp;latitudeHigh=37.999700&amp;longitudeLow=23.762161&amp;longitudeHigh=23.764438&amp;zoom=18</t>
  </si>
  <si>
    <t>35162_0</t>
  </si>
  <si>
    <t>Apartment in Koliatsou Square, Athens</t>
  </si>
  <si>
    <t>Fifth floor apartment (E-1) of an area of 65.40 sq.m. with a basement storage space (No. 15) of an area of 2.22 sq.m. on a land plot of a total area of 345,97 sq.m.</t>
  </si>
  <si>
    <t>1, Sifnou Str.</t>
  </si>
  <si>
    <t xml:space="preserve"> 38°  0' 36.72" N  23° 44'  4.92" E</t>
  </si>
  <si>
    <t>https://www.realestateonline.gr/en/akinito/35162_0-APP_17380</t>
  </si>
  <si>
    <t>https://www.spitogatos.gr/en/for_sale-homes/map-search/minliving_area-30/maxliving_area-200?latitudeLow=38.009299&amp;latitudeHigh=38.011100&amp;longitudeLow=23.733561&amp;longitudeHigh=23.735838&amp;zoom=18</t>
  </si>
  <si>
    <t>35209_0</t>
  </si>
  <si>
    <t>Apartment in Kipseli, Athens</t>
  </si>
  <si>
    <t>Elevated ground floor apartment (1) of an area of ​​121.65 sq.m. consisting of living room, kitchen, storage room, 2 bedrooms, wc, bathroom. It has the exclusive use of a basement warehouse (1) of an area of ​​2.32 sq.m. It needs renovation.</t>
  </si>
  <si>
    <t>49, Lelas Karagianni str.</t>
  </si>
  <si>
    <t xml:space="preserve"> 38°  0' 11.16" N  23° 44' 10.68" E</t>
  </si>
  <si>
    <t>https://www.realestateonline.gr/en/akinito/35209_0-APP_17917</t>
  </si>
  <si>
    <t>https://www.spitogatos.gr/en/for_sale-homes/map-search/minliving_area-30/maxliving_area-200?latitudeLow=38.002199&amp;latitudeHigh=38.004000&amp;longitudeLow=23.735161&amp;longitudeHigh=23.737438&amp;zoom=18</t>
  </si>
  <si>
    <t>35225_0</t>
  </si>
  <si>
    <t xml:space="preserve">Ground floor apartment (Ι-2) of an area of 80,50 sq.m. that comprises of a living room, dining room, kitchen, bathroom and a bedroom. </t>
  </si>
  <si>
    <t>27, Prousis, 4-8 Adanon &amp; 96-96A Liosion str.</t>
  </si>
  <si>
    <t xml:space="preserve"> 37° 59' 24.00" N  23° 43' 12.00" E</t>
  </si>
  <si>
    <t>https://www.realestateonline.gr/en/akinito/35225_0-APP_18130</t>
  </si>
  <si>
    <t>https://www.spitogatos.gr/en/for_sale-homes/map-search/minliving_area-30/maxliving_area-200?latitudeLow=37.989099&amp;latitudeHigh=37.990900&amp;longitudeLow=23.718861&amp;longitudeHigh=23.721138&amp;zoom=18</t>
  </si>
  <si>
    <t>34087_1</t>
  </si>
  <si>
    <t>Apartment in Aigaleo</t>
  </si>
  <si>
    <t>Ground floor apartment (1) with a total area of ​​105.36 sq.m. with loft. Ground floor 73.51 sq.m. with living room, bathroom, kitchen &amp; 1 bedroom. Attic 31.85 sq.m. with bathroom &amp; 1 bedroom.</t>
  </si>
  <si>
    <t xml:space="preserve">48, Nestoros Str. </t>
  </si>
  <si>
    <t>Aigaleo</t>
  </si>
  <si>
    <t xml:space="preserve"> 37° 59'  9.27" N  23° 40' 17.31" E</t>
  </si>
  <si>
    <t>https://www.realestateonline.gr/en/akinito/34087_1-APP_18074</t>
  </si>
  <si>
    <t>https://www.spitogatos.gr/en/for_sale-homes/map-search/minliving_area-30/maxliving_area-200?latitudeLow=37.985007&amp;latitudeHigh=37.986809&amp;longitudeLow=23.670336&amp;longitudeHigh=23.672613&amp;zoom=18</t>
  </si>
  <si>
    <t>33686_0</t>
  </si>
  <si>
    <t>Residence in Aegina, Attica</t>
  </si>
  <si>
    <t>Two-storey house with a total area of ​​283,53 sq.m. within a landplot of area of ​​sq.m. It consists of a basement of 114,13 sq.m. with storage space &amp; wc. Ground floor 84,70sq.m. with 2 studios with independent entrances, kitchen, living room, 1 bedroom &amp; bathroom. First floor 84,70 sq.m. consisting of 2 studios with independent entrances, kitchen, living room, 1 bedroom &amp; bathroom.</t>
  </si>
  <si>
    <t>Location faneromeni or Lambiri</t>
  </si>
  <si>
    <t>Aegina</t>
  </si>
  <si>
    <t xml:space="preserve"> 37° 44' 24.00" N  23° 26' 24.00" E</t>
  </si>
  <si>
    <t>https://www.realestateonline.gr/en/akinito/33686_0-RES_18158</t>
  </si>
  <si>
    <t>33893_0</t>
  </si>
  <si>
    <t>Residence in Aegina</t>
  </si>
  <si>
    <t>Residence of a total area of ​​224.15 sq.m. consisting of a basement of 101.35 sq.m. with auxiliary spaces, a ground floor of 101.35 sq.m. with kitchen, living room, 2 bedrooms, bathroom, wc &amp; a ground floor separate warehouse of 21.45 sq.m., on a land plot of 600.10 sq.m. The property is being used and visiting it is not possible.</t>
  </si>
  <si>
    <t>Municipal street</t>
  </si>
  <si>
    <t>37°45'48.0"N 23°27'55.3"E</t>
  </si>
  <si>
    <t>https://www.realestateonline.gr/en/akinito/33893_0-RES_18650</t>
  </si>
  <si>
    <t>34543_0</t>
  </si>
  <si>
    <t>Residence in Aigina</t>
  </si>
  <si>
    <t>Uncompleted residence of a total area of 267,71 sq.m. on a landplot of an area of 525 sq.m. It comprises of a basement of 108,48 sq.m. with a parking space, storage space &amp; wc, of a ground floor of 79,55 sq.m. with a living room, kitchen, bathroom &amp; a bedroom and of a first floor of 79,68 sq.m. with a living room, bathroom &amp; 2 bedrooms. The asset offers a sea view.</t>
  </si>
  <si>
    <t>Vathipotamos</t>
  </si>
  <si>
    <t xml:space="preserve"> 37° 46'  8.58" N  23° 29' 47.95" E</t>
  </si>
  <si>
    <t>https://www.realestateonline.gr/en/akinito/34543_0-RES_18919</t>
  </si>
  <si>
    <t>https://www.spitogatos.gr/en/for_sale-homes/map-search/minliving_area-30/maxliving_area-200?latitudeLow=37.768149&amp;latitudeHigh=37.769950&amp;longitudeLow=23.495517&amp;longitudeHigh=23.497787&amp;zoom=18</t>
  </si>
  <si>
    <t>33700_0</t>
  </si>
  <si>
    <t>Apartment in Alimos, Attica</t>
  </si>
  <si>
    <t>First floor apartment, 107.70 sq.m. consisting of 3 bedrooms, kitchen, living room, bathroom. The property does not have an elevator. The property is leased until 31/08/2027 at €600/month. It does not have an elevator.</t>
  </si>
  <si>
    <t>30 Aristofanous str.</t>
  </si>
  <si>
    <t>South Sector of Athens</t>
  </si>
  <si>
    <t>Alimos</t>
  </si>
  <si>
    <t xml:space="preserve"> 37° 55' 12.00" N  23° 44' 24.00" E</t>
  </si>
  <si>
    <t>https://www.realestateonline.gr/en/akinito/33700_0-APP_18023</t>
  </si>
  <si>
    <t>https://www.spitogatos.gr/en/for_sale-homes/map-search/minliving_area-30/maxliving_area-200?latitudeLow=37.919099&amp;latitudeHigh=37.920900&amp;longitudeLow=23.738862&amp;longitudeHigh=23.741137&amp;zoom=18</t>
  </si>
  <si>
    <t>33788_0</t>
  </si>
  <si>
    <t>Apartment in Alimos</t>
  </si>
  <si>
    <t xml:space="preserve">Maisonette of a total area of 337,93 sq.m. that comprises of a ground floor residence (ΙΣ) of an area of 183,48 sq.m and a basement storage space (ΑΠ-1) of an area of 154,45 sq.m. with  500؉ co-ownership on a land plot of 563,43 sq.m. </t>
  </si>
  <si>
    <t xml:space="preserve">22A Kosti Palama &amp; Mavili Av. </t>
  </si>
  <si>
    <t xml:space="preserve"> 37° 54' 35.80" N  23° 43' 18.40" E</t>
  </si>
  <si>
    <t>https://www.realestateonline.gr/en/akinito/33788_0-RES_15930</t>
  </si>
  <si>
    <t>https://www.spitogatos.gr/en/for_sale-homes/map-search/minliving_area-30/maxliving_area-200?latitudeLow=37.909043&amp;latitudeHigh=37.910845&amp;longitudeLow=23.720640&amp;longitudeHigh=23.722914&amp;zoom=18</t>
  </si>
  <si>
    <t>33747_0</t>
  </si>
  <si>
    <t>Mezonette in Marousi, Attica</t>
  </si>
  <si>
    <t>Two-storey apartment-maisonette of a total area of ​​282.2 sq.m. consisting of a basement warehouse (Y1) of 78.54 sq.m. with a fireplace, bathroom, a ground floor apartment (ΙΣ2) of 111.16 sq.m. with kitchen, dining room, living room, bathroom, wc, a first floor apartment (A2) of 92.50 sq.m. with living room with a fireplace, 3 bedrooms, 2 bathrooms. Needs maintenance works.</t>
  </si>
  <si>
    <t>3, Alkaiou str.</t>
  </si>
  <si>
    <t>Marousi</t>
  </si>
  <si>
    <t xml:space="preserve"> 38°  3' 36.00" N  23° 49' 48.00" E</t>
  </si>
  <si>
    <t>https://www.realestateonline.gr/en/akinito/33747_0-APP_18672</t>
  </si>
  <si>
    <t>https://www.spitogatos.gr/en/for_sale-homes/map-search/minliving_area-30/maxliving_area-200?latitudeLow=38.059099&amp;latitudeHigh=38.060900&amp;longitudeLow=23.828860&amp;longitudeHigh=23.831139&amp;zoom=18</t>
  </si>
  <si>
    <t>33392_0</t>
  </si>
  <si>
    <t>Maisonette in Thrakomakedones, Attica</t>
  </si>
  <si>
    <t xml:space="preserve">Two-storey residence-maisonette of a total area of 320,82 sq.m. consisting of a basement of 76,53 sq.m. with kitchen, living room, bedroom, storage room, wc, a ground floor of 129,28 sq.m. with kitchen, living room with fireplace, bedroom, bathroom, a first floor of 115,01 sq.m. with 3 bedrooms, bathroom, laundry room, on a part of land plot of 624,00 sq.m. </t>
  </si>
  <si>
    <t>9A, Rodopis str.</t>
  </si>
  <si>
    <t>East Attica</t>
  </si>
  <si>
    <t>Acharnes</t>
  </si>
  <si>
    <t xml:space="preserve"> 38°  7' 48.00" N  23° 45'  0.00" E</t>
  </si>
  <si>
    <t>https://www.realestateonline.gr/en/akinito/33392_0-RES_15928</t>
  </si>
  <si>
    <t>33738_1</t>
  </si>
  <si>
    <t>Apartment in Acharne, Attiki</t>
  </si>
  <si>
    <t>Basement apartment of 78,51 sq.m. consisting of 3 bedrooms, kitchen, bathroom, wc, living room, underground parking space 18.91 sq.m. &amp; apartment 21,40 sq.m. It does not have an elevator.</t>
  </si>
  <si>
    <t>31 Thivon str.</t>
  </si>
  <si>
    <t xml:space="preserve"> 38°  5' 40.05" N  23° 43' 46.37" E</t>
  </si>
  <si>
    <t>https://www.realestateonline.gr/en/akinito/33738_1-APP_18024</t>
  </si>
  <si>
    <t>https://www.spitogatos.gr/en/for_sale-homes/map-search/minliving_area-30/maxliving_area-200?latitudeLow=38.093557&amp;latitudeHigh=38.095359&amp;longitudeLow=23.728407&amp;longitudeHigh=23.730687&amp;zoom=18</t>
  </si>
  <si>
    <t>33738_3</t>
  </si>
  <si>
    <t>Apartment in Acharnai, Attica</t>
  </si>
  <si>
    <t>Ground floor apartment  (B) of 102.61 sq.m. It consists of 2 bedrooms, 1 bathroom, 1 WC, living room &amp; kitchen. The apartment is rented until 31/07/2026 for €370/month. The building does not have an elevator.</t>
  </si>
  <si>
    <t>31 Thivon str</t>
  </si>
  <si>
    <t xml:space="preserve"> 38°  5' 40.03" N  23° 43' 46.44" E</t>
  </si>
  <si>
    <t>https://www.realestateonline.gr/en/akinito/33738_3-APP_17904</t>
  </si>
  <si>
    <t>https://www.spitogatos.gr/en/for_sale-homes/map-search/minliving_area-30/maxliving_area-200?latitudeLow=38.093551&amp;latitudeHigh=38.095353&amp;longitudeLow=23.728426&amp;longitudeHigh=23.730706&amp;zoom=18</t>
  </si>
  <si>
    <t>34166_3</t>
  </si>
  <si>
    <t>3rd floor apartment (C-1) of 116.05 sq.m. consisting of 3 bedrooms, living room, kitchen &amp; 2 bathrooms with an exclusive use of a ground floor open parking space. The apartment has a basement storage room &amp; ground floor, closed parking space. The building has an elevator.</t>
  </si>
  <si>
    <t>9 Kallirois str.</t>
  </si>
  <si>
    <t xml:space="preserve"> 38°  5' 35.08" N  23° 43' 35.83" E</t>
  </si>
  <si>
    <t>https://www.realestateonline.gr/en/akinito/34166_3-APP_18077</t>
  </si>
  <si>
    <t>https://www.spitogatos.gr/en/for_sale-homes/map-search/minliving_area-30/maxliving_area-200?latitudeLow=38.092176&amp;latitudeHigh=38.093978&amp;longitudeLow=23.725479&amp;longitudeHigh=23.727759&amp;zoom=18</t>
  </si>
  <si>
    <t>35028_0</t>
  </si>
  <si>
    <t>Dual aspect second floor apartment (B-1) of a total area of 109,83 sq.m. Comprises of a hall, a living room, a dining room, 2 bedrooms, a kitchen and a WC.</t>
  </si>
  <si>
    <t>95 Kyprou Str. Charavgi or Goulioumes location</t>
  </si>
  <si>
    <t xml:space="preserve"> 38°  4' 28.56" N  23° 44' 36.60" E</t>
  </si>
  <si>
    <t>https://www.realestateonline.gr/en/akinito/35028_0-APP_17875</t>
  </si>
  <si>
    <t>https://www.spitogatos.gr/en/for_sale-homes/map-search/minliving_area-30/maxliving_area-200?latitudeLow=38.073699&amp;latitudeHigh=38.075500&amp;longitudeLow=23.742360&amp;longitudeHigh=23.744639&amp;zoom=18</t>
  </si>
  <si>
    <t>33547_1</t>
  </si>
  <si>
    <t>Maisonette in Voula, Attica</t>
  </si>
  <si>
    <t>Maisonette (01) with a total area of ​​217.34 sq.m. with exclusive use of an uncovered area with a surface swimming pool of 19.73 sq.m., car ramp and T.S. (P3) 14.82 sq.m. It has a 1st level with 2 bedrooms including 1 master and 1 bathroom, 2nd level with comfortable reception areas, fireplace, kitchen, wc &amp; 1 bedroom. The entrance to the property is from Sperchiados Street.  The maisonette is located within a corner plot of 463.68 sq.m. Maisonette 2 is also available on the same plot.</t>
  </si>
  <si>
    <t>12 Spercheiados Str.</t>
  </si>
  <si>
    <t>Vari-Voula-Vouliagmeni</t>
  </si>
  <si>
    <t xml:space="preserve"> 37° 51' 36.00" N  23° 46' 48.00" E</t>
  </si>
  <si>
    <t>https://www.realestateonline.gr/en/akinito/33547_1-RES_15411</t>
  </si>
  <si>
    <t>https://www.spitogatos.gr/en/for_sale-homes/map-search/minliving_area-30/maxliving_area-200?latitudeLow=37.859099&amp;latitudeHigh=37.860900&amp;longitudeLow=23.778863&amp;longitudeHigh=23.781136&amp;zoom=18</t>
  </si>
  <si>
    <t>33547_2</t>
  </si>
  <si>
    <t>Maisonette (2) with a total area of ​​324.07 sq.m. consisting of basement 101.40 sq.m., first floor 81.48 sq.m. Second floor 88.01 sq.m. and a roof of 35.18 sq.m. with surface roof pool 18 sq.m. It has reception areas, fireplace, kitchen, wc, large terrace with a view, 3 bedrooms including 1 master, dressing room and another bathroom, large terrace and exclusive use of swimming pool. It has aluminum frames, an internal staircase, an elevator and a basement parking space. The entrance to the property is made from Thermopylon Street. The maisonette is located within a corner plot of 463.68 sq.m. Maisonette 1 is also available on the same plot.</t>
  </si>
  <si>
    <t>35205_0</t>
  </si>
  <si>
    <t>Residence in Voula</t>
  </si>
  <si>
    <t xml:space="preserve"> Maisonette  (K2) of a total area of 308,00 sq.m. comprised of a underground floor of 127,89 sq.m., a groundfloor of an area of 87,04 sq.m., a first floor of an area of 84,70 sq.m. and a  room doma of an area of 8,32 sq.m,  on a landplot  of a total area of 478,14 sq.m.DETAILS: BASEMENT: 1 BEDROOM, KITCHEN-LIVING ROOM WITH FIREPLACE, 1 WC, PARKING, STORAGE, GARDEN. GROUND FLOOR: KITCHEN-LIVING ROOM WITH FIREPLACE, 1 WC, GARDEN. 1ST FLOOR: 2 BEDROOMS, 1 MASTER BEDROOM.</t>
  </si>
  <si>
    <t>42 Rodou str.</t>
  </si>
  <si>
    <t>41°07'52.9"N 24°06'52.7"E</t>
  </si>
  <si>
    <t>https://www.realestateonline.gr/en/akinito/35205_0-RES_16936</t>
  </si>
  <si>
    <t>https://www.spitogatos.gr/en/for_sale-homes/map-search/minliving_area-30/maxliving_area-200?latitudeLow=41.130460&amp;latitudeHigh=41.132261&amp;longitudeLow=24.113447&amp;longitudeHigh=24.115829&amp;zoom=18</t>
  </si>
  <si>
    <t>34949_0</t>
  </si>
  <si>
    <t>Apartment in Vyronas, Attica</t>
  </si>
  <si>
    <t>Third floor apartment (Γ-1) of an area of 69,22 sq.m. that comprises of a living room, kitchen, bathroom and two bedrooms. There isn't an elevator in the building.</t>
  </si>
  <si>
    <t>31, Odemisiou str.</t>
  </si>
  <si>
    <t>Vyronas</t>
  </si>
  <si>
    <t xml:space="preserve"> 37° 57' 50.76" N  23° 45' 24.48" E</t>
  </si>
  <si>
    <t>https://www.realestateonline.gr/en/akinito/34949_0-APP_18298</t>
  </si>
  <si>
    <t>https://www.spitogatos.gr/en/for_sale-homes/map-search/minliving_area-30/maxliving_area-200?latitudeLow=37.963199&amp;latitudeHigh=37.965000&amp;longitudeLow=23.755662&amp;longitudeHigh=23.757937&amp;zoom=18</t>
  </si>
  <si>
    <t>35311_0</t>
  </si>
  <si>
    <t>Apartment in Vironas</t>
  </si>
  <si>
    <t>Ground floor apartment of 57,83 sq.m.,consists of entrance, 3 rooms, kitchen and bathroom. Need renovation.</t>
  </si>
  <si>
    <t>46, Kristalli str&amp;  28, Patriarchou Gr. Str</t>
  </si>
  <si>
    <t xml:space="preserve"> 37° 57' 29.19" N  23° 45' 41.54" E</t>
  </si>
  <si>
    <t>προ του 1955</t>
  </si>
  <si>
    <t>https://www.realestateonline.gr/en/akinito/35311_0-APP_20117</t>
  </si>
  <si>
    <t>https://www.spitogatos.gr/en/for_sale-homes/map-search/minliving_area-30/maxliving_area-200?latitudeLow=37.957207&amp;latitudeHigh=37.959009&amp;longitudeLow=23.760401&amp;longitudeHigh=23.762676&amp;zoom=18</t>
  </si>
  <si>
    <t>35362_1</t>
  </si>
  <si>
    <t>Apartment in Vyrona, Attica</t>
  </si>
  <si>
    <t>First floor apartment (Α-1) of a total area of 60.85 sq.m. consists of an open living room-kitchen, 2 bedrooms, bathroom and a storage room. Partial renovation 2020. The building hasn't an elevator.</t>
  </si>
  <si>
    <t>21 Kerkyras str.</t>
  </si>
  <si>
    <t xml:space="preserve"> 37° 57' 14.84" N  23° 45' 10.36" E</t>
  </si>
  <si>
    <t>https://www.realestateonline.gr/en/akinito/35362_1-APP_20497</t>
  </si>
  <si>
    <t>https://www.spitogatos.gr/en/for_sale-homes/map-search/minliving_area-30/maxliving_area-200?latitudeLow=37.953221&amp;latitudeHigh=37.955023&amp;longitudeLow=23.751739&amp;longitudeHigh=23.754015&amp;zoom=18</t>
  </si>
  <si>
    <t>33687_0</t>
  </si>
  <si>
    <t>Apartment in Evriali,  Glyfada</t>
  </si>
  <si>
    <t xml:space="preserve">Dual-aspect ground floor apartment (1) of an area of 106,86 sq.m. that comprises of a living room, kitchen, office, bathroom &amp; 2 bedrooms. </t>
  </si>
  <si>
    <t>75, Achilleos &amp; Sofias str.</t>
  </si>
  <si>
    <t>Glyfada</t>
  </si>
  <si>
    <t xml:space="preserve"> 37° 52' 48.00" N  23° 45' 36.00" E</t>
  </si>
  <si>
    <t>https://www.realestateonline.gr/en/akinito/33687_0-APP_18294</t>
  </si>
  <si>
    <t>https://www.spitogatos.gr/en/for_sale-homes/map-search/minliving_area-30/maxliving_area-200?latitudeLow=37.879099&amp;latitudeHigh=37.880900&amp;longitudeLow=23.758863&amp;longitudeHigh=23.761136&amp;zoom=18</t>
  </si>
  <si>
    <t>33749_1</t>
  </si>
  <si>
    <t>Apartment in Glyfada</t>
  </si>
  <si>
    <t>2nd floor apartment (B-1) of a total area of 87,50 sq.m. Comprises of 3 bedrooms, living room, kitchen, 1 bathroom and 1 WC. There’s elevator in the building.</t>
  </si>
  <si>
    <t>7, Navarchou Votsi Str.</t>
  </si>
  <si>
    <t xml:space="preserve"> 37° 52' 35.90" N  23° 45'  3.50" E</t>
  </si>
  <si>
    <t>https://www.realestateonline.gr/en/akinito/33749_1-APP_20005</t>
  </si>
  <si>
    <t>https://www.spitogatos.gr/en/for_sale-homes/map-search/minliving_area-30/maxliving_area-200?latitudeLow=37.875737&amp;latitudeHigh=37.877539&amp;longitudeLow=23.749835&amp;longitudeHigh=23.752108&amp;zoom=18</t>
  </si>
  <si>
    <t>33946_0</t>
  </si>
  <si>
    <t>Residence in Glyfada</t>
  </si>
  <si>
    <t>Two-storey house  (M-3) with a total area of ​​281.16sq.m. in a complex of four (4) houses, consisting of a basement of 96.18 sq.m., a ground floor of 83.30 sq.m., a first floor of 83.30 sq.m. and a roof of 18.38 sq.m. on a plot with a total area of ​​965.28 sq.m. It has the exclusive use of an uncovered surface of 155.60 sq.m. with swimming pool.</t>
  </si>
  <si>
    <t>38, Dimokratias str.</t>
  </si>
  <si>
    <t xml:space="preserve"> 37° 52' 48.88" N  23° 44' 50.64" E</t>
  </si>
  <si>
    <t>https://www.realestateonline.gr/en/akinito/33946_0-RES_15755</t>
  </si>
  <si>
    <t>https://www.spitogatos.gr/en/for_sale-homes/map-search/minliving_area-30/maxliving_area-200?latitudeLow=37.879343&amp;latitudeHigh=37.881145&amp;longitudeLow=23.746263&amp;longitudeHigh=23.748536&amp;zoom=18</t>
  </si>
  <si>
    <t>33326_6</t>
  </si>
  <si>
    <t>Apartment Dafni, Attica</t>
  </si>
  <si>
    <t>Corner fifth floor apartment (Δ1) of an area of 103.51 sq.m., consisting of a kitchen, living-dining room, bedroom, office, wc and bathroom. The property is rented until 30/9/2026 with a monthly amount of 150.00 €. It has large balconys with barbecue offering a nice view. There is elevator in the building.</t>
  </si>
  <si>
    <t>Ploutonos and 46, Kuprou str., location Spithari</t>
  </si>
  <si>
    <t xml:space="preserve"> 38° 37'  2.71" N  24°  6' 33.22" E</t>
  </si>
  <si>
    <t>https://www.realestateonline.gr/en/akinito/33326_6-OFF_19439</t>
  </si>
  <si>
    <t>34867_0</t>
  </si>
  <si>
    <t>Apartment in Nea Magnesia, Thessaloniki</t>
  </si>
  <si>
    <t>First floor apartment (Α3) of an area of 64,16 sq.m. with a basement warehouse (Υ7) of an area of 5,39 sq.m. and an open parking space (Ρ11) of an area of 13,25 sq.m. The apartment consists of a living room, kitchen, bathroom &amp; 2 bedrooms. The building has an elevator.</t>
  </si>
  <si>
    <t>14, Ath. Diakou str.</t>
  </si>
  <si>
    <t>Central Macedonia</t>
  </si>
  <si>
    <t>Thessaloniki</t>
  </si>
  <si>
    <t>Delta</t>
  </si>
  <si>
    <t xml:space="preserve"> 40° 41' 14.10" N  22° 50' 50.76" E</t>
  </si>
  <si>
    <t>https://www.realestateonline.gr/en/akinito/34867_0-APP_18922</t>
  </si>
  <si>
    <t>https://www.spitogatos.gr/en/for_sale-homes/map-search/minliving_area-30/maxliving_area-200?latitudeLow=40.686349&amp;latitudeHigh=40.688150&amp;longitudeLow=22.846250&amp;longitudeHigh=22.848616&amp;zoom=18</t>
  </si>
  <si>
    <t>33357_0</t>
  </si>
  <si>
    <t>Residence in Anixi, Attica</t>
  </si>
  <si>
    <t xml:space="preserve">Two-storey residence-maisonette (I) of a total area of ​​234,75 sq.m. consisting of a basement of 14,93 sq.m., a ground floor of 81,87 sq.m. with kitchen, 2 living rooms, dining room, wc, a first floor of 80.49 sq.m. with 3 bedrooms, bathroom, wc and a loft of 57.46 sq.m. with 2 bedrooms, wc on a part of a land plot of an area of 376.42 sq.m. </t>
  </si>
  <si>
    <t xml:space="preserve">23, Alkaiou &amp; Tourkovasili str. </t>
  </si>
  <si>
    <t>Dionysos</t>
  </si>
  <si>
    <t xml:space="preserve"> 38°  7' 24.19" N  23° 50' 28.08" E</t>
  </si>
  <si>
    <t>https://www.realestateonline.gr/en/akinito/33357_0-RES_18648</t>
  </si>
  <si>
    <t>https://www.spitogatos.gr/en/for_sale-homes/map-search/minliving_area-30/maxliving_area-200?latitudeLow=38.122485&amp;latitudeHigh=38.124287&amp;longitudeLow=23.839992&amp;longitudeHigh=23.842273&amp;zoom=18</t>
  </si>
  <si>
    <t>33729_0</t>
  </si>
  <si>
    <t>Residence in Stamata, Attica</t>
  </si>
  <si>
    <t>Two-storey house with basement, of total area of 531.65 sq.m.,  use as baby care school, consisting of a basement of 230.63 sq.m., a ground floor of 150.51 sq.m. and first floor of 150.51 sq.m. within a plot of 1,000.38 sq.m. It has a beautiful garden. The property is leased with a contractual lease ending on 06-30-2027 and the monthly rent is €1,615.00 plus stamp duty. The property is leased up until 30/6/2027 with a monthly lease of 1.663,45 €.</t>
  </si>
  <si>
    <t>6Β, Piperopoulou Str.</t>
  </si>
  <si>
    <t xml:space="preserve"> 38°  7' 43.90" N  23° 52' 22.00" E</t>
  </si>
  <si>
    <t>https://www.realestateonline.gr/en/akinito/33729_0-RES_17415</t>
  </si>
  <si>
    <t>33797_0</t>
  </si>
  <si>
    <t>Residence in Dionysos, Attica</t>
  </si>
  <si>
    <t>Unfinished residence of a total area of  619,97 sq.m., coprised of a second basement of an area of 158,49 sq.m. with parking spots, a first basement of an area of 149,69 sq.m., a ground floor of an area of 146,77 sq.m., a first floor of an area of 132,07 sq.m. and a second floor of an area of 32,95 sq.m. on a land plot part of an area of 806,68 sq.m. on a land plot of a total area of 1.596,33 sq.m.</t>
  </si>
  <si>
    <t>Dimokratias Av.</t>
  </si>
  <si>
    <t xml:space="preserve"> 37° 57' 38.50" N  23° 44' 20.70" E</t>
  </si>
  <si>
    <t>https://www.realestateonline.gr/en/akinito/33797_0-RES_17293</t>
  </si>
  <si>
    <t>https://www.spitogatos.gr/en/for_sale-homes/map-search/minliving_area-30/maxliving_area-200?latitudeLow=37.959793&amp;latitudeHigh=37.961595&amp;longitudeLow=23.737945&amp;longitudeHigh=23.740221&amp;zoom=18</t>
  </si>
  <si>
    <t>71030_1</t>
  </si>
  <si>
    <t>Maisonette in Kryoneri, Attica</t>
  </si>
  <si>
    <t>Maisonette "Residence 1" of total area of 80,11 sqm, that comprises of a basement with use of main spaces of an area of 40,07 sq.m. with 2 bedrooms and 1 bathroom, as well as a ground floor of an area of 40,04 sq.m. with a living room and a kitchen. It also has a parking space "ΧΣ1" of an area of 10,13 sq.m. with a joint tenancy percentage of 158,05/1000 on a land pot of a total area of 272,09 sq.m.</t>
  </si>
  <si>
    <t>11, Kimonos Rizou and Fillelinon Str.</t>
  </si>
  <si>
    <t xml:space="preserve"> 38°  8' 26.96" N  23° 49' 43.96" E</t>
  </si>
  <si>
    <t>https://www.realestateonline.gr/en/akinito/71030_1-RES_19555</t>
  </si>
  <si>
    <t>https://www.spitogatos.gr/en/for_sale-homes/map-search/minliving_area-30/maxliving_area-200?latitudeLow=38.139921&amp;latitudeHigh=38.141723&amp;longitudeLow=23.827737&amp;longitudeHigh=23.830018&amp;zoom=18</t>
  </si>
  <si>
    <t>71030_2</t>
  </si>
  <si>
    <t>Maisonette "Residence 2" of total area of 88,17 sqm, that comprises of a basement with use of main spaces of an area of 44,37 sq.m. with 2 bedrooms and 1 bathroom, as well as a ground floor of an area of 43,80 sq.m. with a living room and a kitchen. It also has a parking space "ΧΣ2" of an area of 10,13 sq.m. with a joint tenancy percentage of 197,54/1000 on a land pot of a total area of 272,09 sq.m.</t>
  </si>
  <si>
    <t xml:space="preserve"> 38°  8' 24.73" N  23° 49' 44.36" E</t>
  </si>
  <si>
    <t>https://www.realestateonline.gr/en/akinito/71030_2-RES_19556</t>
  </si>
  <si>
    <t>https://www.spitogatos.gr/en/for_sale-homes/map-search/minliving_area-30/maxliving_area-200?latitudeLow=38.139301&amp;latitudeHigh=38.141103&amp;longitudeLow=23.827848&amp;longitudeHigh=23.830129&amp;zoom=18</t>
  </si>
  <si>
    <t>33692_0</t>
  </si>
  <si>
    <t>Apartment in Eleusina</t>
  </si>
  <si>
    <t>First floor apartment (A) of an area of 104,90 sq.m. consisting of a living room-kitchen, bathroom, wc &amp; 2 bedrooms. Visiting the property is not possible.</t>
  </si>
  <si>
    <t>13, Adelfon Plelli str.</t>
  </si>
  <si>
    <t>West Attica</t>
  </si>
  <si>
    <t>Elefsina</t>
  </si>
  <si>
    <t xml:space="preserve"> 38°  3' 33.29" N  23° 31' 53.09" E</t>
  </si>
  <si>
    <t>https://www.realestateonline.gr/en/akinito/33692_0-APP_18300</t>
  </si>
  <si>
    <t>https://www.spitogatos.gr/en/for_sale-homes/map-search/minliving_area-30/maxliving_area-200?latitudeLow=38.058346&amp;latitudeHigh=38.060148&amp;longitudeLow=23.530274&amp;longitudeHigh=23.532553&amp;zoom=18</t>
  </si>
  <si>
    <t>34601_0</t>
  </si>
  <si>
    <t>Apartment in Elefsina, Attica</t>
  </si>
  <si>
    <t xml:space="preserve">Corner second floor apartment (Β-6) of an area of 83,69 sq.m. that comprises of a living room, kitchen, bathroom, storage space and two bedrooms. </t>
  </si>
  <si>
    <t>130 Afon Kypraiou str., Paradeisos area, Location "Alonia-Vragkou"</t>
  </si>
  <si>
    <t xml:space="preserve"> 38°  3' 51.48" N  23° 31' 50.88" E</t>
  </si>
  <si>
    <t>https://www.realestateonline.gr/en/akinito/34601_0-APP_18096</t>
  </si>
  <si>
    <t>https://www.spitogatos.gr/en/for_sale-homes/map-search/minliving_area-30/maxliving_area-200?latitudeLow=38.063399&amp;latitudeHigh=38.065200&amp;longitudeLow=23.529660&amp;longitudeHigh=23.531939&amp;zoom=18</t>
  </si>
  <si>
    <t>35234_1</t>
  </si>
  <si>
    <t>Apartment in Ilioupoli, Attica</t>
  </si>
  <si>
    <t>Corner, dual aspect second floor apartment (B-1) of an area of ​ 92,81 sq.m., that consists of a living room, dining room, 2 bedrooms, kitchen, 1 bathroom, hallway, a continuous balcony to Velissariou and Panagouli Street and a balcony to the back open space.Τhe property is rented until 30/9/2026 with a monthly amount €422,30.</t>
  </si>
  <si>
    <t>2, Velissariou &amp; Al. Panagouli Str.</t>
  </si>
  <si>
    <t>Ilioupoli</t>
  </si>
  <si>
    <t>37°56'28.3"N 23°45'39.1"E</t>
  </si>
  <si>
    <t>https://www.realestateonline.gr/en/akinito/35234_1-APP_17778</t>
  </si>
  <si>
    <t>https://www.spitogatos.gr/en/for_sale-homes/map-search/minliving_area-30/maxliving_area-200?latitudeLow=37.940293&amp;latitudeHigh=37.942095&amp;longitudeLow=23.759723&amp;longitudeHigh=23.761998&amp;zoom=18</t>
  </si>
  <si>
    <t>33543_6</t>
  </si>
  <si>
    <t>Apartment in Irakleio, Attica</t>
  </si>
  <si>
    <t>Unfinished first floor apartment (Δ2) of an area of 63,17 sq.m. with an exclusive use of an open parking space (Π2) of an area of 12,00 sq.m., an underground storage space (2) of an area of 11,73 sq.m. and an underground storage space (3) of an area of 11,21 sq.m. on a landplot of a total area of 176,40 sq.m.</t>
  </si>
  <si>
    <t>2, Velissariou str.</t>
  </si>
  <si>
    <t>Heraklion</t>
  </si>
  <si>
    <t xml:space="preserve"> 38°  3'  1.10" N  23° 45'  8.40" E</t>
  </si>
  <si>
    <t>https://www.realestateonline.gr/en/akinito/33543_6-APP_16214</t>
  </si>
  <si>
    <t>https://www.spitogatos.gr/en/for_sale-homes/map-search/minliving_area-30/maxliving_area-200?latitudeLow=38.049404&amp;latitudeHigh=38.051206&amp;longitudeLow=23.751194&amp;longitudeHigh=23.753472&amp;zoom=18</t>
  </si>
  <si>
    <t>33543_7</t>
  </si>
  <si>
    <t>Unfinished 2nd &amp; 3rd floor maisonette (Δ3 - Γ' Δ4 &amp; Δ4 - Β' Δ3) of a total area of 84,95 sq.m. with an exclusive use of an open parking space (Π1) of an area of 12,00 sq.m., two flatroofs of a total area of 42,43 sq.m., an underground storage space (4) of an area of 18,40 sq.m. and an underground storage space (5) of an area of 18,34 sq.m. on a landplot of a total area of 176,40 sq.m.</t>
  </si>
  <si>
    <t>Vellisariou 2</t>
  </si>
  <si>
    <t>https://www.realestateonline.gr/en/akinito/33543_7-APP_16215</t>
  </si>
  <si>
    <t>33665_1</t>
  </si>
  <si>
    <t>Apartment in Herakleion, Attica</t>
  </si>
  <si>
    <t>Ground floor apartment (D-1) of a total area of 51,98 sq.m. comprises of 1 bedroom, living room, kitchen and 1 WC, with an exclusive use of an open space of 17,39 sq.m. Needs renovation.</t>
  </si>
  <si>
    <t>2, Velissariou Str.</t>
  </si>
  <si>
    <t xml:space="preserve"> 38°  3'  0.00" N  23° 45'  0.00" E</t>
  </si>
  <si>
    <t>https://www.realestateonline.gr/en/akinito/33665_1-APP_19432</t>
  </si>
  <si>
    <t>https://www.spitogatos.gr/en/for_sale-homes/map-search/minliving_area-30/maxliving_area-200?latitudeLow=38.049099&amp;latitudeHigh=38.050900&amp;longitudeLow=23.748860&amp;longitudeHigh=23.751139&amp;zoom=18</t>
  </si>
  <si>
    <t>33960_0</t>
  </si>
  <si>
    <t>Residence in Herakleion</t>
  </si>
  <si>
    <t>Residence under details (AB1), consisting of the 1st floor of an area of 82.05 sq.m. and 2nd floor of 58.17 sq.m. with a co-ownership rate of 490.00‰ undivided on a land plot  of 416.29 sq.m.The residence has a car parking space for exclusive use, which is located partly in the communal garden  and partly in the uncovered area of the plot, with an area of 10.12 sq.m.</t>
  </si>
  <si>
    <t xml:space="preserve">21, Nimfon Str. </t>
  </si>
  <si>
    <t xml:space="preserve"> 38°  3'  0.00" N  23° 46' 12.00" E</t>
  </si>
  <si>
    <t>https://www.realestateonline.gr/en/akinito/33960_0-RES_12114</t>
  </si>
  <si>
    <t>https://www.spitogatos.gr/en/for_sale-homes/map-search/minliving_area-30/maxliving_area-200?latitudeLow=38.049099&amp;latitudeHigh=38.050900&amp;longitudeLow=23.768860&amp;longitudeHigh=23.771139&amp;zoom=18</t>
  </si>
  <si>
    <t>33506_3</t>
  </si>
  <si>
    <t>Apartment in Peraia Thessaloniki</t>
  </si>
  <si>
    <t>Ground floor apartment (Building A) of 108,27 sq.m., consists of living room, kitchen, 2 bedrooms, and a bathroom. It is also available for sale a rented retail store with ΑΜ 33506_2</t>
  </si>
  <si>
    <t xml:space="preserve">16 Apostolon Petrou &amp; Paulou </t>
  </si>
  <si>
    <t>Thermaikos</t>
  </si>
  <si>
    <t xml:space="preserve"> 40° 30' 27.29" N  22° 55' 39.47" E</t>
  </si>
  <si>
    <t>https://www.realestateonline.gr/en/akinito/33506_3-APP_20348</t>
  </si>
  <si>
    <t>https://www.spitogatos.gr/en/for_sale-homes/map-search/minliving_area-30/maxliving_area-200?latitudeLow=40.506680&amp;latitudeHigh=40.508481&amp;longitudeLow=22.926450&amp;longitudeHigh=22.928810&amp;zoom=18</t>
  </si>
  <si>
    <t>32684_0</t>
  </si>
  <si>
    <t>Residence in Souroti, Thessaloniki</t>
  </si>
  <si>
    <t>Residence (maisonette) that comprises of a basement of 63,58 sq.m., a ground floor of 63,58 sq.m. and a 1st floor of 60,08 sq.m. with exclusive use of a land plot of 102,00 sq.m. on a land plot of 520,94 sq.m.</t>
  </si>
  <si>
    <t>G. Oikonomou Str. BB 139 of Sourotis settlement</t>
  </si>
  <si>
    <t>Thermi</t>
  </si>
  <si>
    <t xml:space="preserve"> 40° 28' 18.20" N  23°  6' 12.30" E</t>
  </si>
  <si>
    <t>https://www.realestateonline.gr/en/akinito/32684_0-RES_6758</t>
  </si>
  <si>
    <t>https://www.spitogatos.gr/en/for_sale-homes/map-search/minliving_area-30/maxliving_area-200?latitudeLow=40.470821&amp;latitudeHigh=40.472622&amp;longitudeLow=23.102237&amp;longitudeHigh=23.104595&amp;zoom=18</t>
  </si>
  <si>
    <t>33414_0</t>
  </si>
  <si>
    <t>Residence in Kardia, Thessaloniki</t>
  </si>
  <si>
    <t xml:space="preserve">Two - storey Residence of a total area of 215,86 sqm., that comprises of a basement (Δ3) of an area of 80,62 sqm., a ground floor of an area of 68,12 sqm. and a 1st floor of an area of 67,12 sqm. with ownership percentage of 339‰ on a landplot of 461,16 sqm. It has a parking space of an area of 14,00 sqm. and vacant space of an area of 54,31 sqm. </t>
  </si>
  <si>
    <t>Ippokratous str.</t>
  </si>
  <si>
    <t xml:space="preserve"> 40° 27' 54.68" N  22° 59' 44.30" E</t>
  </si>
  <si>
    <t>https://www.realestateonline.gr/en/akinito/33414_0-RES_15775</t>
  </si>
  <si>
    <t>https://www.spitogatos.gr/en/for_sale-homes/map-search/minliving_area-30/maxliving_area-200?latitudeLow=40.464288&amp;latitudeHigh=40.466089&amp;longitudeLow=22.994459&amp;longitudeHigh=22.996817&amp;zoom=18</t>
  </si>
  <si>
    <t>34300_0</t>
  </si>
  <si>
    <t>Apartment in Kardia, Thessaloniki</t>
  </si>
  <si>
    <t>Maisonette - basement - ground floor apartment (1, D2) with a total area of ​​124.93 sq.m. Basement 71.15 sq.m. with bathroom &amp; single room. Ground floor 51.68 sq.m. with 1 bedroom, living room, kitchen &amp; bathroom. It has exclusive use of an uncovered part of 80.89 sq.m. &amp; outdoor storage 2.1 sq.m.</t>
  </si>
  <si>
    <t>17, Dimokratias str. &amp; Riga Fereou str.</t>
  </si>
  <si>
    <t>40°28'13.2"N 22°59'34.9"E</t>
  </si>
  <si>
    <t>https://www.realestateonline.gr/en/akinito/34300_0-APP_18080</t>
  </si>
  <si>
    <t>https://www.spitogatos.gr/en/for_sale-homes/map-search/minliving_area-30/maxliving_area-200?latitudeLow=40.469432&amp;latitudeHigh=40.471233&amp;longitudeLow=22.991848&amp;longitudeHigh=22.994206&amp;zoom=18</t>
  </si>
  <si>
    <t>32612_0</t>
  </si>
  <si>
    <t>Bare ownership of apartment in Thessaloniki</t>
  </si>
  <si>
    <t>Bare ownership of a 1st floor Apartment (1) with an area of ​​27.17 sq.m. consisting of a room, bathroom &amp; kitchen. The building does not have an elevator.</t>
  </si>
  <si>
    <t>29 Panagias Faneromenis str.</t>
  </si>
  <si>
    <t xml:space="preserve"> 40° 38' 48.74" N  22° 56' 16.96" E</t>
  </si>
  <si>
    <t>https://www.realestateonline.gr/en/akinito/32612_0-APP_19148</t>
  </si>
  <si>
    <t>https://www.spitogatos.gr/en/for_sale-homes/map-search/minliving_area-30/maxliving_area-200?latitudeLow=40.645971&amp;latitudeHigh=40.647772&amp;longitudeLow=22.936862&amp;longitudeHigh=22.939226&amp;zoom=18</t>
  </si>
  <si>
    <t>33465_0</t>
  </si>
  <si>
    <t>Apartment in Analipsi, Thessaloniki</t>
  </si>
  <si>
    <t>Sixth Floor Apartment of an area of 126,77 sq.m. on a landplot of a total area of 723,20 sq.m.</t>
  </si>
  <si>
    <t>24, Markou Mpotsari &amp; 1, Patron str.</t>
  </si>
  <si>
    <t xml:space="preserve"> 40° 36' 24.60" N  22° 57' 19.10" E</t>
  </si>
  <si>
    <t>https://www.realestateonline.gr/en/akinito/33465_0-APP_16417</t>
  </si>
  <si>
    <t>https://www.spitogatos.gr/en/for_sale-homes/map-search/minliving_area-30/maxliving_area-200?latitudeLow=40.605932&amp;latitudeHigh=40.607733&amp;longitudeLow=22.954124&amp;longitudeHigh=22.956487&amp;zoom=18</t>
  </si>
  <si>
    <t>34821_0</t>
  </si>
  <si>
    <t>Apartment in Kato Toumba, Thessaloniki</t>
  </si>
  <si>
    <t>Third floor apartment of an area of 64,09 sq.m. consisting of a living room, kitchen, bathroom and two bedrooms. There' s no elevator in the building.</t>
  </si>
  <si>
    <t>100-102, Anatolikis Thrakis str.</t>
  </si>
  <si>
    <t xml:space="preserve"> 40° 36' 31.68" N  22° 58' 18.12" E</t>
  </si>
  <si>
    <t>https://www.realestateonline.gr/en/akinito/34821_0-APP_18306</t>
  </si>
  <si>
    <t>https://www.spitogatos.gr/en/for_sale-homes/map-search/minliving_area-30/maxliving_area-200?latitudeLow=40.607899&amp;latitudeHigh=40.609700&amp;longitudeLow=22.970518&amp;longitudeHigh=22.972881&amp;zoom=18</t>
  </si>
  <si>
    <t>33333_0</t>
  </si>
  <si>
    <t>Apartment in Kaisariani, Athens</t>
  </si>
  <si>
    <t>Second floor apartment of a total area of 106.50 sq.m. on a land plot of a total area of 135.20 sq.m. The apartment is leased up until 30/6/2025 with a monthly lease of €400</t>
  </si>
  <si>
    <t>86, Ethnikis Antistaseos Str.</t>
  </si>
  <si>
    <t>Kaisariani</t>
  </si>
  <si>
    <t xml:space="preserve"> 37° 58'  4.91" N  23° 45' 35.64" E</t>
  </si>
  <si>
    <t>https://www.realestateonline.gr/en/akinito/33333_0-APP_17533</t>
  </si>
  <si>
    <t>https://www.spitogatos.gr/en/for_sale-homes/map-search/minliving_area-30/maxliving_area-200?latitudeLow=37.967129&amp;latitudeHigh=37.968931&amp;longitudeLow=23.758761&amp;longitudeHigh=23.761038&amp;zoom=18</t>
  </si>
  <si>
    <t>33921_0</t>
  </si>
  <si>
    <t>Apartment in Kalamaria, Thessaloniki</t>
  </si>
  <si>
    <t>Second floor apartment (2) of an area of 94,39 sq.m. with kitchen, living room, office, 2 bedrooms, bathroom, wc. It has exclusive use of a basement warehouse (14) of 5 sq.m. and a pilotis parking space (6) of 12 sq.m. The building has an elevator. The property is in use and cannot be shown.</t>
  </si>
  <si>
    <t>34, Kyzikou str.</t>
  </si>
  <si>
    <t>Kalamaria</t>
  </si>
  <si>
    <t xml:space="preserve"> 40° 34' 57.44" N  22° 57' 30.93" E</t>
  </si>
  <si>
    <t>https://www.realestateonline.gr/en/akinito/33921_0-APP_18354</t>
  </si>
  <si>
    <t>https://www.spitogatos.gr/en/for_sale-homes/map-search/minliving_area-30/maxliving_area-200?latitudeLow=40.581721&amp;latitudeHigh=40.583522&amp;longitudeLow=22.957410&amp;longitudeHigh=22.959772&amp;zoom=18</t>
  </si>
  <si>
    <t>34595_0</t>
  </si>
  <si>
    <t>Apartment in Keratsini, Attica</t>
  </si>
  <si>
    <t>Ground floor apartment (I-2) with a total area of 75 sq.m. It consists of two separate apartments: a) Apartment of 30.53 sq.m. with two waiting areas and W.C. with a vestibule and a storage space under the staircase and b) Apartment with a surface area of 44.47 sq.m. with corridor, one room, hall, kitchen and bathroom. Needs renovation.</t>
  </si>
  <si>
    <t>18 Thrakis Str.</t>
  </si>
  <si>
    <t>Piraeus</t>
  </si>
  <si>
    <t>Keratsini-Drapetsona</t>
  </si>
  <si>
    <t xml:space="preserve"> 37° 57' 49.68" N  23° 37' 33.60" E</t>
  </si>
  <si>
    <t>https://www.realestateonline.gr/en/akinito/34595_0-APP_17897</t>
  </si>
  <si>
    <t>https://www.spitogatos.gr/en/for_sale-homes/map-search/minliving_area-30/maxliving_area-200?latitudeLow=37.962899&amp;latitudeHigh=37.964700&amp;longitudeLow=23.624862&amp;longitudeHigh=23.627137&amp;zoom=18</t>
  </si>
  <si>
    <t>33112_0</t>
  </si>
  <si>
    <t>Apartment in Ekali</t>
  </si>
  <si>
    <t>First floor apartment (Α2) of an area of 163,04 sq.m. on a land plot of a total area of 1.662,75 sq.m. There is a shared parking and storage space in the basement.</t>
  </si>
  <si>
    <t>96, Thiseos Ave.</t>
  </si>
  <si>
    <t>Kifisia</t>
  </si>
  <si>
    <t xml:space="preserve"> 38°  6' 54.23" N  23° 51'  7.70" E</t>
  </si>
  <si>
    <t>https://www.realestateonline.gr/en/akinito/33112_0-APP_15757</t>
  </si>
  <si>
    <t>https://www.spitogatos.gr/en/for_sale-homes/map-search/minliving_area-30/maxliving_area-200?latitudeLow=38.114162&amp;latitudeHigh=38.115964&amp;longitudeLow=23.850998&amp;longitudeHigh=23.853279&amp;zoom=18</t>
  </si>
  <si>
    <t>33119_1</t>
  </si>
  <si>
    <t>Residence in Kifisia, Attica</t>
  </si>
  <si>
    <t xml:space="preserve">Two-storey residence with a basement (M5) on Building Β, of a total area of 298,25 sq.m. (comprises of a second basement of auxiliary spaces of an area of 11,25 sq.m., a second basement of main spaces of an area of 25,00 sq.m., a first basement of main spaces of an area of 78,10 sq.m., a ground floor of main spaces of an area of 72,80 sq.m., a first floor of main spaces of an area of 61,28 sq.m. and a second floor of main spaces of an area of 49,82 sq.m.) on a land plot of a total area of 2.622,89 sq.m. </t>
  </si>
  <si>
    <t>81, Chelidonous Str.</t>
  </si>
  <si>
    <t xml:space="preserve"> 38°  5' 24.00" N  23° 47' 24.00" E</t>
  </si>
  <si>
    <t>https://www.realestateonline.gr/en/akinito/33119_1-RES_17094</t>
  </si>
  <si>
    <t>33119_2</t>
  </si>
  <si>
    <t xml:space="preserve">Two-storey residence with a basement (M6) on Building Β, of a total area of 292,95 sq.m. (comprises of a second basement of auxiliary spaces of an area of 25,00 sq.m., a second basement of main spaces of an area of 11,25 sq.m., a first basement of auxiliary spaces of an area of 11,84 sq.m., a first basement of main spaces of an area of 60,96 sq.m., a ground floor of main spaces of an area of 72,80 sq.m., a first floor of main spaces of an area of 61,28 sq.m., a second floor of main spaces of an area of 49,82 sq.m.) on a land plot of a total area of 2.622,89 sq.m.             </t>
  </si>
  <si>
    <t>https://www.realestateonline.gr/en/akinito/33119_2-RES_17095</t>
  </si>
  <si>
    <t>33520_0</t>
  </si>
  <si>
    <t>Maisonette in Kifisia, Attica</t>
  </si>
  <si>
    <t>Maisonette-apartment of a total area of ​​223,15 sq.m. consisting of a ground floor (I-5) of 77,82 sq.m. with 3 bedrooms, bathroom, storage room, a first floor (A-5) of 145,33 sq.m. with kitchen, dining room, living room with a fireplace, bedroom and wc. It has a basement parking space (P-9) of 12,19 sq.m. and a basement warehouse (Y-18) of 10,8 sq.m.</t>
  </si>
  <si>
    <t>10 Korytsas Str., B.B. 117, Profitis Ilias location</t>
  </si>
  <si>
    <t xml:space="preserve"> 38°  4' 12.00" N  23° 48' 36.00" E</t>
  </si>
  <si>
    <t>https://www.realestateonline.gr/en/akinito/33520_0-APP_18281</t>
  </si>
  <si>
    <t>https://www.spitogatos.gr/en/for_sale-homes/map-search/minliving_area-30/maxliving_area-200?latitudeLow=38.069099&amp;latitudeHigh=38.070900&amp;longitudeLow=23.808860&amp;longitudeHigh=23.811139&amp;zoom=18</t>
  </si>
  <si>
    <t>34913_0</t>
  </si>
  <si>
    <t>Landplot with residence in Ekali, Attica:</t>
  </si>
  <si>
    <t>Landplot of  1,375 sq.m. within urban planning zone, sizable and buildable, with an old two-storey house with a total area of ​​199 sq.m. It consists of a ground floor of 105 sq.m. and 1st floor of 94 sq.m. Building coefficient 0,4, coverage ratio 20%.Indicative permitted landplot's uses: Residential</t>
  </si>
  <si>
    <t>5, Dionysou  Aven.</t>
  </si>
  <si>
    <t xml:space="preserve"> 38°  6' 36.00" N  23° 51'  0.00" E</t>
  </si>
  <si>
    <t>https://www.realestateonline.gr/en/akinito/34913_0-RES_16935</t>
  </si>
  <si>
    <t>https://www.spitogatos.gr/en/for_sale-homes/map-search/minliving_area-30/maxliving_area-200?latitudeLow=38.109099&amp;latitudeHigh=38.110900&amp;longitudeLow=23.848859&amp;longitudeHigh=23.851140&amp;zoom=18</t>
  </si>
  <si>
    <t>34487_0</t>
  </si>
  <si>
    <t>Apartment in Evosmos, Thessaloniki</t>
  </si>
  <si>
    <t xml:space="preserve">Second floor apartment (Β) of an area of 75,67 sq.m. with an underground storage space (3) of an area of 9,72 sq.m. The apartment comprises of a living room, kitchen, bathroom and three bedrooms. There is an elevator in the building. Needs maintenance works. </t>
  </si>
  <si>
    <t>37, Archimidous str.</t>
  </si>
  <si>
    <t>Kordelio-Evosmos</t>
  </si>
  <si>
    <t xml:space="preserve"> 40° 39' 50.82" N  22° 54' 59.57" E</t>
  </si>
  <si>
    <t>https://www.realestateonline.gr/en/akinito/34487_0-APP_18653</t>
  </si>
  <si>
    <t>https://www.spitogatos.gr/en/for_sale-homes/map-search/minliving_area-30/maxliving_area-200?latitudeLow=40.663216&amp;latitudeHigh=40.665017&amp;longitudeLow=22.915364&amp;longitudeHigh=22.917729&amp;zoom=18</t>
  </si>
  <si>
    <t>34541_0</t>
  </si>
  <si>
    <t>Apartment in Kordelio, Thessaloniki</t>
  </si>
  <si>
    <t>Second floor apartment of an area of 103,00 sq.m. that comprises of a living room - kitchen, hall, bathroom, wc, storage space and three bedrooms. There is an elevator in the building.</t>
  </si>
  <si>
    <t>8, Ntortoglou str.</t>
  </si>
  <si>
    <t xml:space="preserve"> 40° 40' 12.00" N  22° 53' 24.00" E</t>
  </si>
  <si>
    <t>https://www.realestateonline.gr/en/akinito/34541_0-APP_18090</t>
  </si>
  <si>
    <t>https://www.spitogatos.gr/en/for_sale-homes/map-search/minliving_area-30/maxliving_area-200?latitudeLow=40.669099&amp;latitudeHigh=40.670900&amp;longitudeLow=22.888817&amp;longitudeHigh=22.891182&amp;zoom=18</t>
  </si>
  <si>
    <t>34740_0</t>
  </si>
  <si>
    <t xml:space="preserve">First floor apartment of 76.63 sq.m consists of living room, kitchen, 2 bedrooms &amp; bathroom. The apartment is rented until 31/01/2026 for €257,50/month. </t>
  </si>
  <si>
    <t>37 Papaflessa Str.</t>
  </si>
  <si>
    <t xml:space="preserve"> 40° 39' 55.08" N  22° 55'  6.60" E</t>
  </si>
  <si>
    <t>https://www.realestateonline.gr/en/akinito/34740_0-APP_17882</t>
  </si>
  <si>
    <t>https://www.spitogatos.gr/en/for_sale-homes/map-search/minliving_area-30/maxliving_area-200?latitudeLow=40.664399&amp;latitudeHigh=40.666200&amp;longitudeLow=22.917317&amp;longitudeHigh=22.919682&amp;zoom=18</t>
  </si>
  <si>
    <t>35090_0</t>
  </si>
  <si>
    <t>Apartment in Eleftherio-Kordelio, Thessaloniki</t>
  </si>
  <si>
    <t>First floor apartment of an area of 92.88 sq.m. that comprises of a living room, kitchen, bathroom &amp; 3 bedrooms. There is not an elevator in the building. The property is rented until 28/2/2027 with monthly rental €380.</t>
  </si>
  <si>
    <t>15, Kerasountos str.</t>
  </si>
  <si>
    <t xml:space="preserve"> 40° 40'  7.68" N  22° 53' 53.52" E</t>
  </si>
  <si>
    <t>https://www.realestateonline.gr/en/akinito/35090_0-APP_19068</t>
  </si>
  <si>
    <t>https://www.spitogatos.gr/en/for_sale-homes/map-search/minliving_area-30/maxliving_area-200?latitudeLow=40.667899&amp;latitudeHigh=40.669700&amp;longitudeLow=22.897017&amp;longitudeHigh=22.899382&amp;zoom=18</t>
  </si>
  <si>
    <t>34705_0</t>
  </si>
  <si>
    <t>Apartment in Korydallos, Attica</t>
  </si>
  <si>
    <t>Ground floor apartment (I1) of 73.94 sq.m. consisting of 2 bedrooms, living room, kitchen and external bathroom.</t>
  </si>
  <si>
    <t>60 Agios Nikolaos str. &amp; 41 Erechtheiou str.</t>
  </si>
  <si>
    <t>Korydallos</t>
  </si>
  <si>
    <t xml:space="preserve"> 37° 58' 57.72" N  23° 39' 33.84" E</t>
  </si>
  <si>
    <t>https://www.realestateonline.gr/en/akinito/34705_0-APP_19149</t>
  </si>
  <si>
    <t>https://www.spitogatos.gr/en/for_sale-homes/map-search/minliving_area-30/maxliving_area-200?latitudeLow=37.981799&amp;latitudeHigh=37.983600&amp;longitudeLow=23.658261&amp;longitudeHigh=23.660538&amp;zoom=18</t>
  </si>
  <si>
    <t>32993_0</t>
  </si>
  <si>
    <t>Maisonette located at Lagadas, Thessaloniki</t>
  </si>
  <si>
    <t xml:space="preserve">Two storey residence that comprises of a basement of a total area of 51,06 sq.m., ground floor of a total area of 51,06 sq.m., 1st floor of a total area of 46,03 sq.m. on a land plot of 500,00 sq.m. </t>
  </si>
  <si>
    <t>Place "Katothi Scholiou"</t>
  </si>
  <si>
    <t>Langadas</t>
  </si>
  <si>
    <t xml:space="preserve"> 40° 49'  2.70" N  23°  1' 45.30" E</t>
  </si>
  <si>
    <t>https://www.realestateonline.gr/en/akinito/32993_0-RES_5623</t>
  </si>
  <si>
    <t>https://www.spitogatos.gr/en/for_sale-homes/map-search/minliving_area-30/maxliving_area-200?latitudeLow=40.816516&amp;latitudeHigh=40.818317&amp;longitudeLow=23.028064&amp;longitudeHigh=23.030435&amp;zoom=18</t>
  </si>
  <si>
    <t>34218_0</t>
  </si>
  <si>
    <t>Maisonette in Lagyna, Thessaloniki</t>
  </si>
  <si>
    <t>Μaisonette of a total area of 192,49 sq.m. with a ground floor (Δ1) of an area of 95,36 sq.m. and a basement (Α1) of an area of 97,13 sq.m. The ground floor comprises of a living room with fireplace, kitchen, bathroom and two bedrooms and the basement comprises of a living room with fireplace, bathroom and two bedrooms.</t>
  </si>
  <si>
    <t>Municipal Str.</t>
  </si>
  <si>
    <t xml:space="preserve"> 40° 43' 26.68" N  23°  0' 15.76" E</t>
  </si>
  <si>
    <t>https://www.realestateonline.gr/en/akinito/34218_0-APP_18655</t>
  </si>
  <si>
    <t>https://www.spitogatos.gr/en/for_sale-homes/map-search/minliving_area-30/maxliving_area-200?latitudeLow=40.723177&amp;latitudeHigh=40.724978&amp;longitudeLow=23.003194&amp;longitudeHigh=23.005561&amp;zoom=18</t>
  </si>
  <si>
    <t>34837_0</t>
  </si>
  <si>
    <t>Αpartment in Likovrisi</t>
  </si>
  <si>
    <t>Ground floor apartment (D-2) of an area of 64,83 sq.m on a landplot of a total area of 411,50 sq.m.</t>
  </si>
  <si>
    <t>5, Paulou Mela str.</t>
  </si>
  <si>
    <t>Lykovrysi-Pefki</t>
  </si>
  <si>
    <t xml:space="preserve"> 38°  3' 59.76" N  23° 46' 49.08" E</t>
  </si>
  <si>
    <t>https://www.realestateonline.gr/en/akinito/34837_0-APP_16724</t>
  </si>
  <si>
    <t>https://www.spitogatos.gr/en/for_sale-homes/map-search/minliving_area-30/maxliving_area-200?latitudeLow=38.065699&amp;latitudeHigh=38.067500&amp;longitudeLow=23.779160&amp;longitudeHigh=23.781439&amp;zoom=18</t>
  </si>
  <si>
    <t>33988_1</t>
  </si>
  <si>
    <t>Apartment in Mandra, Attica</t>
  </si>
  <si>
    <t>THE PROPERTY MIGHT BE ELIGIBLE FOR THE "MY HOME" MORTAGE PROGRAM.First floor apartment (Α-3) of a total area of 52,29 sq.m. with a living room, a kitchen, 1 bedroom and 1 bathroom. The building has an elevator. Before submitting the offer, it is recommended to check/evaluate by a Legal and Technical consultant of your choice.</t>
  </si>
  <si>
    <t>157-159, Str. Nik. Rokka str.</t>
  </si>
  <si>
    <t>Mandra-Eidyllia</t>
  </si>
  <si>
    <t xml:space="preserve"> 38°  4' 50.97" N  23° 29' 34.95" E</t>
  </si>
  <si>
    <t>https://www.realestateonline.gr/en/akinito/33988_1-APP_18145</t>
  </si>
  <si>
    <t>33988_2</t>
  </si>
  <si>
    <t>Floor with 6 apartments in Mandra, Attica</t>
  </si>
  <si>
    <t>6 second floor apartments with a total area of ​​301.35 sq.m. Each apartment consists of a kitchen, living room, 1 bedroom &amp; bathroom. It has a warehouse on the roof of 36.02 sq.m.</t>
  </si>
  <si>
    <t>https://www.realestateonline.gr/en/akinito/33988_2-APP_18155</t>
  </si>
  <si>
    <t>33059_0</t>
  </si>
  <si>
    <t>Residence in Nea Makri, Xilokeriza</t>
  </si>
  <si>
    <t xml:space="preserve">Unfinished two-storey residence of a total area of 288,07 sq.m. on a land plot of a total area of 361,00 sq.m. It comprises of a basement of a total area of 128,30 sq.m. (86,83 sq.m. and 41,67 sq.m. auxilliary spaces), a ground floor of an area of 79,66 sq.m. and a first floor of an area of 80,11 sq.m. </t>
  </si>
  <si>
    <t>Ksylokeriza location</t>
  </si>
  <si>
    <t>Marathon</t>
  </si>
  <si>
    <t xml:space="preserve"> 38°  4' 30.10" N  23° 57' 53.90" E</t>
  </si>
  <si>
    <t>https://www.realestateonline.gr/en/akinito/33059_0-RES_16415</t>
  </si>
  <si>
    <t>33478_0</t>
  </si>
  <si>
    <t>Residence in Porto Rafti</t>
  </si>
  <si>
    <t>Residence No. 1, of a total area of 247,12 sq.m., with a basement of an area of 91,92 sq.m. (main spaces of 67,00 sq.m. and auxiliary spaces of 24,92 sq.m.), a ground floor of an area of 133,00 sq.m. and a loft of an area of 21,64  sq.m. on a land plot part of an area of 450,33 sq.m. on a land plot of a total area of 986,70 sq.m. The property is rented until 30/4/2027 and the monthly rental is 760 euros.</t>
  </si>
  <si>
    <t>Pri Petsi Place, Markopoulo Mesogaia</t>
  </si>
  <si>
    <t>Markopoulo Mesogaias</t>
  </si>
  <si>
    <t xml:space="preserve"> 37° 53' 25.71" N  23° 59' 49.43" E</t>
  </si>
  <si>
    <t>https://www.realestateonline.gr/en/akinito/33478_0-RES_16459</t>
  </si>
  <si>
    <t>33600_0</t>
  </si>
  <si>
    <t>Residential building in Porto Rafti</t>
  </si>
  <si>
    <t>Residential building with a total area of ​​492 sq.m. on a landplot of 4,834 sq.m. consisting of 1 maisonette &amp; 2 apartments. Maisonette 304 sq.m. (Ground floor: 152 sq.m., 1st floor: 152 sq.m.) It has 4 bedrooms, 2 bathrooms, wc &amp; a large terrace with an unlimited view. 1st First Floor Apartment 35 sq.m. It has a single room, kitchen, 1 bedroom, bathroom, terrace &amp; storage spaces in the basement &amp; in the uncovered area. 2nd First Floor Apartment 36 sq.m. It has a single room, kitchen, 1 bedroom, bathroom, veranda &amp; storage spaces.</t>
  </si>
  <si>
    <t>17 Krystálli Str.</t>
  </si>
  <si>
    <t xml:space="preserve"> 37° 54'  6.70" N  24°  0' 10.90" E</t>
  </si>
  <si>
    <t>https://www.realestateonline.gr/en/akinito/33600_0-RES_16447</t>
  </si>
  <si>
    <t>34537_0</t>
  </si>
  <si>
    <t>Apartment in Markopoulo, Attica</t>
  </si>
  <si>
    <t>THE PROPERTY MIGHT BE ELIGIBLE FOR THE "MY HOME" MORTAGE PROGRAM. Ground floor apartment (ΙΣ-1) of a total area of 80.39 sq.m., comprised of a ground floor of an area of 27.03 sq.m. and a basement apartment (Y-1) of an area of 53.36 sq.m. with an axclusive use of a parking space (No.4) of an area of 11.00 and an open space of an area of 45.48 sq.m. on a land plot of a total area of 522.00 sq.m.  Before submitting the offer, it is recommended to check/evaluate by a Legal and Technical consultant of your choice.</t>
  </si>
  <si>
    <t>7, Attikis Str., Pistiko</t>
  </si>
  <si>
    <t>37°52'37.5"N 23°55'50.3"E</t>
  </si>
  <si>
    <t>https://www.realestateonline.gr/en/akinito/34537_0-APP_17529</t>
  </si>
  <si>
    <t>https://www.spitogatos.gr/en/for_sale-homes/map-search/minliving_area-30/maxliving_area-200?latitudeLow=37.876182&amp;latitudeHigh=37.877984&amp;longitudeLow=23.929502&amp;longitudeHigh=23.931775&amp;zoom=18</t>
  </si>
  <si>
    <t>32349_0</t>
  </si>
  <si>
    <t>Residence located at Megara</t>
  </si>
  <si>
    <t>Two-storey building of a total area of 158,07 sq.m. that comprises of a basement of 31,86 sq.m., a ground floor of 33,94 sq.m., an unfinished 1st floor of 75,36 sq.m. and a loft of 16,91 sq.m. on a land plot of 91,70 sq.m. The property is leased up until 30/6/2027 with a monthly lease of 125€</t>
  </si>
  <si>
    <t>16 Marathonos Ave.</t>
  </si>
  <si>
    <t>Megara</t>
  </si>
  <si>
    <t xml:space="preserve"> 38°  0'  2.16" N  23° 20' 43.14" E</t>
  </si>
  <si>
    <t>https://www.realestateonline.gr/en/akinito/32349_0-RES_5302</t>
  </si>
  <si>
    <t>https://www.spitogatos.gr/en/for_sale-homes/map-search/minliving_area-30/maxliving_area-200?latitudeLow=37.999699&amp;latitudeHigh=38.001500&amp;longitudeLow=23.344178&amp;longitudeHigh=23.346455&amp;zoom=18</t>
  </si>
  <si>
    <t>32682_1</t>
  </si>
  <si>
    <t>Residence in Megara, Attica</t>
  </si>
  <si>
    <t xml:space="preserve">Old ground floor residence of 75,70 sq.m. on a land plot of a total area of 172,56 sq.m. </t>
  </si>
  <si>
    <t>32 Grevenon Str.</t>
  </si>
  <si>
    <t xml:space="preserve"> 37° 59' 53.90" N  23° 20' 22.10" E</t>
  </si>
  <si>
    <t>https://www.realestateonline.gr/en/akinito/32682_1-RES_6757</t>
  </si>
  <si>
    <t>https://www.spitogatos.gr/en/for_sale-homes/map-search/minliving_area-30/maxliving_area-200?latitudeLow=37.997404&amp;latitudeHigh=37.999206&amp;longitudeLow=23.338333&amp;longitudeHigh=23.340610&amp;zoom=18</t>
  </si>
  <si>
    <t>70155_0</t>
  </si>
  <si>
    <t>Apartment in Megara</t>
  </si>
  <si>
    <t>First floor apartment of 112.68 sq.m. consists of 2 bedrooms, living room, dining room, bathroom &amp; storage room.</t>
  </si>
  <si>
    <t>28th Oktovriou &amp; 58 Kolokotroni Str.</t>
  </si>
  <si>
    <t xml:space="preserve"> 37° 59' 41.90" N  23° 20' 37.90" E</t>
  </si>
  <si>
    <t>https://www.realestateonline.gr/en/akinito/70155_0-APP_7316</t>
  </si>
  <si>
    <t>https://www.spitogatos.gr/en/for_sale-homes/map-search/minliving_area-30/maxliving_area-200?latitudeLow=37.994071&amp;latitudeHigh=37.995873&amp;longitudeLow=23.342722&amp;longitudeHigh=23.344999&amp;zoom=18</t>
  </si>
  <si>
    <t>34367_0</t>
  </si>
  <si>
    <t>Apartment in Sykies, Thesaloniki</t>
  </si>
  <si>
    <t>THE PROPERTY MIGHT BE ELIGIBLE FOR THE "MY HOME" MORTAGE PROGRAM.First floor apartment (Δ-1) of an area of 41.16 sq.m., on a land plot of a total area of 187.73 sq.m. Before submitting the offer, it is recommended to check/evaluate by a Legal and Technical consultant of your choice.</t>
  </si>
  <si>
    <t>14-16, Piliou Str.</t>
  </si>
  <si>
    <t>Neapoli-Sykies</t>
  </si>
  <si>
    <t xml:space="preserve"> 40° 39'  8.64" N  22° 57' 10.80" E</t>
  </si>
  <si>
    <t>https://www.realestateonline.gr/en/akinito/34367_0-APP_17166</t>
  </si>
  <si>
    <t>https://www.spitogatos.gr/en/for_sale-homes/map-search/minliving_area-30/maxliving_area-200?latitudeLow=40.651499&amp;latitudeHigh=40.653300&amp;longitudeLow=22.951817&amp;longitudeHigh=22.954182&amp;zoom=18</t>
  </si>
  <si>
    <t>33418_0</t>
  </si>
  <si>
    <t>Maisonette in Nea Ionia, Attica</t>
  </si>
  <si>
    <t>Maisonette of a total area of 158,05 sq.m. that comprises of a first floor of 64,68 sq.m. (living room, kitchen, a bedroom, wc), a second floor of 62,40 sq.m. (living room, WC, 2 bedrooms) and a third floor of 30,97 sq.m. (living room, kitchen, WC) on a land plot of 270,00 sq.m. on a land plot of a total area of 317,50 sq.m.</t>
  </si>
  <si>
    <t>19, Kizikou &amp; Kavalas str.</t>
  </si>
  <si>
    <t>Nea Ionia</t>
  </si>
  <si>
    <t xml:space="preserve"> 38°  2' 47.90" N  23° 45' 19.90" E</t>
  </si>
  <si>
    <t>https://www.realestateonline.gr/en/akinito/33418_0-RES_17780</t>
  </si>
  <si>
    <t>https://www.spitogatos.gr/en/for_sale-homes/map-search/minliving_area-30/maxliving_area-200?latitudeLow=38.045737&amp;latitudeHigh=38.047539&amp;longitudeLow=23.754388&amp;longitudeHigh=23.756667&amp;zoom=18</t>
  </si>
  <si>
    <t>34748_0</t>
  </si>
  <si>
    <t>Apartment in Agios Ioannis-Rentis, Attica</t>
  </si>
  <si>
    <t>First floor corner apartment o an area of 71.22 sq.m. consisting of a living room, kitchen, 2 bedrooms, 1 bathroom. Visiting the property is not possible.</t>
  </si>
  <si>
    <t>87 Kallipoleos Str.</t>
  </si>
  <si>
    <t>Nikaia-Agios Ioannis Rentis</t>
  </si>
  <si>
    <t xml:space="preserve"> 37° 58' 12.00" N  23° 39'  0.00" E</t>
  </si>
  <si>
    <t>https://www.realestateonline.gr/en/akinito/34748_0-APP_17678</t>
  </si>
  <si>
    <t>https://www.spitogatos.gr/en/for_sale-homes/map-search/minliving_area-30/maxliving_area-200?latitudeLow=37.969099&amp;latitudeHigh=37.970900&amp;longitudeLow=23.648861&amp;longitudeHigh=23.651138&amp;zoom=18</t>
  </si>
  <si>
    <t>33541_0</t>
  </si>
  <si>
    <t>Residential Building in Glyka Nera, Attica</t>
  </si>
  <si>
    <t>Unfinished residential building with a total area of ​​459.02 sq.m. within a landplot of 341.46 sq.m. which includes three horizontal properties. Maisonette 137.27 sq.m. with 1 BEDROOM &amp; WC in the basement and living room, kitchen, bathroom &amp; 2 BEDROOMS on the ground floor with exclusive use in outdoor parking space. First floor apartment 96.65 sq.m. with living room, kitchen, bathroom &amp; 2 bedrooms. 2nd floor maisonette 96.65 sq.m. with living room, bathroom, kitchen, 2 bedrooms and attic 96.65 sq.m. with a single room and bathroom. It has a central staircase, an elevator, common areas, 3 warehouses, 2 parking spaces in the basement.</t>
  </si>
  <si>
    <t xml:space="preserve">61, Olympionikon Str. </t>
  </si>
  <si>
    <t>Paiania</t>
  </si>
  <si>
    <t xml:space="preserve"> 37° 59' 57.00" N  23° 51'  8.00" E</t>
  </si>
  <si>
    <t>https://www.realestateonline.gr/en/akinito/33541_0-RES_17886</t>
  </si>
  <si>
    <t>https://www.spitogatos.gr/en/for_sale-homes/map-search/minliving_area-30/maxliving_area-200?latitudeLow=37.998265&amp;latitudeHigh=38.000067&amp;longitudeLow=23.851083&amp;longitudeHigh=23.853360&amp;zoom=18</t>
  </si>
  <si>
    <t>32805_0</t>
  </si>
  <si>
    <t>Apartment in Palaio Faliro, Attica</t>
  </si>
  <si>
    <t>First floor apartment (1) of 83.70 sq.m. consisting of 1 bedroom, living room, dining room, kitchen &amp; bathroom. It does not have an elevator.</t>
  </si>
  <si>
    <t>8 Delfon Str.</t>
  </si>
  <si>
    <t>Palaio Faliro</t>
  </si>
  <si>
    <t xml:space="preserve"> 37° 55' 35.04" N  23° 42'  7.49" E</t>
  </si>
  <si>
    <t>https://www.realestateonline.gr/en/akinito/32805_0-APP_5674</t>
  </si>
  <si>
    <t>https://www.spitogatos.gr/en/for_sale-homes/map-search/minliving_area-30/maxliving_area-200?latitudeLow=37.925499&amp;latitudeHigh=37.927300&amp;longitudeLow=23.700943&amp;longitudeHigh=23.703217&amp;zoom=18</t>
  </si>
  <si>
    <t>33097_0</t>
  </si>
  <si>
    <t>Apartment in Palaio Faliro</t>
  </si>
  <si>
    <t>Sixth floor apartment (ΣΤ1) of a total area of 174.66 sq.m. on a land plot of 3.875,20 sq.m. with an exclusive use of a basement storage space (ΑΠ10) of an area of 9,9 sq.m. and two basement parking spots P6 and P7 of 14,45 sq.m. and 13,39 sq.m.</t>
  </si>
  <si>
    <t>Odysseos and 49, Terpsitheas Str.</t>
  </si>
  <si>
    <t xml:space="preserve"> 37° 55' 31.08" N  23° 42' 39.96" E</t>
  </si>
  <si>
    <t>https://www.realestateonline.gr/en/akinito/33097_0-APP_16639</t>
  </si>
  <si>
    <t>https://www.spitogatos.gr/en/for_sale-homes/map-search/minliving_area-30/maxliving_area-200?latitudeLow=37.924399&amp;latitudeHigh=37.926200&amp;longitudeLow=23.709962&amp;longitudeHigh=23.712237&amp;zoom=18</t>
  </si>
  <si>
    <t>33996_1</t>
  </si>
  <si>
    <t>Apartment in Paleo Faliro</t>
  </si>
  <si>
    <t>Fourth floor apartment (Δ-3) of an area of 119.90 sq.m. that comprises of living room - dining room, kitchen, 3 bedrooms, bathroom &amp; w.c. and an underground storage space (ΥΑ-12) of an area of 6.70 sq.m. The property is rented until 31/3/2026 with monthly rental €916,70.</t>
  </si>
  <si>
    <t>44, Parthenonos str.</t>
  </si>
  <si>
    <t xml:space="preserve"> 37° 55' 35.13" N  23° 41' 57.66" E</t>
  </si>
  <si>
    <t>https://www.realestateonline.gr/en/akinito/33996_1-APP_19401</t>
  </si>
  <si>
    <t>https://www.spitogatos.gr/en/for_sale-homes/map-search/minliving_area-30/maxliving_area-200?latitudeLow=37.925524&amp;latitudeHigh=37.927325&amp;longitudeLow=23.698212&amp;longitudeHigh=23.700487&amp;zoom=18</t>
  </si>
  <si>
    <t>34109_0</t>
  </si>
  <si>
    <t>Residential building in Pallini, Attica</t>
  </si>
  <si>
    <t>Residential building with a total area of ​​596.12 sq.m. consists of a second basement with the use of a garage of 98.65 sq.m. First basement apartment 138.64 sq.m. with living room, dining room, kitchen, 2 bathrooms &amp; 3 bedrooms. Ground floor 133.75 sq.m. with living room, dining room, kitchen, 2 bathrooms &amp; 3 bedrooms. First floor 133.75 sq.m. with living room, dining room, kitchen, 2 bathrooms &amp; 3 bedrooms. Roof 91.33 sq.m. with living room, kitchen, living room, bathroom &amp; 2 bedrooms within landplot section (11a) of 670.24 sq.m.</t>
  </si>
  <si>
    <t>11 Olympia St.</t>
  </si>
  <si>
    <t>Pallini</t>
  </si>
  <si>
    <t xml:space="preserve"> 38°  0' 36.00" N  23° 55' 12.00" E</t>
  </si>
  <si>
    <t>https://www.realestateonline.gr/en/akinito/34109_0-RES_15931</t>
  </si>
  <si>
    <t>34786_0</t>
  </si>
  <si>
    <t>Apartment in Pallini, Athens</t>
  </si>
  <si>
    <t>Second floor apartment  (B1) with a total area of 112.73 sq.m. with attic  (Γ1) of 124.26 sq.m., basement parking space  (Π5) of 12.00 sq.m. and basement parking space  (Π7) of 21.00sq.m. on the plot of 776.16 sq.m.</t>
  </si>
  <si>
    <t>Terpsihoris 24</t>
  </si>
  <si>
    <t xml:space="preserve"> 37° 59'  2.60" N  23° 51' 11.10" E</t>
  </si>
  <si>
    <t>https://www.realestateonline.gr/en/akinito/34786_0-APP_17039</t>
  </si>
  <si>
    <t>https://www.spitogatos.gr/en/for_sale-homes/map-search/minliving_area-30/maxliving_area-200?latitudeLow=37.983154&amp;latitudeHigh=37.984956&amp;longitudeLow=23.851945&amp;longitudeHigh=23.854221&amp;zoom=18</t>
  </si>
  <si>
    <t>33136_0</t>
  </si>
  <si>
    <t>Residence building in Polichni, Thessaloniki</t>
  </si>
  <si>
    <t>Corner residential building of a total area of ​​561 sq.m., consisting of a basement of 131.92 sq.m. (2 warehouses), ground floor apartment 120.39 sq.m. with living room, kitchen, bedroom, wc, storage room, closed parking space, two maisonettes A', B' &amp; 3rd floor surface area 308.69 sq.m. with living room, kitchen, 3 bedrooms and 2 bathrooms/wc each within a plot of 195.03 sq.m.</t>
  </si>
  <si>
    <t>16, Platonos και 21, Papafi Str.</t>
  </si>
  <si>
    <t>Pavlos Melas</t>
  </si>
  <si>
    <t xml:space="preserve"> 40° 39' 45.80" N  22° 57'  9.80" E</t>
  </si>
  <si>
    <t>https://www.realestateonline.gr/en/akinito/33136_0-RES_17696</t>
  </si>
  <si>
    <t>https://www.spitogatos.gr/en/for_sale-homes/map-search/minliving_area-30/maxliving_area-200?latitudeLow=40.661821&amp;latitudeHigh=40.663622&amp;longitudeLow=22.951539&amp;longitudeHigh=22.953904&amp;zoom=18</t>
  </si>
  <si>
    <t>34328_0</t>
  </si>
  <si>
    <t>Apartment in Stavroupolis, Thessaloniki</t>
  </si>
  <si>
    <t>First floor apartment of an area of 123,51 sq.m. that comprises of a living room, kitchen, bathroom, wc and three bedrooms. The property is rented until 31/12/2025 with monthly rental €288.40.</t>
  </si>
  <si>
    <t>8, G. Davaki str.</t>
  </si>
  <si>
    <t xml:space="preserve"> 40° 40' 12.36" N  22° 55' 45.48" E</t>
  </si>
  <si>
    <t>https://www.realestateonline.gr/en/akinito/34328_0-APP_18557</t>
  </si>
  <si>
    <t>https://www.spitogatos.gr/en/for_sale-homes/map-search/minliving_area-30/maxliving_area-200?latitudeLow=40.669199&amp;latitudeHigh=40.671000&amp;longitudeLow=22.928117&amp;longitudeHigh=22.930482&amp;zoom=18</t>
  </si>
  <si>
    <t>33121_0</t>
  </si>
  <si>
    <t>Apartment in Kaminia, Piraeus</t>
  </si>
  <si>
    <t>First floor apartment (Ε1Δ4) of an area of 88.51 sq.m. consisting of kitchen-living room, 2 bedrooms, bathroom. It has exclusive use of a ground floor parking space (ΕΟΠ259) of 12.5 sq.m. The building has an elevator. Visiting the property is not possible.</t>
  </si>
  <si>
    <t>2, Ag. Anargyron str.</t>
  </si>
  <si>
    <t xml:space="preserve"> 37° 57' 29.64" N  23° 39' 17.53" E</t>
  </si>
  <si>
    <t>https://www.realestateonline.gr/en/akinito/33121_0-APP_18218</t>
  </si>
  <si>
    <t>https://www.spitogatos.gr/en/for_sale-homes/map-search/minliving_area-30/maxliving_area-200?latitudeLow=37.957332&amp;latitudeHigh=37.959134&amp;longitudeLow=23.653731&amp;longitudeHigh=23.656007&amp;zoom=18</t>
  </si>
  <si>
    <t>33369_0</t>
  </si>
  <si>
    <t>Apartment in kallipoli, Piraeus</t>
  </si>
  <si>
    <t>Dual aspect floor apartment - maisonette (Γ΄-Δ΄) of a total area of ​​159.25 sq.m. consisting of a third floor of an area of 91.33 sq.m. with kitchen, 2 bedrooms, bathroom, wc, storage room &amp; a fourth floor of an area of 67.92 sq.m. with living room, kitchen, wc, 1 bedroom, office. There is elevator in the building.</t>
  </si>
  <si>
    <t>92, Vironos str.</t>
  </si>
  <si>
    <t xml:space="preserve"> 37° 55' 48.00" N  23° 38' 24.00" E</t>
  </si>
  <si>
    <t>https://www.realestateonline.gr/en/akinito/33369_0-APP_17881</t>
  </si>
  <si>
    <t>https://www.spitogatos.gr/en/for_sale-homes/map-search/minliving_area-30/maxliving_area-200?latitudeLow=37.929099&amp;latitudeHigh=37.930900&amp;longitudeLow=23.638862&amp;longitudeHigh=23.641137&amp;zoom=18</t>
  </si>
  <si>
    <t>33938_0</t>
  </si>
  <si>
    <t>Apartment in Piraeus</t>
  </si>
  <si>
    <t xml:space="preserve">  Sixth floor apartment (ΣΤ2) of total area of 95,05 sq.m., on a land plot of a total area of 337,60 sq.m. The property is sold without the possibility of a visit.</t>
  </si>
  <si>
    <t>85 Salaminos Str.</t>
  </si>
  <si>
    <t xml:space="preserve"> 37° 57'  0.00" N  23° 37' 48.00" E</t>
  </si>
  <si>
    <t>https://www.realestateonline.gr/en/akinito/33938_0-APP_15424</t>
  </si>
  <si>
    <t>https://www.spitogatos.gr/en/for_sale-homes/map-search/minliving_area-30/maxliving_area-200?latitudeLow=37.949099&amp;latitudeHigh=37.950900&amp;longitudeLow=23.628862&amp;longitudeHigh=23.631137&amp;zoom=18</t>
  </si>
  <si>
    <t>34130_0</t>
  </si>
  <si>
    <t>Residence in Piraeus</t>
  </si>
  <si>
    <t>Ground floor residence of 82,25 sq.m. with auxiliary boiler room on the roof of an area of 19,04 sq.m., within a land plot of a total area of 102,82 sq.m.</t>
  </si>
  <si>
    <t>68, Kapetan Germa Str.</t>
  </si>
  <si>
    <t xml:space="preserve"> 37° 57' 39.19" N  23° 38' 20.60" E</t>
  </si>
  <si>
    <t>https://www.realestateonline.gr/en/akinito/34130_0-RES_15655</t>
  </si>
  <si>
    <t>https://www.spitogatos.gr/en/for_sale-homes/map-search/minliving_area-30/maxliving_area-200?latitudeLow=37.959985&amp;latitudeHigh=37.961787&amp;longitudeLow=23.637917&amp;longitudeHigh=23.640193&amp;zoom=18</t>
  </si>
  <si>
    <t>34340_0</t>
  </si>
  <si>
    <t>Ground floor apartment  of an area of 91,15 sq.m. on a landplot of  total area of  123,75 sq.m. with an exclusive use of uncovered area.The apartment is used, there is no possibility of visiting.</t>
  </si>
  <si>
    <t>181, Nikitara str.</t>
  </si>
  <si>
    <t xml:space="preserve"> 37° 57' 42.84" N  23° 37' 44.40" E</t>
  </si>
  <si>
    <t>https://www.realestateonline.gr/en/akinito/34340_0-APP_16858</t>
  </si>
  <si>
    <t>https://www.spitogatos.gr/en/for_sale-homes/map-search/minliving_area-30/maxliving_area-200?latitudeLow=37.960999&amp;latitudeHigh=37.962800&amp;longitudeLow=23.627862&amp;longitudeHigh=23.630137&amp;zoom=18</t>
  </si>
  <si>
    <t>34445_0</t>
  </si>
  <si>
    <t>Corner, unfinished ground floor apartment (I-1) of 65.81 sq.m. It consists of 2 bedrooms, living room, kitchen &amp; bathroom. It has access to the uncovered area of ​​the building.</t>
  </si>
  <si>
    <t>7 Keas &amp; 20 Methanon Str.</t>
  </si>
  <si>
    <t xml:space="preserve"> 37° 57' 19.08" N  23° 39' 26.28" E</t>
  </si>
  <si>
    <t>https://www.realestateonline.gr/en/akinito/34445_0-APP_17896</t>
  </si>
  <si>
    <t>https://www.spitogatos.gr/en/for_sale-homes/map-search/minliving_area-30/maxliving_area-200?latitudeLow=37.954399&amp;latitudeHigh=37.956200&amp;longitudeLow=23.656162&amp;longitudeHigh=23.658437&amp;zoom=18</t>
  </si>
  <si>
    <t>35139_2</t>
  </si>
  <si>
    <t>Apartment in Peiraiki, Piraeus</t>
  </si>
  <si>
    <t>Ground floor-semi basement apartment of an area of 110,30 sq.m. that comprises of a living room, kitchen, storage space, bathroom and 3 bedrooms. There isn't an elevator in the building.</t>
  </si>
  <si>
    <t>101 Omiridou &amp; Moutsopoulou str.</t>
  </si>
  <si>
    <t xml:space="preserve"> 37° 55' 44.29" N  23° 38' 28.12" E</t>
  </si>
  <si>
    <t>https://www.realestateonline.gr/en/akinito/35139_2-APP_18224</t>
  </si>
  <si>
    <t>https://www.spitogatos.gr/en/for_sale-homes/map-search/minliving_area-30/maxliving_area-200?latitudeLow=37.928068&amp;latitudeHigh=37.929870&amp;longitudeLow=23.640007&amp;longitudeHigh=23.642281&amp;zoom=18</t>
  </si>
  <si>
    <t>35249_1</t>
  </si>
  <si>
    <t>Residence in Palaia Penteli, Attica</t>
  </si>
  <si>
    <t>Two-storey detached house with a total area of ​​541.18 sq.m. It consists of a basement of 184.11 sq.m. with utility rooms &amp; wc, ground floor 201 sq.m. with kitchen, living room, office, dining room, 1 bedroom &amp; bathroom &amp; 1st floor with loft 156.07 sq.m. with 3 bedrooms (1 master with bathroom &amp; dressing room), kitchen and 1 additional bathroom on a landplot of 1,011.80 sq.m.</t>
  </si>
  <si>
    <t>Vasileos Pavlou &amp; 15 Kotzia str., Nea Penteli</t>
  </si>
  <si>
    <t>Penteli</t>
  </si>
  <si>
    <t xml:space="preserve"> 38°  3'  0.00" N  23° 51' 36.00" E</t>
  </si>
  <si>
    <t>https://www.realestateonline.gr/en/akinito/35249_1-RES_19596</t>
  </si>
  <si>
    <t>https://www.spitogatos.gr/en/for_sale-homes/map-search/minliving_area-30/maxliving_area-200?latitudeLow=38.049099&amp;latitudeHigh=38.050900&amp;longitudeLow=23.858860&amp;longitudeHigh=23.861139&amp;zoom=18</t>
  </si>
  <si>
    <t>32520_0</t>
  </si>
  <si>
    <t>Apartment in Perama, Attica</t>
  </si>
  <si>
    <t>First floor condo (A1) of a total area of ​​122.39 sq.m. that comprises of two apartments with 1 bedroom, living room, kitchen &amp; a bathroom each. The building does not have an elevator. It needs renovation.</t>
  </si>
  <si>
    <t>2 Thrakis str.</t>
  </si>
  <si>
    <t>Perama</t>
  </si>
  <si>
    <t xml:space="preserve"> 37° 57' 56.59" N  23° 33' 53.91" E</t>
  </si>
  <si>
    <t>https://www.realestateonline.gr/en/akinito/32520_0-APP_18056</t>
  </si>
  <si>
    <t>https://www.spitogatos.gr/en/for_sale-homes/map-search/minliving_area-30/maxliving_area-200?latitudeLow=37.964818&amp;latitudeHigh=37.966620&amp;longitudeLow=23.563837&amp;longitudeHigh=23.566113&amp;zoom=18</t>
  </si>
  <si>
    <t>35298_0</t>
  </si>
  <si>
    <t>Apartment in Peristeri, Attica</t>
  </si>
  <si>
    <t>A floor apartment (A1) 87.10 sq.m. consists of living room, dining room, kitchen, bathroom and 2 bedrooms. The property does not have an elevator and is rented until 31/10/2027 for €370/month.</t>
  </si>
  <si>
    <t>43 Kalavriton str.</t>
  </si>
  <si>
    <t>Peristeri</t>
  </si>
  <si>
    <t xml:space="preserve"> 38°  0' 21.16" N  23° 40' 54.40" E</t>
  </si>
  <si>
    <t>https://www.realestateonline.gr/en/akinito/35298_0-APP_19998</t>
  </si>
  <si>
    <t>https://www.spitogatos.gr/en/for_sale-homes/map-search/minliving_area-30/maxliving_area-200?latitudeLow=38.004976&amp;latitudeHigh=38.006778&amp;longitudeLow=23.680639&amp;longitudeHigh=23.682916&amp;zoom=18</t>
  </si>
  <si>
    <t>33085_0</t>
  </si>
  <si>
    <t>Residence in Petroupoli, Athens</t>
  </si>
  <si>
    <t xml:space="preserve"> Two-storey apartment-maisonette (Β2-Γ1) of a total  area of ​​117.05 sq.m. consists of second floor of an area of 31.94 sq.m.,  third floor of an area of 85.11 sq.m. and exclusive use of a part of the roof of an area of 57.29 sq.m., on a landplot of a total area of 168.82 sq.m.</t>
  </si>
  <si>
    <t xml:space="preserve">78A,  Alikarnassos str. </t>
  </si>
  <si>
    <t>Petroupoli</t>
  </si>
  <si>
    <t xml:space="preserve"> 38°  2' 24.00" N  23° 41' 24.00" E</t>
  </si>
  <si>
    <t>https://www.realestateonline.gr/en/akinito/33085_0-RES_17087</t>
  </si>
  <si>
    <t>https://www.spitogatos.gr/en/for_sale-homes/map-search/minliving_area-30/maxliving_area-200?latitudeLow=38.039099&amp;latitudeHigh=38.040900&amp;longitudeLow=23.688860&amp;longitudeHigh=23.691139&amp;zoom=18</t>
  </si>
  <si>
    <t>33519_1</t>
  </si>
  <si>
    <t>Residence in Ntrafi Pikermi, Attica</t>
  </si>
  <si>
    <t>Two-storey residence (2Β1) of a total area of 275.95 sq.m. on a part of a landplot of 841.66 sq.m. on a landplot of a total area of 2.557 sq.m. It comprises of a basement of 112.66 sq.m. (living room, kitchen, bathroom, 1 bedroom, storage space &amp; parking space), a ground floor of 83.95 sq.m. (living room with fireplace, kitchen, dining room &amp; wc) and a first floor of 79.34 sq.m. (bathroom, wc &amp; 3 bedrooms).</t>
  </si>
  <si>
    <t>Simonidou str.</t>
  </si>
  <si>
    <t>Rafina-Pikermi</t>
  </si>
  <si>
    <t xml:space="preserve"> 38°  2' 34.30" N  23° 54' 32.46" E</t>
  </si>
  <si>
    <t>https://www.realestateonline.gr/en/akinito/33519_1-RES_19766</t>
  </si>
  <si>
    <t>33595_0</t>
  </si>
  <si>
    <t>Residence in Lagonissi, Attica</t>
  </si>
  <si>
    <t>Corner residence-maisonette of a total area of ​​509,42 sq.m. consisting of a basement of 130,35 sq.m. with living room,2  bedrooms (1 master), bathroom, wc. Α ground floor of 130,35 sq.m. with kitchen, living room, 3 bedrooms, bathroom, wc. A first floor of 110,92 sq.m. with living room, 4 bedrooms, 2 bathrooms. A second floor of 110,92 sq.m. with living room with a fireplace, bedroom, bathroom, a roof of 26.88 sq.m. with bedroom. Situated  on a land plot of 518.83 sq.m. Offeering an unlimited view,  a swimming pool of 26.83 sq.m. in the open space of ​​the plot, as well as substructure for an elevator. Needs renovation.</t>
  </si>
  <si>
    <t>Al.Panagouli &amp; Aigaiou str.</t>
  </si>
  <si>
    <t>Saronikos</t>
  </si>
  <si>
    <t xml:space="preserve"> 37° 47' 53.10" N  23° 54' 11.60" E</t>
  </si>
  <si>
    <t>https://www.realestateonline.gr/en/akinito/33595_0-RES_18898</t>
  </si>
  <si>
    <t>35178_0</t>
  </si>
  <si>
    <t>Residences in Kouvaras</t>
  </si>
  <si>
    <t>Two Residences on a 1.455 sq.m. land plot.Residence 1 of 251 sq.m. area that consists of a 56 sq.m basement, a 127 sq.m. ground floor and a of 68 sq.m loft. With 5 bedrooms and 3 bathrooms/wc.Residence 2 of 230 sq.m area. that consists of a 46 sq.m. basement, a 154 sq.m. ground floor and a 30 sq.m. loft. With 4 bedrooms and 2 bathrooms/wc and a fireplacer.The property includes 2 storage spaces of 7 sq.m. and 9 sq.m. each, a 48 sq.m. pool &amp; 21 sq.m church. The residences have an unlimited view.</t>
  </si>
  <si>
    <t>Avlakiou 1, Grava Kouvaras</t>
  </si>
  <si>
    <t>37°50'13.2"N 23°58'47.8"E</t>
  </si>
  <si>
    <t>Ανευ Αδείας</t>
  </si>
  <si>
    <t>https://www.realestateonline.gr/en/akinito/35178_0-RES_15932</t>
  </si>
  <si>
    <t>https://www.spitogatos.gr/en/for_sale-homes/map-search/minliving_area-30/maxliving_area-200?latitudeLow=37.836099&amp;latitudeHigh=37.837900&amp;longitudeLow=23.978808&amp;longitudeHigh=23.981080&amp;zoom=18</t>
  </si>
  <si>
    <t>33724_0</t>
  </si>
  <si>
    <t>Residence in Artemida, Attica</t>
  </si>
  <si>
    <t>Residence of a total area of 254.85 sq.m. consisting of a basement of 108.67 sq.m., a ground floor of 70.04 sq.m., a first floor of 42.31 sq.m. and an attic of 33.83 sq.m. on a land plot of a total area of 166.78 sq.m.</t>
  </si>
  <si>
    <t>10, Paralias Str.</t>
  </si>
  <si>
    <t>Spata-Artemida</t>
  </si>
  <si>
    <t>37°57'26.0"N 24°00'29.9"E</t>
  </si>
  <si>
    <t>https://www.realestateonline.gr/en/akinito/33724_0-RES_17613</t>
  </si>
  <si>
    <t>https://www.spitogatos.gr/en/for_sale-homes/map-search/minliving_area-30/maxliving_area-200?latitudeLow=37.956321&amp;latitudeHigh=37.958123&amp;longitudeLow=24.007167&amp;longitudeHigh=24.009443&amp;zoom=18</t>
  </si>
  <si>
    <t>33548_0</t>
  </si>
  <si>
    <t>Residence in Fyli, Attica</t>
  </si>
  <si>
    <t>Two-storey residence of a total area of 351.21 sq.m. that comprises of a basement of 141,57 sq.m., a ground floor of 108,52 sq.m., a first floor of 93,41 sq.m. and an attic of 7,71 sq.m. on a land plot of 418,00 sq.m. Τhe property is rented until 30.09.2025 and monthly rental €678.98.</t>
  </si>
  <si>
    <t>2 Ag. Kyriakis Str.</t>
  </si>
  <si>
    <t>Fyli</t>
  </si>
  <si>
    <t xml:space="preserve"> 38°  6' 36.19" N  23° 40' 21.59" E</t>
  </si>
  <si>
    <t>https://www.realestateonline.gr/en/akinito/33548_0-RES_15182</t>
  </si>
  <si>
    <t>34282_0</t>
  </si>
  <si>
    <t>Apartment in Liosia, Attica</t>
  </si>
  <si>
    <t>Dual aspect  apartment on the  first floor(A-1) of an area of 93.67 sq.m. consisting of 2 bedrooms, bathroom, kitchen, living room &amp; exclusive use of ground floor parking space of 10.58 sq.m. The building does not have an elevator. Partially renovated in 2015.</t>
  </si>
  <si>
    <t>7 Acheron str.</t>
  </si>
  <si>
    <t xml:space="preserve"> 38°  5' 24.00" N  23° 42'  0.00" E</t>
  </si>
  <si>
    <t>https://www.realestateonline.gr/en/akinito/34282_0-APP_17910</t>
  </si>
  <si>
    <t>https://www.spitogatos.gr/en/for_sale-homes/map-search/minliving_area-30/maxliving_area-200?latitudeLow=38.089099&amp;latitudeHigh=38.090900&amp;longitudeLow=23.698860&amp;longitudeHigh=23.701139&amp;zoom=18</t>
  </si>
  <si>
    <t>34530_0</t>
  </si>
  <si>
    <t>Apartment in Ano Liosia</t>
  </si>
  <si>
    <t xml:space="preserve"> First floor apartment (Γ) of an area of 86,10 sq.m. on a land plot of an area of 250,01 sq.m.</t>
  </si>
  <si>
    <t xml:space="preserve">20, Ioanni Mavrou Str. </t>
  </si>
  <si>
    <t xml:space="preserve"> 38°  4' 40.80" N  23° 42' 23.04" E</t>
  </si>
  <si>
    <t>https://www.realestateonline.gr/en/akinito/34530_0-APP_16092</t>
  </si>
  <si>
    <t>https://www.spitogatos.gr/en/for_sale-homes/map-search/minliving_area-30/maxliving_area-200?latitudeLow=38.077099&amp;latitudeHigh=38.078900&amp;longitudeLow=23.705260&amp;longitudeHigh=23.707539&amp;zoom=18</t>
  </si>
  <si>
    <t>34811_0</t>
  </si>
  <si>
    <t>Residence in Drosoupoli, Ano Liosia Attica</t>
  </si>
  <si>
    <t>Two-storey residence of a total area of 235,57 sq.m. on a landplot of an area of 270,32 sq.m. It comprises of a ground floor of 116,37 sq.m. with a living room, kitchen, bathroom, wc &amp; 2 bedrooms, a first floor of 119,20 sq.m. with a living room, kitchen, bathroom &amp; 2 bedrooms and a ground floor parking space of 33,32 sq.m.</t>
  </si>
  <si>
    <t>54 Nestou str.</t>
  </si>
  <si>
    <t xml:space="preserve"> 38°  5' 24.00" N  23° 42' 36.00" E</t>
  </si>
  <si>
    <t>https://www.realestateonline.gr/en/akinito/34811_0-RES_19024</t>
  </si>
  <si>
    <t>https://www.spitogatos.gr/en/for_sale-homes/map-search/minliving_area-30/maxliving_area-200?latitudeLow=38.089099&amp;latitudeHigh=38.090900&amp;longitudeLow=23.708860&amp;longitudeHigh=23.711139&amp;zoom=18</t>
  </si>
  <si>
    <t>32554_0</t>
  </si>
  <si>
    <t>Apartment in Chaidari, Attica</t>
  </si>
  <si>
    <t xml:space="preserve">Bare ownership of a corner ground floor apartment (B2) of an area of 62.00 sqm consisting of living room, kitchen, 2 bedrooms and wc. Needs renovation. Awaiting the completion of alteration of owner details in the Land Registry. Until the relevant court decision, the right of bare ownership is conveyed. </t>
  </si>
  <si>
    <t>19, Eurota &amp; 37, Zefyrou str. (Block 368)</t>
  </si>
  <si>
    <t>Chaidari</t>
  </si>
  <si>
    <t xml:space="preserve"> 38°  0'  1.95" N  23° 40'  4.17" E</t>
  </si>
  <si>
    <t>https://www.realestateonline.gr/en/akinito/32554_0-APP_17377</t>
  </si>
  <si>
    <t>https://www.spitogatos.gr/en/for_sale-homes/map-search/minliving_area-30/maxliving_area-200?latitudeLow=37.999640&amp;latitudeHigh=38.001442&amp;longitudeLow=23.666686&amp;longitudeHigh=23.668963&amp;zoom=18</t>
  </si>
  <si>
    <t>35334_0</t>
  </si>
  <si>
    <t>Maisonette in Koufalia, Thessaloniki</t>
  </si>
  <si>
    <t>Maisonette (3) of a total area of ​​192.87 sq.m. consisting of a basement of 66.91 sq.m. storage space, a ground floor of 62.98 sq.m. with a kitchen, living room, living room with fireplace, wc &amp; a storage room, and a first floor of 62.98 sq.m. with 3 bedrooms &amp; a wc with a joint tenancy of 309.3/1000 on a land plot of 511.31 sq.m.</t>
  </si>
  <si>
    <t>Kotsamani str., Koufalia</t>
  </si>
  <si>
    <t>Chalkidona</t>
  </si>
  <si>
    <t xml:space="preserve"> 40° 46' 26.76" N  22° 35'  5.28" E</t>
  </si>
  <si>
    <t>https://www.realestateonline.gr/en/akinito/35334_0-RES_19999</t>
  </si>
  <si>
    <t>https://www.spitogatos.gr/en/for_sale-homes/map-search/minliving_area-30/maxliving_area-200?latitudeLow=40.773199&amp;latitudeHigh=40.775000&amp;longitudeLow=22.583615&amp;longitudeHigh=22.585984&amp;zoom=18</t>
  </si>
  <si>
    <t>70540_1</t>
  </si>
  <si>
    <t>Residence in "Mikro Monastiri", Thessaloniki</t>
  </si>
  <si>
    <t>Two-storey residence of a total area of 243,51 sq.m. that comprises of a ground floor of 145,63 sq.m. a first floor of 79,60 sq.m. and a mezzanine floor of 18,28 sq.m. on a land plot of 829,00 sq.m.</t>
  </si>
  <si>
    <t>Makedonomachon</t>
  </si>
  <si>
    <t xml:space="preserve"> 40° 42' 14.36" N  22° 32' 26.15" E</t>
  </si>
  <si>
    <t>https://www.realestateonline.gr/en/akinito/70540_1-RES_11785</t>
  </si>
  <si>
    <t>33810_0</t>
  </si>
  <si>
    <t>Residence in Liti, Thessaloniki</t>
  </si>
  <si>
    <t>Residence of a total area of 525,42 sq.m. on a landplot of an area of 1.083,54 sq.m. It comprises of a basement of an area of 293,87 sq.m. (2 storage spaces, 1 boiler-room), a ground floor of an area of 197,94 sq.m. (living room, kitchen, 3 bathrooms &amp; 3 bedrooms) and a first floor of an area of 33,61 sq.m. (1 main room).</t>
  </si>
  <si>
    <t>Pavlou Mpakogianni &amp; Charilaou Trikoupi</t>
  </si>
  <si>
    <t>Oraiokastro</t>
  </si>
  <si>
    <t xml:space="preserve"> 40° 44' 21.20" N  22° 58' 54.99" E</t>
  </si>
  <si>
    <t>https://www.realestateonline.gr/en/akinito/33810_0-RES_18909</t>
  </si>
  <si>
    <t>https://www.spitogatos.gr/en/for_sale-homes/map-search/minliving_area-30/maxliving_area-200?latitudeLow=40.738321&amp;latitudeHigh=40.740122&amp;longitudeLow=22.980757&amp;longitudeHigh=22.983125&amp;zoom=18</t>
  </si>
  <si>
    <t>35258_1</t>
  </si>
  <si>
    <t>Residence in Melissochori, Thessaloniki</t>
  </si>
  <si>
    <t>Two-storey residence of a total area of 208.84 sq.m. on a land plot (8) of a total area of 251.19 sq.m. It comprises of a ground floor of an area of 108.62 sq.m. and a first floor of an area of 100.22 sq.m.  with 2 living rooms, kitchen, bathroom &amp; 2 bedrooms each floor. Needs renovation.</t>
  </si>
  <si>
    <t>29, Germanou Karavaggeli str.</t>
  </si>
  <si>
    <t xml:space="preserve"> 40° 46'  1.92" N  22° 55' 31.80" E</t>
  </si>
  <si>
    <t>https://www.realestateonline.gr/en/akinito/35258_1-RES_19470</t>
  </si>
  <si>
    <t>https://www.spitogatos.gr/en/for_sale-homes/map-search/minliving_area-30/maxliving_area-200?latitudeLow=40.766299&amp;latitudeHigh=40.768100&amp;longitudeLow=22.924315&amp;longitudeHigh=22.926684&amp;zoom=18</t>
  </si>
  <si>
    <t>35011_0</t>
  </si>
  <si>
    <t>Residence in Polydendri, Attica</t>
  </si>
  <si>
    <t>Ground floor residence of an area of 125,76 sq.m. with a warehouse of 8,50 sq.m. on a land plot of an area of 902,72 sq.m. The residence consists of a living-dining room with a fireplace, kitchen, bathroom, wc &amp; 3 bedrooms.</t>
  </si>
  <si>
    <t>Andrea Miaouli str., location Leimazi</t>
  </si>
  <si>
    <t>Oropos</t>
  </si>
  <si>
    <t xml:space="preserve"> 38° 12' 50.52" N  23° 52'  9.07" E</t>
  </si>
  <si>
    <t>https://www.realestateonline.gr/en/akinito/35011_0-RES_18652</t>
  </si>
  <si>
    <t>https://www.spitogatos.gr/en/for_sale-homes/map-search/minliving_area-30/maxliving_area-200?latitudeLow=38.213132&amp;latitudeHigh=38.214934&amp;longitudeLow=23.868044&amp;longitudeHigh=23.870327&amp;zoom=18</t>
  </si>
  <si>
    <t>34944_1</t>
  </si>
  <si>
    <t>Maisonette in Kareas Vyronas, Attica</t>
  </si>
  <si>
    <t>Two-storey maisonette (Γ3-Δ3) of an area of 155.08 sq.m. on a landplot of an area of 1094.80 sq.m. It comprises of a third floor of 60.32 sq.m. with 2 bedrooms and a bathroom, a fourth floor of 94.76 sq.m. with a living room, kitchen, 1 bedroom and a bathroom, an underground storage space (Υ-1) of 14 sq.m.,  an exclusive use of a flatroof storage space (ΑΔ3) of 3.79 sq.m. and an exclusive use of a balcony of 60 sq.m. There is an elevator in the building.</t>
  </si>
  <si>
    <t>4, Oulof Palme str.</t>
  </si>
  <si>
    <t>90016_0</t>
  </si>
  <si>
    <t xml:space="preserve"> Preserved building in Thessaloniki</t>
  </si>
  <si>
    <t>Two-storey preserved building with a total area of ​​713.29 sq.m. within a land plot of 1019.87 sq.m.It consists of a ground floor of 351.34 sq.m. and first floor 331.95 sq.m. The property is classified as a work of art and needs total restoration in order to become functional.</t>
  </si>
  <si>
    <t>144 Vas. Olgas Ave. &amp; 25 Gravias Str.</t>
  </si>
  <si>
    <t>https://www.realestateonline.gr/en/akinito/90016_0-RES_15712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</si>
</sst>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amily val="2"/>
    </font>
  </fonts>
  <fills count="3">
    <fill>
      <patternFill patternType="none"/>
    </fill>
    <fill>
      <patternFill patternType="gray125"/>
    </fill>
    <fill>
      <patternFill patternType="solid">
        <fgColor theme="2"/>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bottom/>
      <diagonal/>
    </border>
  </borders>
  <cellStyleXfs count="1">
    <xf numFmtId="0" fontId="0" fillId="0" borderId="0"/>
  </cellStyleXfs>
  <cellXfs count="3">
    <xf numFmtId="0" fontId="0" fillId="0" borderId="0" xfId="0"/>
    <xf numFmtId="0" fontId="1" fillId="0" borderId="1" xfId="0" applyFont="1" applyBorder="1" applyAlignment="1">
      <alignment horizontal="center" vertical="top"/>
    </xf>
    <xf numFmtId="0" fontId="0" fillId="2" borderId="2" xfId="0" applyFill="1"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153"/>
  <sheetViews>
    <sheetView tabSelected="1" topLeftCell="L131" workbookViewId="0">
      <selection activeCell="M154" sqref="M154"/>
    </sheetView>
  </sheetViews>
  <sheetFormatPr defaultRowHeight="14.4" x14ac:dyDescent="0.3"/>
  <cols>
    <col min="2" max="2" width="10.44140625" customWidth="1"/>
    <col min="3" max="3" width="31.5546875" customWidth="1"/>
    <col min="13" max="13" width="55.33203125" bestFit="1" customWidth="1"/>
    <col min="14" max="14" width="4.33203125" bestFit="1" customWidth="1"/>
    <col min="15" max="15" width="9.5546875" bestFit="1" customWidth="1"/>
    <col min="16" max="16" width="18.77734375" bestFit="1" customWidth="1"/>
    <col min="17" max="17" width="18.44140625" bestFit="1" customWidth="1"/>
    <col min="18" max="18" width="7" bestFit="1" customWidth="1"/>
    <col min="19" max="19" width="10.44140625" customWidth="1"/>
  </cols>
  <sheetData>
    <row r="1" spans="1:22" x14ac:dyDescent="0.3">
      <c r="A1" s="1" t="s">
        <v>0</v>
      </c>
      <c r="B1" s="1" t="s">
        <v>1</v>
      </c>
      <c r="C1" s="1" t="s">
        <v>2</v>
      </c>
      <c r="D1" s="1" t="s">
        <v>3</v>
      </c>
      <c r="E1" s="1" t="s">
        <v>4</v>
      </c>
      <c r="F1" s="1" t="s">
        <v>5</v>
      </c>
      <c r="G1" s="1" t="s">
        <v>6</v>
      </c>
      <c r="H1" s="1" t="s">
        <v>7</v>
      </c>
      <c r="I1" s="1" t="s">
        <v>8</v>
      </c>
      <c r="J1" s="1" t="s">
        <v>9</v>
      </c>
      <c r="K1" s="1" t="s">
        <v>10</v>
      </c>
      <c r="L1" s="1" t="s">
        <v>11</v>
      </c>
      <c r="M1" s="1" t="s">
        <v>12</v>
      </c>
      <c r="N1" s="2" t="s">
        <v>13</v>
      </c>
      <c r="O1" s="1" t="s">
        <v>14</v>
      </c>
      <c r="P1" s="1" t="s">
        <v>15</v>
      </c>
      <c r="Q1" s="1" t="s">
        <v>16</v>
      </c>
      <c r="R1" s="1" t="s">
        <v>17</v>
      </c>
      <c r="S1" s="1" t="s">
        <v>18</v>
      </c>
      <c r="T1" s="1" t="s">
        <v>19</v>
      </c>
      <c r="U1" s="1" t="s">
        <v>20</v>
      </c>
      <c r="V1" s="1" t="s">
        <v>21</v>
      </c>
    </row>
    <row r="2" spans="1:22" x14ac:dyDescent="0.3">
      <c r="A2" t="s">
        <v>22</v>
      </c>
      <c r="B2" t="s">
        <v>23</v>
      </c>
      <c r="C2" t="s">
        <v>24</v>
      </c>
      <c r="D2" t="s">
        <v>25</v>
      </c>
      <c r="E2" t="s">
        <v>26</v>
      </c>
      <c r="F2">
        <v>12351</v>
      </c>
      <c r="G2" t="s">
        <v>27</v>
      </c>
      <c r="H2" t="s">
        <v>28</v>
      </c>
      <c r="I2" t="s">
        <v>29</v>
      </c>
      <c r="J2" t="s">
        <v>30</v>
      </c>
      <c r="K2">
        <v>1993</v>
      </c>
      <c r="L2">
        <v>142000</v>
      </c>
      <c r="M2" t="s">
        <v>31</v>
      </c>
      <c r="N2">
        <v>144</v>
      </c>
      <c r="O2">
        <f>L2/N2</f>
        <v>986.11111111111109</v>
      </c>
      <c r="P2">
        <v>1732.746385496336</v>
      </c>
      <c r="Q2">
        <v>2000</v>
      </c>
      <c r="R2">
        <v>13</v>
      </c>
      <c r="S2" t="s">
        <v>32</v>
      </c>
      <c r="T2">
        <v>100</v>
      </c>
      <c r="U2">
        <v>484.11497479278239</v>
      </c>
      <c r="V2">
        <f>(O2-P2)/U2</f>
        <v>-1.5422684966619966</v>
      </c>
    </row>
    <row r="3" spans="1:22" x14ac:dyDescent="0.3">
      <c r="A3" t="s">
        <v>33</v>
      </c>
      <c r="B3" t="s">
        <v>34</v>
      </c>
      <c r="C3" t="s">
        <v>35</v>
      </c>
      <c r="D3" t="s">
        <v>36</v>
      </c>
      <c r="E3" t="s">
        <v>37</v>
      </c>
      <c r="F3">
        <v>15343</v>
      </c>
      <c r="G3" t="s">
        <v>27</v>
      </c>
      <c r="H3" t="s">
        <v>38</v>
      </c>
      <c r="I3" t="s">
        <v>39</v>
      </c>
      <c r="J3" t="s">
        <v>40</v>
      </c>
      <c r="K3">
        <v>1979</v>
      </c>
      <c r="L3">
        <v>178000</v>
      </c>
      <c r="M3" t="s">
        <v>41</v>
      </c>
      <c r="N3">
        <v>114</v>
      </c>
      <c r="O3">
        <f t="shared" ref="O3:O66" si="0">L3/N3</f>
        <v>1561.4035087719299</v>
      </c>
      <c r="P3">
        <v>2472.5720009515971</v>
      </c>
      <c r="Q3">
        <v>2150</v>
      </c>
      <c r="R3">
        <v>8</v>
      </c>
      <c r="S3" t="s">
        <v>42</v>
      </c>
      <c r="T3">
        <v>100</v>
      </c>
      <c r="U3">
        <v>1030.419079592192</v>
      </c>
      <c r="V3">
        <f t="shared" ref="V3:V49" si="1">(O3-P3)/U3</f>
        <v>-0.88426981819890171</v>
      </c>
    </row>
    <row r="4" spans="1:22" x14ac:dyDescent="0.3">
      <c r="A4" t="s">
        <v>43</v>
      </c>
      <c r="B4" t="s">
        <v>34</v>
      </c>
      <c r="C4" t="s">
        <v>44</v>
      </c>
      <c r="D4" t="s">
        <v>45</v>
      </c>
      <c r="E4" t="s">
        <v>46</v>
      </c>
      <c r="F4">
        <v>11254</v>
      </c>
      <c r="G4" t="s">
        <v>27</v>
      </c>
      <c r="H4" t="s">
        <v>47</v>
      </c>
      <c r="I4" t="s">
        <v>48</v>
      </c>
      <c r="J4" t="s">
        <v>49</v>
      </c>
      <c r="K4">
        <v>2005</v>
      </c>
      <c r="L4">
        <v>185000</v>
      </c>
      <c r="M4" t="s">
        <v>50</v>
      </c>
      <c r="N4">
        <v>95</v>
      </c>
      <c r="O4">
        <f t="shared" si="0"/>
        <v>1947.3684210526317</v>
      </c>
      <c r="P4">
        <v>2237.3361538484241</v>
      </c>
      <c r="Q4">
        <v>2000</v>
      </c>
      <c r="R4">
        <v>30</v>
      </c>
      <c r="S4" t="s">
        <v>51</v>
      </c>
      <c r="T4">
        <v>100</v>
      </c>
      <c r="U4">
        <v>706.16671823165029</v>
      </c>
      <c r="V4">
        <f t="shared" si="1"/>
        <v>-0.41062220196657828</v>
      </c>
    </row>
    <row r="5" spans="1:22" x14ac:dyDescent="0.3">
      <c r="A5" t="s">
        <v>52</v>
      </c>
      <c r="B5" t="s">
        <v>34</v>
      </c>
      <c r="C5" t="s">
        <v>53</v>
      </c>
      <c r="D5" t="s">
        <v>54</v>
      </c>
      <c r="E5" t="s">
        <v>55</v>
      </c>
      <c r="F5">
        <v>10446</v>
      </c>
      <c r="G5" t="s">
        <v>27</v>
      </c>
      <c r="H5" t="s">
        <v>47</v>
      </c>
      <c r="I5" t="s">
        <v>48</v>
      </c>
      <c r="J5" t="s">
        <v>56</v>
      </c>
      <c r="K5">
        <v>2003</v>
      </c>
      <c r="L5">
        <v>148000</v>
      </c>
      <c r="M5" t="s">
        <v>57</v>
      </c>
      <c r="N5">
        <v>77</v>
      </c>
      <c r="O5">
        <f t="shared" si="0"/>
        <v>1922.077922077922</v>
      </c>
      <c r="P5">
        <v>2327.5024008230662</v>
      </c>
      <c r="Q5">
        <v>2461.8725868725869</v>
      </c>
      <c r="R5">
        <v>30</v>
      </c>
      <c r="S5" t="s">
        <v>58</v>
      </c>
      <c r="T5">
        <v>100</v>
      </c>
      <c r="U5">
        <v>582.42522968013122</v>
      </c>
      <c r="V5">
        <f t="shared" si="1"/>
        <v>-0.69609704058974897</v>
      </c>
    </row>
    <row r="6" spans="1:22" x14ac:dyDescent="0.3">
      <c r="A6" t="s">
        <v>59</v>
      </c>
      <c r="B6" t="s">
        <v>34</v>
      </c>
      <c r="C6" t="s">
        <v>60</v>
      </c>
      <c r="D6" t="s">
        <v>61</v>
      </c>
      <c r="E6" t="s">
        <v>62</v>
      </c>
      <c r="F6">
        <v>11524</v>
      </c>
      <c r="G6" t="s">
        <v>27</v>
      </c>
      <c r="H6" t="s">
        <v>47</v>
      </c>
      <c r="I6" t="s">
        <v>48</v>
      </c>
      <c r="J6" t="s">
        <v>63</v>
      </c>
      <c r="K6">
        <v>2009</v>
      </c>
      <c r="L6">
        <v>244000</v>
      </c>
      <c r="M6" t="s">
        <v>64</v>
      </c>
      <c r="N6">
        <v>84</v>
      </c>
      <c r="O6">
        <f t="shared" si="0"/>
        <v>2904.7619047619046</v>
      </c>
      <c r="P6">
        <v>2851.3280223833508</v>
      </c>
      <c r="Q6">
        <v>2951.807228915663</v>
      </c>
      <c r="R6">
        <v>30</v>
      </c>
      <c r="S6" t="s">
        <v>65</v>
      </c>
      <c r="T6">
        <v>100</v>
      </c>
      <c r="U6">
        <v>465.28022026047131</v>
      </c>
      <c r="V6">
        <f t="shared" si="1"/>
        <v>0.11484236821552536</v>
      </c>
    </row>
    <row r="7" spans="1:22" x14ac:dyDescent="0.3">
      <c r="A7" t="s">
        <v>66</v>
      </c>
      <c r="B7" t="s">
        <v>34</v>
      </c>
      <c r="C7" t="s">
        <v>60</v>
      </c>
      <c r="D7" t="s">
        <v>67</v>
      </c>
      <c r="E7" t="s">
        <v>62</v>
      </c>
      <c r="F7">
        <v>11524</v>
      </c>
      <c r="G7" t="s">
        <v>27</v>
      </c>
      <c r="H7" t="s">
        <v>47</v>
      </c>
      <c r="I7" t="s">
        <v>48</v>
      </c>
      <c r="J7" t="s">
        <v>63</v>
      </c>
      <c r="K7">
        <v>2009</v>
      </c>
      <c r="L7">
        <v>253000</v>
      </c>
      <c r="M7" t="s">
        <v>68</v>
      </c>
      <c r="N7">
        <v>82</v>
      </c>
      <c r="O7">
        <f t="shared" si="0"/>
        <v>3085.3658536585367</v>
      </c>
      <c r="P7">
        <v>2851.3280223833508</v>
      </c>
      <c r="Q7">
        <v>2951.807228915663</v>
      </c>
      <c r="R7">
        <v>30</v>
      </c>
      <c r="S7" t="s">
        <v>65</v>
      </c>
      <c r="T7">
        <v>100</v>
      </c>
      <c r="U7">
        <v>465.28022026047131</v>
      </c>
      <c r="V7">
        <f t="shared" si="1"/>
        <v>0.50300404161640011</v>
      </c>
    </row>
    <row r="8" spans="1:22" x14ac:dyDescent="0.3">
      <c r="A8" t="s">
        <v>69</v>
      </c>
      <c r="B8" t="s">
        <v>34</v>
      </c>
      <c r="C8" t="s">
        <v>60</v>
      </c>
      <c r="D8" t="s">
        <v>70</v>
      </c>
      <c r="E8" t="s">
        <v>62</v>
      </c>
      <c r="F8">
        <v>11524</v>
      </c>
      <c r="G8" t="s">
        <v>27</v>
      </c>
      <c r="H8" t="s">
        <v>47</v>
      </c>
      <c r="I8" t="s">
        <v>48</v>
      </c>
      <c r="J8" t="s">
        <v>63</v>
      </c>
      <c r="K8">
        <v>2009</v>
      </c>
      <c r="L8">
        <v>245000</v>
      </c>
      <c r="M8" t="s">
        <v>71</v>
      </c>
      <c r="N8">
        <v>82</v>
      </c>
      <c r="O8">
        <f t="shared" si="0"/>
        <v>2987.8048780487807</v>
      </c>
      <c r="P8">
        <v>2851.3280223833508</v>
      </c>
      <c r="Q8">
        <v>2951.807228915663</v>
      </c>
      <c r="R8">
        <v>30</v>
      </c>
      <c r="S8" t="s">
        <v>65</v>
      </c>
      <c r="T8">
        <v>100</v>
      </c>
      <c r="U8">
        <v>465.28022026047131</v>
      </c>
      <c r="V8">
        <f t="shared" si="1"/>
        <v>0.29332185148345213</v>
      </c>
    </row>
    <row r="9" spans="1:22" x14ac:dyDescent="0.3">
      <c r="A9" t="s">
        <v>72</v>
      </c>
      <c r="B9" t="s">
        <v>34</v>
      </c>
      <c r="C9" t="s">
        <v>73</v>
      </c>
      <c r="D9" t="s">
        <v>74</v>
      </c>
      <c r="E9" t="s">
        <v>75</v>
      </c>
      <c r="F9">
        <v>11145</v>
      </c>
      <c r="G9" t="s">
        <v>27</v>
      </c>
      <c r="H9" t="s">
        <v>47</v>
      </c>
      <c r="I9" t="s">
        <v>48</v>
      </c>
      <c r="J9" t="s">
        <v>76</v>
      </c>
      <c r="K9">
        <v>1989</v>
      </c>
      <c r="L9">
        <v>190000</v>
      </c>
      <c r="M9" t="s">
        <v>77</v>
      </c>
      <c r="N9">
        <v>138</v>
      </c>
      <c r="O9">
        <f t="shared" si="0"/>
        <v>1376.8115942028985</v>
      </c>
      <c r="P9">
        <v>2333.6970654335369</v>
      </c>
      <c r="Q9">
        <v>2266.666666666667</v>
      </c>
      <c r="R9">
        <v>7</v>
      </c>
      <c r="S9" t="s">
        <v>78</v>
      </c>
      <c r="T9">
        <v>100</v>
      </c>
      <c r="U9">
        <v>210.0494220816997</v>
      </c>
      <c r="V9">
        <f t="shared" si="1"/>
        <v>-4.5555253699220044</v>
      </c>
    </row>
    <row r="10" spans="1:22" x14ac:dyDescent="0.3">
      <c r="A10" t="s">
        <v>79</v>
      </c>
      <c r="B10" t="s">
        <v>34</v>
      </c>
      <c r="C10" t="s">
        <v>80</v>
      </c>
      <c r="D10" t="s">
        <v>81</v>
      </c>
      <c r="E10" t="s">
        <v>82</v>
      </c>
      <c r="F10">
        <v>10440</v>
      </c>
      <c r="G10" t="s">
        <v>27</v>
      </c>
      <c r="H10" t="s">
        <v>47</v>
      </c>
      <c r="I10" t="s">
        <v>48</v>
      </c>
      <c r="J10" t="s">
        <v>83</v>
      </c>
      <c r="K10">
        <v>2007</v>
      </c>
      <c r="L10">
        <v>161000</v>
      </c>
      <c r="M10" t="s">
        <v>84</v>
      </c>
      <c r="N10">
        <v>68</v>
      </c>
      <c r="O10">
        <f t="shared" si="0"/>
        <v>2367.6470588235293</v>
      </c>
      <c r="P10">
        <v>1972.6342096053579</v>
      </c>
      <c r="Q10">
        <v>1753.3783783783781</v>
      </c>
      <c r="R10">
        <v>30</v>
      </c>
      <c r="S10" t="s">
        <v>85</v>
      </c>
      <c r="T10">
        <v>100</v>
      </c>
      <c r="U10">
        <v>767.81594400306108</v>
      </c>
      <c r="V10">
        <f t="shared" si="1"/>
        <v>0.51446294167680962</v>
      </c>
    </row>
    <row r="11" spans="1:22" x14ac:dyDescent="0.3">
      <c r="A11" t="s">
        <v>86</v>
      </c>
      <c r="B11" t="s">
        <v>34</v>
      </c>
      <c r="C11" t="s">
        <v>87</v>
      </c>
      <c r="D11" t="s">
        <v>88</v>
      </c>
      <c r="E11" t="s">
        <v>89</v>
      </c>
      <c r="F11">
        <v>10443</v>
      </c>
      <c r="G11" t="s">
        <v>27</v>
      </c>
      <c r="H11" t="s">
        <v>47</v>
      </c>
      <c r="I11" t="s">
        <v>48</v>
      </c>
      <c r="J11" t="s">
        <v>90</v>
      </c>
      <c r="K11">
        <v>2008</v>
      </c>
      <c r="L11">
        <v>1020000</v>
      </c>
      <c r="M11" t="s">
        <v>91</v>
      </c>
      <c r="N11">
        <v>782</v>
      </c>
      <c r="O11">
        <f t="shared" si="0"/>
        <v>1304.3478260869565</v>
      </c>
      <c r="P11">
        <v>1835.383863905437</v>
      </c>
      <c r="Q11">
        <v>1792.4528301886789</v>
      </c>
      <c r="R11">
        <v>5</v>
      </c>
      <c r="S11" t="s">
        <v>92</v>
      </c>
      <c r="T11">
        <v>100</v>
      </c>
      <c r="U11">
        <v>628.24341337034275</v>
      </c>
      <c r="V11">
        <f t="shared" si="1"/>
        <v>-0.84527115846647238</v>
      </c>
    </row>
    <row r="12" spans="1:22" x14ac:dyDescent="0.3">
      <c r="A12" t="s">
        <v>93</v>
      </c>
      <c r="B12" t="s">
        <v>23</v>
      </c>
      <c r="C12" t="s">
        <v>94</v>
      </c>
      <c r="D12" t="s">
        <v>95</v>
      </c>
      <c r="E12" t="s">
        <v>96</v>
      </c>
      <c r="F12">
        <v>10446</v>
      </c>
      <c r="G12" t="s">
        <v>27</v>
      </c>
      <c r="H12" t="s">
        <v>47</v>
      </c>
      <c r="I12" t="s">
        <v>48</v>
      </c>
      <c r="J12" t="s">
        <v>97</v>
      </c>
      <c r="K12">
        <v>1933</v>
      </c>
      <c r="L12">
        <v>190000</v>
      </c>
      <c r="M12" t="s">
        <v>98</v>
      </c>
      <c r="N12">
        <v>310</v>
      </c>
      <c r="O12">
        <f t="shared" si="0"/>
        <v>612.90322580645159</v>
      </c>
      <c r="P12">
        <v>1848.855666329112</v>
      </c>
      <c r="Q12">
        <v>1832.8267477203649</v>
      </c>
      <c r="R12">
        <v>30</v>
      </c>
      <c r="S12" t="s">
        <v>99</v>
      </c>
      <c r="T12">
        <v>100</v>
      </c>
      <c r="U12">
        <v>446.61219316096998</v>
      </c>
      <c r="V12">
        <f t="shared" si="1"/>
        <v>-2.7673952020320072</v>
      </c>
    </row>
    <row r="13" spans="1:22" x14ac:dyDescent="0.3">
      <c r="A13" t="s">
        <v>100</v>
      </c>
      <c r="B13" t="s">
        <v>34</v>
      </c>
      <c r="C13" t="s">
        <v>101</v>
      </c>
      <c r="D13" t="s">
        <v>102</v>
      </c>
      <c r="E13" t="s">
        <v>103</v>
      </c>
      <c r="F13">
        <v>10444</v>
      </c>
      <c r="G13" t="s">
        <v>27</v>
      </c>
      <c r="H13" t="s">
        <v>47</v>
      </c>
      <c r="I13" t="s">
        <v>48</v>
      </c>
      <c r="J13" t="s">
        <v>104</v>
      </c>
      <c r="K13">
        <v>2007</v>
      </c>
      <c r="L13">
        <v>233000</v>
      </c>
      <c r="M13" t="s">
        <v>105</v>
      </c>
      <c r="N13">
        <v>180</v>
      </c>
      <c r="O13">
        <f t="shared" si="0"/>
        <v>1294.4444444444443</v>
      </c>
      <c r="P13">
        <v>2091.8309994230108</v>
      </c>
      <c r="Q13">
        <v>1778.409090909091</v>
      </c>
      <c r="R13">
        <v>30</v>
      </c>
      <c r="S13" t="s">
        <v>106</v>
      </c>
      <c r="T13">
        <v>100</v>
      </c>
      <c r="U13">
        <v>874.4106113110164</v>
      </c>
      <c r="V13">
        <f t="shared" si="1"/>
        <v>-0.91191317290058194</v>
      </c>
    </row>
    <row r="14" spans="1:22" x14ac:dyDescent="0.3">
      <c r="A14" t="s">
        <v>107</v>
      </c>
      <c r="B14" t="s">
        <v>34</v>
      </c>
      <c r="C14" t="s">
        <v>108</v>
      </c>
      <c r="D14" t="s">
        <v>109</v>
      </c>
      <c r="E14" t="s">
        <v>110</v>
      </c>
      <c r="F14">
        <v>11741</v>
      </c>
      <c r="G14" t="s">
        <v>27</v>
      </c>
      <c r="H14" t="s">
        <v>47</v>
      </c>
      <c r="I14" t="s">
        <v>48</v>
      </c>
      <c r="J14" t="s">
        <v>111</v>
      </c>
      <c r="K14">
        <v>1969</v>
      </c>
      <c r="L14">
        <v>550000</v>
      </c>
      <c r="M14" t="s">
        <v>112</v>
      </c>
      <c r="N14">
        <v>180</v>
      </c>
      <c r="O14">
        <f t="shared" si="0"/>
        <v>3055.5555555555557</v>
      </c>
      <c r="P14">
        <v>3536.6455418322989</v>
      </c>
      <c r="Q14">
        <v>3333.333333333333</v>
      </c>
      <c r="R14">
        <v>30</v>
      </c>
      <c r="S14" t="s">
        <v>113</v>
      </c>
      <c r="T14">
        <v>100</v>
      </c>
      <c r="U14">
        <v>772.51977866206346</v>
      </c>
      <c r="V14">
        <f t="shared" si="1"/>
        <v>-0.62275426411728763</v>
      </c>
    </row>
    <row r="15" spans="1:22" x14ac:dyDescent="0.3">
      <c r="A15" t="s">
        <v>114</v>
      </c>
      <c r="B15" t="s">
        <v>34</v>
      </c>
      <c r="C15" t="s">
        <v>115</v>
      </c>
      <c r="D15" t="s">
        <v>116</v>
      </c>
      <c r="E15" t="s">
        <v>117</v>
      </c>
      <c r="F15">
        <v>10432</v>
      </c>
      <c r="G15" t="s">
        <v>27</v>
      </c>
      <c r="H15" t="s">
        <v>47</v>
      </c>
      <c r="I15" t="s">
        <v>48</v>
      </c>
      <c r="J15" t="s">
        <v>118</v>
      </c>
      <c r="K15">
        <v>1961</v>
      </c>
      <c r="L15">
        <v>165000</v>
      </c>
      <c r="M15" t="s">
        <v>119</v>
      </c>
      <c r="N15">
        <v>108</v>
      </c>
      <c r="O15">
        <f t="shared" si="0"/>
        <v>1527.7777777777778</v>
      </c>
      <c r="P15">
        <v>2130.735594035174</v>
      </c>
      <c r="Q15">
        <v>1726.1904761904759</v>
      </c>
      <c r="R15">
        <v>30</v>
      </c>
      <c r="S15" t="s">
        <v>120</v>
      </c>
      <c r="T15">
        <v>100</v>
      </c>
      <c r="U15">
        <v>1043.3099296275691</v>
      </c>
      <c r="V15">
        <f t="shared" si="1"/>
        <v>-0.5779278037472857</v>
      </c>
    </row>
    <row r="16" spans="1:22" x14ac:dyDescent="0.3">
      <c r="A16" t="s">
        <v>121</v>
      </c>
      <c r="B16" t="s">
        <v>34</v>
      </c>
      <c r="C16" t="s">
        <v>122</v>
      </c>
      <c r="D16" t="s">
        <v>123</v>
      </c>
      <c r="E16" t="s">
        <v>124</v>
      </c>
      <c r="F16">
        <v>10446</v>
      </c>
      <c r="G16" t="s">
        <v>27</v>
      </c>
      <c r="H16" t="s">
        <v>47</v>
      </c>
      <c r="I16" t="s">
        <v>48</v>
      </c>
      <c r="J16" t="s">
        <v>125</v>
      </c>
      <c r="K16">
        <v>1955</v>
      </c>
      <c r="L16">
        <v>71000</v>
      </c>
      <c r="M16" t="s">
        <v>126</v>
      </c>
      <c r="N16">
        <v>89</v>
      </c>
      <c r="O16">
        <f t="shared" si="0"/>
        <v>797.75280898876406</v>
      </c>
      <c r="P16">
        <v>1717.9765206149391</v>
      </c>
      <c r="Q16">
        <v>1688.259109311741</v>
      </c>
      <c r="R16">
        <v>30</v>
      </c>
      <c r="S16" t="s">
        <v>127</v>
      </c>
      <c r="T16">
        <v>100</v>
      </c>
      <c r="U16">
        <v>390.17243479218217</v>
      </c>
      <c r="V16">
        <f t="shared" si="1"/>
        <v>-2.3585051878826717</v>
      </c>
    </row>
    <row r="17" spans="1:22" x14ac:dyDescent="0.3">
      <c r="A17" t="s">
        <v>128</v>
      </c>
      <c r="B17" t="s">
        <v>34</v>
      </c>
      <c r="C17" t="s">
        <v>129</v>
      </c>
      <c r="D17" t="s">
        <v>130</v>
      </c>
      <c r="E17" t="s">
        <v>131</v>
      </c>
      <c r="F17">
        <v>11144</v>
      </c>
      <c r="G17" t="s">
        <v>27</v>
      </c>
      <c r="H17" t="s">
        <v>47</v>
      </c>
      <c r="I17" t="s">
        <v>48</v>
      </c>
      <c r="J17" t="s">
        <v>132</v>
      </c>
      <c r="K17">
        <v>1964</v>
      </c>
      <c r="L17">
        <v>60000</v>
      </c>
      <c r="M17" t="s">
        <v>133</v>
      </c>
      <c r="N17">
        <v>1</v>
      </c>
      <c r="O17">
        <f t="shared" si="0"/>
        <v>60000</v>
      </c>
      <c r="P17">
        <v>1634.0287538562011</v>
      </c>
      <c r="Q17">
        <v>1597.7798771846949</v>
      </c>
      <c r="R17">
        <v>30</v>
      </c>
      <c r="S17" t="s">
        <v>134</v>
      </c>
      <c r="T17">
        <v>100</v>
      </c>
      <c r="U17">
        <v>471.95749802873041</v>
      </c>
      <c r="V17">
        <f t="shared" si="1"/>
        <v>123.66785460539663</v>
      </c>
    </row>
    <row r="18" spans="1:22" x14ac:dyDescent="0.3">
      <c r="A18" t="s">
        <v>135</v>
      </c>
      <c r="B18" t="s">
        <v>34</v>
      </c>
      <c r="C18" t="s">
        <v>136</v>
      </c>
      <c r="D18" t="s">
        <v>137</v>
      </c>
      <c r="E18" t="s">
        <v>138</v>
      </c>
      <c r="F18">
        <v>74100</v>
      </c>
      <c r="G18" t="s">
        <v>27</v>
      </c>
      <c r="H18" t="s">
        <v>47</v>
      </c>
      <c r="I18" t="s">
        <v>48</v>
      </c>
      <c r="J18" t="s">
        <v>139</v>
      </c>
      <c r="K18">
        <v>1973</v>
      </c>
      <c r="L18">
        <v>69000</v>
      </c>
      <c r="N18">
        <v>57</v>
      </c>
      <c r="O18">
        <f t="shared" si="0"/>
        <v>1210.5263157894738</v>
      </c>
      <c r="P18">
        <v>2448.9568027504238</v>
      </c>
      <c r="Q18">
        <v>2583.333333333333</v>
      </c>
      <c r="R18">
        <v>30</v>
      </c>
      <c r="S18" t="s">
        <v>140</v>
      </c>
      <c r="T18">
        <v>100</v>
      </c>
      <c r="U18">
        <v>705.23028198793361</v>
      </c>
      <c r="V18">
        <f t="shared" si="1"/>
        <v>-1.7560653854369506</v>
      </c>
    </row>
    <row r="19" spans="1:22" x14ac:dyDescent="0.3">
      <c r="A19" t="s">
        <v>141</v>
      </c>
      <c r="B19" t="s">
        <v>34</v>
      </c>
      <c r="C19" t="s">
        <v>142</v>
      </c>
      <c r="D19" t="s">
        <v>143</v>
      </c>
      <c r="E19" t="s">
        <v>144</v>
      </c>
      <c r="F19">
        <v>11527</v>
      </c>
      <c r="G19" t="s">
        <v>27</v>
      </c>
      <c r="H19" t="s">
        <v>47</v>
      </c>
      <c r="I19" t="s">
        <v>48</v>
      </c>
      <c r="J19" t="s">
        <v>145</v>
      </c>
      <c r="K19">
        <v>1963</v>
      </c>
      <c r="L19">
        <v>114000</v>
      </c>
      <c r="M19" t="s">
        <v>146</v>
      </c>
      <c r="N19">
        <v>72</v>
      </c>
      <c r="O19">
        <f t="shared" si="0"/>
        <v>1583.3333333333333</v>
      </c>
      <c r="P19">
        <v>3065.2613046596061</v>
      </c>
      <c r="Q19">
        <v>2872.515527950311</v>
      </c>
      <c r="R19">
        <v>30</v>
      </c>
      <c r="S19" t="s">
        <v>147</v>
      </c>
      <c r="T19">
        <v>100</v>
      </c>
      <c r="U19">
        <v>829.90707767773142</v>
      </c>
      <c r="V19">
        <f t="shared" si="1"/>
        <v>-1.7856552994740618</v>
      </c>
    </row>
    <row r="20" spans="1:22" x14ac:dyDescent="0.3">
      <c r="A20" t="s">
        <v>148</v>
      </c>
      <c r="B20" t="s">
        <v>23</v>
      </c>
      <c r="C20" t="s">
        <v>149</v>
      </c>
      <c r="D20" t="s">
        <v>150</v>
      </c>
      <c r="E20" t="s">
        <v>151</v>
      </c>
      <c r="F20">
        <v>11854</v>
      </c>
      <c r="G20" t="s">
        <v>27</v>
      </c>
      <c r="H20" t="s">
        <v>47</v>
      </c>
      <c r="I20" t="s">
        <v>48</v>
      </c>
      <c r="J20" t="s">
        <v>152</v>
      </c>
      <c r="K20">
        <v>1955</v>
      </c>
      <c r="L20">
        <v>770000</v>
      </c>
      <c r="M20" t="s">
        <v>153</v>
      </c>
      <c r="N20">
        <v>419</v>
      </c>
      <c r="O20">
        <f t="shared" si="0"/>
        <v>1837.708830548926</v>
      </c>
      <c r="P20">
        <v>4203.1238539944834</v>
      </c>
      <c r="Q20">
        <v>3948.011459386586</v>
      </c>
      <c r="R20">
        <v>30</v>
      </c>
      <c r="S20" t="s">
        <v>154</v>
      </c>
      <c r="T20">
        <v>100</v>
      </c>
      <c r="U20">
        <v>1607.779192451407</v>
      </c>
      <c r="V20">
        <f t="shared" si="1"/>
        <v>-1.4712312701590389</v>
      </c>
    </row>
    <row r="21" spans="1:22" x14ac:dyDescent="0.3">
      <c r="A21" t="s">
        <v>155</v>
      </c>
      <c r="B21" t="s">
        <v>34</v>
      </c>
      <c r="C21" t="s">
        <v>156</v>
      </c>
      <c r="D21" t="s">
        <v>157</v>
      </c>
      <c r="E21" t="s">
        <v>158</v>
      </c>
      <c r="F21">
        <v>11251</v>
      </c>
      <c r="G21" t="s">
        <v>27</v>
      </c>
      <c r="H21" t="s">
        <v>47</v>
      </c>
      <c r="I21" t="s">
        <v>48</v>
      </c>
      <c r="J21" t="s">
        <v>159</v>
      </c>
      <c r="K21">
        <v>1969</v>
      </c>
      <c r="L21">
        <v>70000</v>
      </c>
      <c r="M21" t="s">
        <v>160</v>
      </c>
      <c r="N21">
        <v>76</v>
      </c>
      <c r="O21">
        <f t="shared" si="0"/>
        <v>921.0526315789474</v>
      </c>
      <c r="P21">
        <v>2120.481072726478</v>
      </c>
      <c r="Q21">
        <v>2100.2935420743638</v>
      </c>
      <c r="R21">
        <v>30</v>
      </c>
      <c r="S21" t="s">
        <v>161</v>
      </c>
      <c r="T21">
        <v>100</v>
      </c>
      <c r="U21">
        <v>596.20301488933717</v>
      </c>
      <c r="V21">
        <f t="shared" si="1"/>
        <v>-2.0117785572925349</v>
      </c>
    </row>
    <row r="22" spans="1:22" x14ac:dyDescent="0.3">
      <c r="A22" t="s">
        <v>162</v>
      </c>
      <c r="B22" t="s">
        <v>34</v>
      </c>
      <c r="C22" t="s">
        <v>156</v>
      </c>
      <c r="D22" t="s">
        <v>163</v>
      </c>
      <c r="E22" t="s">
        <v>164</v>
      </c>
      <c r="F22">
        <v>11251</v>
      </c>
      <c r="G22" t="s">
        <v>27</v>
      </c>
      <c r="H22" t="s">
        <v>47</v>
      </c>
      <c r="I22" t="s">
        <v>48</v>
      </c>
      <c r="J22" t="s">
        <v>97</v>
      </c>
      <c r="K22">
        <v>1954</v>
      </c>
      <c r="L22">
        <v>75000</v>
      </c>
      <c r="M22" t="s">
        <v>165</v>
      </c>
      <c r="N22">
        <v>80</v>
      </c>
      <c r="O22">
        <f t="shared" si="0"/>
        <v>937.5</v>
      </c>
      <c r="P22">
        <v>1848.855666329112</v>
      </c>
      <c r="Q22">
        <v>1832.8267477203649</v>
      </c>
      <c r="R22">
        <v>30</v>
      </c>
      <c r="S22" t="s">
        <v>99</v>
      </c>
      <c r="T22">
        <v>100</v>
      </c>
      <c r="U22">
        <v>446.61219316096998</v>
      </c>
      <c r="V22">
        <f t="shared" si="1"/>
        <v>-2.0405973690033963</v>
      </c>
    </row>
    <row r="23" spans="1:22" x14ac:dyDescent="0.3">
      <c r="A23" t="s">
        <v>166</v>
      </c>
      <c r="B23" t="s">
        <v>34</v>
      </c>
      <c r="C23" t="s">
        <v>167</v>
      </c>
      <c r="D23" t="s">
        <v>168</v>
      </c>
      <c r="E23" t="s">
        <v>169</v>
      </c>
      <c r="F23">
        <v>11143</v>
      </c>
      <c r="G23" t="s">
        <v>27</v>
      </c>
      <c r="H23" t="s">
        <v>47</v>
      </c>
      <c r="I23" t="s">
        <v>48</v>
      </c>
      <c r="J23" t="s">
        <v>170</v>
      </c>
      <c r="K23">
        <v>1971</v>
      </c>
      <c r="L23">
        <v>196000</v>
      </c>
      <c r="M23" t="s">
        <v>171</v>
      </c>
      <c r="N23">
        <v>110</v>
      </c>
      <c r="O23">
        <f t="shared" si="0"/>
        <v>1781.8181818181818</v>
      </c>
      <c r="P23">
        <v>2047.169942243142</v>
      </c>
      <c r="Q23">
        <v>1937.5</v>
      </c>
      <c r="R23">
        <v>30</v>
      </c>
      <c r="S23" t="s">
        <v>172</v>
      </c>
      <c r="T23">
        <v>100</v>
      </c>
      <c r="U23">
        <v>357.17057359038182</v>
      </c>
      <c r="V23">
        <f t="shared" si="1"/>
        <v>-0.74292727353647225</v>
      </c>
    </row>
    <row r="24" spans="1:22" x14ac:dyDescent="0.3">
      <c r="A24" t="s">
        <v>173</v>
      </c>
      <c r="B24" t="s">
        <v>34</v>
      </c>
      <c r="C24" t="s">
        <v>174</v>
      </c>
      <c r="D24" t="s">
        <v>175</v>
      </c>
      <c r="E24" t="s">
        <v>176</v>
      </c>
      <c r="F24">
        <v>10431</v>
      </c>
      <c r="G24" t="s">
        <v>27</v>
      </c>
      <c r="H24" t="s">
        <v>47</v>
      </c>
      <c r="I24" t="s">
        <v>48</v>
      </c>
      <c r="J24" t="s">
        <v>177</v>
      </c>
      <c r="K24">
        <v>1982</v>
      </c>
      <c r="L24">
        <v>104000</v>
      </c>
      <c r="M24" t="s">
        <v>178</v>
      </c>
      <c r="N24">
        <v>100</v>
      </c>
      <c r="O24">
        <f t="shared" si="0"/>
        <v>1040</v>
      </c>
      <c r="P24">
        <v>1769.5954106351071</v>
      </c>
      <c r="Q24">
        <v>1665.5844155844161</v>
      </c>
      <c r="R24">
        <v>30</v>
      </c>
      <c r="S24" t="s">
        <v>179</v>
      </c>
      <c r="T24">
        <v>100</v>
      </c>
      <c r="U24">
        <v>577.84513382998136</v>
      </c>
      <c r="V24">
        <f t="shared" si="1"/>
        <v>-1.2626140948861482</v>
      </c>
    </row>
    <row r="25" spans="1:22" x14ac:dyDescent="0.3">
      <c r="A25" t="s">
        <v>180</v>
      </c>
      <c r="B25" t="s">
        <v>34</v>
      </c>
      <c r="C25" t="s">
        <v>181</v>
      </c>
      <c r="D25" t="s">
        <v>182</v>
      </c>
      <c r="E25" t="s">
        <v>183</v>
      </c>
      <c r="F25">
        <v>10446</v>
      </c>
      <c r="G25" t="s">
        <v>27</v>
      </c>
      <c r="H25" t="s">
        <v>47</v>
      </c>
      <c r="I25" t="s">
        <v>48</v>
      </c>
      <c r="J25" t="s">
        <v>56</v>
      </c>
      <c r="K25">
        <v>1964</v>
      </c>
      <c r="L25">
        <v>65000</v>
      </c>
      <c r="M25" t="s">
        <v>184</v>
      </c>
      <c r="N25">
        <v>61</v>
      </c>
      <c r="O25">
        <f t="shared" si="0"/>
        <v>1065.5737704918033</v>
      </c>
      <c r="P25">
        <v>2327.5024008230662</v>
      </c>
      <c r="Q25">
        <v>2461.8725868725869</v>
      </c>
      <c r="R25">
        <v>30</v>
      </c>
      <c r="S25" t="s">
        <v>58</v>
      </c>
      <c r="T25">
        <v>100</v>
      </c>
      <c r="U25">
        <v>582.42522968013122</v>
      </c>
      <c r="V25">
        <f t="shared" si="1"/>
        <v>-2.1666791993614627</v>
      </c>
    </row>
    <row r="26" spans="1:22" x14ac:dyDescent="0.3">
      <c r="A26" t="s">
        <v>185</v>
      </c>
      <c r="B26" t="s">
        <v>34</v>
      </c>
      <c r="C26" t="s">
        <v>186</v>
      </c>
      <c r="D26" t="s">
        <v>187</v>
      </c>
      <c r="E26" t="s">
        <v>188</v>
      </c>
      <c r="F26">
        <v>10446</v>
      </c>
      <c r="G26" t="s">
        <v>27</v>
      </c>
      <c r="H26" t="s">
        <v>47</v>
      </c>
      <c r="I26" t="s">
        <v>48</v>
      </c>
      <c r="J26" t="s">
        <v>189</v>
      </c>
      <c r="K26">
        <v>1972</v>
      </c>
      <c r="L26">
        <v>57000</v>
      </c>
      <c r="M26" t="s">
        <v>190</v>
      </c>
      <c r="N26">
        <v>51</v>
      </c>
      <c r="O26">
        <f t="shared" si="0"/>
        <v>1117.6470588235295</v>
      </c>
      <c r="P26">
        <v>1716.550770067257</v>
      </c>
      <c r="Q26">
        <v>1545.1388888888889</v>
      </c>
      <c r="R26">
        <v>30</v>
      </c>
      <c r="S26" t="s">
        <v>191</v>
      </c>
      <c r="T26">
        <v>100</v>
      </c>
      <c r="U26">
        <v>543.21202617748031</v>
      </c>
      <c r="V26">
        <f t="shared" si="1"/>
        <v>-1.1025229236144549</v>
      </c>
    </row>
    <row r="27" spans="1:22" x14ac:dyDescent="0.3">
      <c r="A27" t="s">
        <v>192</v>
      </c>
      <c r="B27" t="s">
        <v>34</v>
      </c>
      <c r="C27" t="s">
        <v>193</v>
      </c>
      <c r="D27" t="s">
        <v>194</v>
      </c>
      <c r="E27" t="s">
        <v>195</v>
      </c>
      <c r="F27">
        <v>10446</v>
      </c>
      <c r="G27" t="s">
        <v>27</v>
      </c>
      <c r="H27" t="s">
        <v>47</v>
      </c>
      <c r="I27" t="s">
        <v>48</v>
      </c>
      <c r="J27" t="s">
        <v>196</v>
      </c>
      <c r="K27">
        <v>1960</v>
      </c>
      <c r="L27">
        <v>53000</v>
      </c>
      <c r="M27" t="s">
        <v>197</v>
      </c>
      <c r="N27">
        <v>53</v>
      </c>
      <c r="O27">
        <f t="shared" si="0"/>
        <v>1000</v>
      </c>
      <c r="P27">
        <v>2074.67032969294</v>
      </c>
      <c r="Q27">
        <v>1942.4342105263161</v>
      </c>
      <c r="R27">
        <v>30</v>
      </c>
      <c r="S27" t="s">
        <v>198</v>
      </c>
      <c r="T27">
        <v>100</v>
      </c>
      <c r="U27">
        <v>459.07842493648889</v>
      </c>
      <c r="V27">
        <f t="shared" si="1"/>
        <v>-2.3409297220657126</v>
      </c>
    </row>
    <row r="28" spans="1:22" x14ac:dyDescent="0.3">
      <c r="A28" t="s">
        <v>199</v>
      </c>
      <c r="B28" t="s">
        <v>34</v>
      </c>
      <c r="C28" t="s">
        <v>200</v>
      </c>
      <c r="D28" t="s">
        <v>201</v>
      </c>
      <c r="E28" t="s">
        <v>202</v>
      </c>
      <c r="F28">
        <v>10440</v>
      </c>
      <c r="G28" t="s">
        <v>27</v>
      </c>
      <c r="H28" t="s">
        <v>47</v>
      </c>
      <c r="I28" t="s">
        <v>48</v>
      </c>
      <c r="J28" t="s">
        <v>203</v>
      </c>
      <c r="K28">
        <v>1979</v>
      </c>
      <c r="L28">
        <v>70000</v>
      </c>
      <c r="M28" t="s">
        <v>204</v>
      </c>
      <c r="N28">
        <v>70</v>
      </c>
      <c r="O28">
        <f t="shared" si="0"/>
        <v>1000</v>
      </c>
      <c r="P28">
        <v>1801.310326382383</v>
      </c>
      <c r="Q28">
        <v>1729.094076655052</v>
      </c>
      <c r="R28">
        <v>30</v>
      </c>
      <c r="S28" t="s">
        <v>205</v>
      </c>
      <c r="T28">
        <v>100</v>
      </c>
      <c r="U28">
        <v>449.40154077221621</v>
      </c>
      <c r="V28">
        <f t="shared" si="1"/>
        <v>-1.7830609236574366</v>
      </c>
    </row>
    <row r="29" spans="1:22" x14ac:dyDescent="0.3">
      <c r="A29" t="s">
        <v>206</v>
      </c>
      <c r="B29" t="s">
        <v>34</v>
      </c>
      <c r="C29" t="s">
        <v>207</v>
      </c>
      <c r="D29" t="s">
        <v>208</v>
      </c>
      <c r="E29" t="s">
        <v>209</v>
      </c>
      <c r="F29">
        <v>11523</v>
      </c>
      <c r="G29" t="s">
        <v>27</v>
      </c>
      <c r="H29" t="s">
        <v>47</v>
      </c>
      <c r="I29" t="s">
        <v>48</v>
      </c>
      <c r="J29" t="s">
        <v>210</v>
      </c>
      <c r="K29">
        <v>1960</v>
      </c>
      <c r="L29">
        <v>191000</v>
      </c>
      <c r="M29" t="s">
        <v>211</v>
      </c>
      <c r="N29">
        <v>79</v>
      </c>
      <c r="O29">
        <f t="shared" si="0"/>
        <v>2417.7215189873418</v>
      </c>
      <c r="P29">
        <v>3543.1598169442868</v>
      </c>
      <c r="Q29">
        <v>3151.2366689357841</v>
      </c>
      <c r="R29">
        <v>30</v>
      </c>
      <c r="S29" t="s">
        <v>212</v>
      </c>
      <c r="T29">
        <v>100</v>
      </c>
      <c r="U29">
        <v>1454.2283804648559</v>
      </c>
      <c r="V29">
        <f t="shared" si="1"/>
        <v>-0.77390753273374402</v>
      </c>
    </row>
    <row r="30" spans="1:22" x14ac:dyDescent="0.3">
      <c r="A30" t="s">
        <v>213</v>
      </c>
      <c r="B30" t="s">
        <v>34</v>
      </c>
      <c r="C30" t="s">
        <v>156</v>
      </c>
      <c r="D30" t="s">
        <v>214</v>
      </c>
      <c r="E30" t="s">
        <v>215</v>
      </c>
      <c r="F30">
        <v>11252</v>
      </c>
      <c r="G30" t="s">
        <v>27</v>
      </c>
      <c r="H30" t="s">
        <v>47</v>
      </c>
      <c r="I30" t="s">
        <v>48</v>
      </c>
      <c r="J30" t="s">
        <v>97</v>
      </c>
      <c r="K30">
        <v>1962</v>
      </c>
      <c r="L30">
        <v>55000</v>
      </c>
      <c r="M30" t="s">
        <v>216</v>
      </c>
      <c r="N30">
        <v>52</v>
      </c>
      <c r="O30">
        <f t="shared" si="0"/>
        <v>1057.6923076923076</v>
      </c>
      <c r="P30">
        <v>1848.855666329112</v>
      </c>
      <c r="Q30">
        <v>1832.8267477203649</v>
      </c>
      <c r="R30">
        <v>30</v>
      </c>
      <c r="S30" t="s">
        <v>99</v>
      </c>
      <c r="T30">
        <v>100</v>
      </c>
      <c r="U30">
        <v>446.61219316096998</v>
      </c>
      <c r="V30">
        <f t="shared" si="1"/>
        <v>-1.7714772922727833</v>
      </c>
    </row>
    <row r="31" spans="1:22" x14ac:dyDescent="0.3">
      <c r="A31" t="s">
        <v>217</v>
      </c>
      <c r="B31" t="s">
        <v>34</v>
      </c>
      <c r="C31" t="s">
        <v>218</v>
      </c>
      <c r="D31" t="s">
        <v>219</v>
      </c>
      <c r="E31" t="s">
        <v>220</v>
      </c>
      <c r="F31">
        <v>11362</v>
      </c>
      <c r="G31" t="s">
        <v>27</v>
      </c>
      <c r="H31" t="s">
        <v>47</v>
      </c>
      <c r="I31" t="s">
        <v>48</v>
      </c>
      <c r="J31" t="s">
        <v>221</v>
      </c>
      <c r="K31">
        <v>1940</v>
      </c>
      <c r="L31">
        <v>33000</v>
      </c>
      <c r="M31" t="s">
        <v>222</v>
      </c>
      <c r="N31">
        <v>20</v>
      </c>
      <c r="O31">
        <f t="shared" si="0"/>
        <v>1650</v>
      </c>
      <c r="P31">
        <v>2326.962051379362</v>
      </c>
      <c r="Q31">
        <v>2241.379310344827</v>
      </c>
      <c r="R31">
        <v>30</v>
      </c>
      <c r="S31" t="s">
        <v>223</v>
      </c>
      <c r="T31">
        <v>100</v>
      </c>
      <c r="U31">
        <v>546.57584618026158</v>
      </c>
      <c r="V31">
        <f t="shared" si="1"/>
        <v>-1.2385509826500802</v>
      </c>
    </row>
    <row r="32" spans="1:22" x14ac:dyDescent="0.3">
      <c r="A32" t="s">
        <v>224</v>
      </c>
      <c r="B32" t="s">
        <v>34</v>
      </c>
      <c r="C32" t="s">
        <v>181</v>
      </c>
      <c r="D32" t="s">
        <v>225</v>
      </c>
      <c r="E32" t="s">
        <v>226</v>
      </c>
      <c r="F32">
        <v>10446</v>
      </c>
      <c r="G32" t="s">
        <v>27</v>
      </c>
      <c r="H32" t="s">
        <v>47</v>
      </c>
      <c r="I32" t="s">
        <v>48</v>
      </c>
      <c r="J32" t="s">
        <v>56</v>
      </c>
      <c r="K32">
        <v>1965</v>
      </c>
      <c r="L32">
        <v>57000</v>
      </c>
      <c r="M32" t="s">
        <v>227</v>
      </c>
      <c r="N32">
        <v>52</v>
      </c>
      <c r="O32">
        <f t="shared" si="0"/>
        <v>1096.1538461538462</v>
      </c>
      <c r="P32">
        <v>2327.5024008230662</v>
      </c>
      <c r="Q32">
        <v>2461.8725868725869</v>
      </c>
      <c r="R32">
        <v>30</v>
      </c>
      <c r="S32" t="s">
        <v>58</v>
      </c>
      <c r="T32">
        <v>100</v>
      </c>
      <c r="U32">
        <v>582.42522968013122</v>
      </c>
      <c r="V32">
        <f t="shared" si="1"/>
        <v>-2.1141744758301049</v>
      </c>
    </row>
    <row r="33" spans="1:22" x14ac:dyDescent="0.3">
      <c r="A33" t="s">
        <v>228</v>
      </c>
      <c r="B33" t="s">
        <v>34</v>
      </c>
      <c r="C33" t="s">
        <v>229</v>
      </c>
      <c r="D33" t="s">
        <v>230</v>
      </c>
      <c r="E33" t="s">
        <v>231</v>
      </c>
      <c r="F33">
        <v>10441</v>
      </c>
      <c r="G33" t="s">
        <v>27</v>
      </c>
      <c r="H33" t="s">
        <v>47</v>
      </c>
      <c r="I33" t="s">
        <v>48</v>
      </c>
      <c r="J33" t="s">
        <v>232</v>
      </c>
      <c r="K33">
        <v>2005</v>
      </c>
      <c r="L33">
        <v>190000</v>
      </c>
      <c r="M33" t="s">
        <v>233</v>
      </c>
      <c r="N33">
        <v>112</v>
      </c>
      <c r="O33">
        <f t="shared" si="0"/>
        <v>1696.4285714285713</v>
      </c>
      <c r="P33">
        <v>2251.195823661662</v>
      </c>
      <c r="Q33">
        <v>2213.75</v>
      </c>
      <c r="R33">
        <v>30</v>
      </c>
      <c r="S33" t="s">
        <v>234</v>
      </c>
      <c r="T33">
        <v>100</v>
      </c>
      <c r="U33">
        <v>759.30594018892373</v>
      </c>
      <c r="V33">
        <f t="shared" si="1"/>
        <v>-0.73062414353700222</v>
      </c>
    </row>
    <row r="34" spans="1:22" x14ac:dyDescent="0.3">
      <c r="A34" t="s">
        <v>235</v>
      </c>
      <c r="B34" t="s">
        <v>34</v>
      </c>
      <c r="C34" t="s">
        <v>236</v>
      </c>
      <c r="D34" t="s">
        <v>237</v>
      </c>
      <c r="E34" t="s">
        <v>238</v>
      </c>
      <c r="F34">
        <v>11744</v>
      </c>
      <c r="G34" t="s">
        <v>27</v>
      </c>
      <c r="H34" t="s">
        <v>47</v>
      </c>
      <c r="I34" t="s">
        <v>48</v>
      </c>
      <c r="J34" t="s">
        <v>239</v>
      </c>
      <c r="K34">
        <v>1976</v>
      </c>
      <c r="L34">
        <v>134000</v>
      </c>
      <c r="M34" t="s">
        <v>240</v>
      </c>
      <c r="N34">
        <v>80</v>
      </c>
      <c r="O34">
        <f t="shared" si="0"/>
        <v>1675</v>
      </c>
      <c r="P34">
        <v>2761.9747998229859</v>
      </c>
      <c r="Q34">
        <v>2850.1400560224092</v>
      </c>
      <c r="R34">
        <v>30</v>
      </c>
      <c r="S34" t="s">
        <v>241</v>
      </c>
      <c r="T34">
        <v>100</v>
      </c>
      <c r="U34">
        <v>908.98655746726195</v>
      </c>
      <c r="V34">
        <f t="shared" si="1"/>
        <v>-1.1958095429394009</v>
      </c>
    </row>
    <row r="35" spans="1:22" x14ac:dyDescent="0.3">
      <c r="A35" t="s">
        <v>242</v>
      </c>
      <c r="B35" t="s">
        <v>34</v>
      </c>
      <c r="C35" t="s">
        <v>122</v>
      </c>
      <c r="D35" t="s">
        <v>243</v>
      </c>
      <c r="E35" t="s">
        <v>244</v>
      </c>
      <c r="F35">
        <v>10445</v>
      </c>
      <c r="G35" t="s">
        <v>27</v>
      </c>
      <c r="H35" t="s">
        <v>47</v>
      </c>
      <c r="I35" t="s">
        <v>48</v>
      </c>
      <c r="J35" t="s">
        <v>76</v>
      </c>
      <c r="K35">
        <v>1966</v>
      </c>
      <c r="L35">
        <v>100000</v>
      </c>
      <c r="M35" t="s">
        <v>245</v>
      </c>
      <c r="N35">
        <v>158</v>
      </c>
      <c r="O35">
        <f t="shared" si="0"/>
        <v>632.91139240506334</v>
      </c>
      <c r="P35">
        <v>2333.6970654335369</v>
      </c>
      <c r="Q35">
        <v>2266.666666666667</v>
      </c>
      <c r="R35">
        <v>7</v>
      </c>
      <c r="S35" t="s">
        <v>78</v>
      </c>
      <c r="T35">
        <v>100</v>
      </c>
      <c r="U35">
        <v>210.0494220816997</v>
      </c>
      <c r="V35">
        <f t="shared" si="1"/>
        <v>-8.0970738037400789</v>
      </c>
    </row>
    <row r="36" spans="1:22" x14ac:dyDescent="0.3">
      <c r="A36" t="s">
        <v>246</v>
      </c>
      <c r="B36" t="s">
        <v>34</v>
      </c>
      <c r="C36" t="s">
        <v>247</v>
      </c>
      <c r="D36" t="s">
        <v>248</v>
      </c>
      <c r="E36" t="s">
        <v>249</v>
      </c>
      <c r="F36">
        <v>11364</v>
      </c>
      <c r="G36" t="s">
        <v>27</v>
      </c>
      <c r="H36" t="s">
        <v>47</v>
      </c>
      <c r="I36" t="s">
        <v>48</v>
      </c>
      <c r="J36" t="s">
        <v>250</v>
      </c>
      <c r="K36">
        <v>1987</v>
      </c>
      <c r="L36">
        <v>200000</v>
      </c>
      <c r="M36" t="s">
        <v>251</v>
      </c>
      <c r="N36">
        <v>113</v>
      </c>
      <c r="O36">
        <f t="shared" si="0"/>
        <v>1769.9115044247787</v>
      </c>
      <c r="P36">
        <v>2249.5238095238101</v>
      </c>
      <c r="Q36">
        <v>2100</v>
      </c>
      <c r="R36">
        <v>5</v>
      </c>
      <c r="S36" t="s">
        <v>252</v>
      </c>
      <c r="T36">
        <v>100</v>
      </c>
      <c r="U36">
        <v>255.91860242225391</v>
      </c>
      <c r="V36">
        <f t="shared" si="1"/>
        <v>-1.8740814483962096</v>
      </c>
    </row>
    <row r="37" spans="1:22" x14ac:dyDescent="0.3">
      <c r="A37" t="s">
        <v>253</v>
      </c>
      <c r="B37" t="s">
        <v>34</v>
      </c>
      <c r="C37" t="s">
        <v>254</v>
      </c>
      <c r="D37" t="s">
        <v>255</v>
      </c>
      <c r="E37" t="s">
        <v>256</v>
      </c>
      <c r="F37">
        <v>10440</v>
      </c>
      <c r="G37" t="s">
        <v>27</v>
      </c>
      <c r="H37" t="s">
        <v>257</v>
      </c>
      <c r="I37" t="s">
        <v>258</v>
      </c>
      <c r="J37" t="s">
        <v>259</v>
      </c>
      <c r="K37">
        <v>1971</v>
      </c>
      <c r="L37">
        <v>70000</v>
      </c>
      <c r="M37" t="s">
        <v>260</v>
      </c>
      <c r="N37">
        <v>67</v>
      </c>
      <c r="O37">
        <f t="shared" si="0"/>
        <v>1044.7761194029852</v>
      </c>
      <c r="P37">
        <v>2192.8874729377922</v>
      </c>
      <c r="Q37">
        <v>1925</v>
      </c>
      <c r="R37">
        <v>30</v>
      </c>
      <c r="S37" t="s">
        <v>261</v>
      </c>
      <c r="T37">
        <v>100</v>
      </c>
      <c r="U37">
        <v>1495.394427878085</v>
      </c>
      <c r="V37">
        <f t="shared" si="1"/>
        <v>-0.76776490010327159</v>
      </c>
    </row>
    <row r="38" spans="1:22" x14ac:dyDescent="0.3">
      <c r="A38" t="s">
        <v>262</v>
      </c>
      <c r="B38" t="s">
        <v>34</v>
      </c>
      <c r="C38" t="s">
        <v>263</v>
      </c>
      <c r="D38" t="s">
        <v>264</v>
      </c>
      <c r="E38" t="s">
        <v>265</v>
      </c>
      <c r="F38">
        <v>10433</v>
      </c>
      <c r="G38" t="s">
        <v>27</v>
      </c>
      <c r="H38" t="s">
        <v>47</v>
      </c>
      <c r="I38" t="s">
        <v>48</v>
      </c>
      <c r="J38" t="s">
        <v>266</v>
      </c>
      <c r="K38">
        <v>1961</v>
      </c>
      <c r="L38">
        <v>75000</v>
      </c>
      <c r="M38" t="s">
        <v>267</v>
      </c>
      <c r="N38">
        <v>91</v>
      </c>
      <c r="O38">
        <f t="shared" si="0"/>
        <v>824.17582417582423</v>
      </c>
      <c r="P38">
        <v>2030.1481896450571</v>
      </c>
      <c r="Q38">
        <v>1697.2365869424691</v>
      </c>
      <c r="R38">
        <v>30</v>
      </c>
      <c r="S38" t="s">
        <v>268</v>
      </c>
      <c r="T38">
        <v>100</v>
      </c>
      <c r="U38">
        <v>1164.8199741531901</v>
      </c>
      <c r="V38">
        <f t="shared" si="1"/>
        <v>-1.0353294004474469</v>
      </c>
    </row>
    <row r="39" spans="1:22" x14ac:dyDescent="0.3">
      <c r="A39" t="s">
        <v>269</v>
      </c>
      <c r="B39" t="s">
        <v>34</v>
      </c>
      <c r="C39" t="s">
        <v>270</v>
      </c>
      <c r="D39" t="s">
        <v>271</v>
      </c>
      <c r="E39" t="s">
        <v>272</v>
      </c>
      <c r="F39">
        <v>10446</v>
      </c>
      <c r="G39" t="s">
        <v>27</v>
      </c>
      <c r="H39" t="s">
        <v>47</v>
      </c>
      <c r="I39" t="s">
        <v>48</v>
      </c>
      <c r="J39" t="s">
        <v>273</v>
      </c>
      <c r="K39">
        <v>1964</v>
      </c>
      <c r="L39">
        <v>92000</v>
      </c>
      <c r="M39" t="s">
        <v>274</v>
      </c>
      <c r="N39">
        <v>88</v>
      </c>
      <c r="O39">
        <f t="shared" si="0"/>
        <v>1045.4545454545455</v>
      </c>
      <c r="P39">
        <v>1945.7352463241609</v>
      </c>
      <c r="Q39">
        <v>1845.238095238095</v>
      </c>
      <c r="R39">
        <v>30</v>
      </c>
      <c r="S39" t="s">
        <v>275</v>
      </c>
      <c r="T39">
        <v>100</v>
      </c>
      <c r="U39">
        <v>618.47519903606326</v>
      </c>
      <c r="V39">
        <f t="shared" si="1"/>
        <v>-1.4556455978716134</v>
      </c>
    </row>
    <row r="40" spans="1:22" x14ac:dyDescent="0.3">
      <c r="A40" t="s">
        <v>276</v>
      </c>
      <c r="B40" t="s">
        <v>34</v>
      </c>
      <c r="C40" t="s">
        <v>277</v>
      </c>
      <c r="D40" t="s">
        <v>278</v>
      </c>
      <c r="E40" t="s">
        <v>279</v>
      </c>
      <c r="F40">
        <v>10432</v>
      </c>
      <c r="G40" t="s">
        <v>27</v>
      </c>
      <c r="H40" t="s">
        <v>47</v>
      </c>
      <c r="I40" t="s">
        <v>48</v>
      </c>
      <c r="J40" t="s">
        <v>280</v>
      </c>
      <c r="K40">
        <v>1959</v>
      </c>
      <c r="L40">
        <v>104000</v>
      </c>
      <c r="M40" t="s">
        <v>281</v>
      </c>
      <c r="N40">
        <v>75</v>
      </c>
      <c r="O40">
        <f t="shared" si="0"/>
        <v>1386.6666666666667</v>
      </c>
      <c r="P40">
        <v>2629.081395724183</v>
      </c>
      <c r="Q40">
        <v>2086.95652173913</v>
      </c>
      <c r="R40">
        <v>30</v>
      </c>
      <c r="S40" t="s">
        <v>282</v>
      </c>
      <c r="T40">
        <v>100</v>
      </c>
      <c r="U40">
        <v>1510.173712635639</v>
      </c>
      <c r="V40">
        <f t="shared" si="1"/>
        <v>-0.82269656706524519</v>
      </c>
    </row>
    <row r="41" spans="1:22" x14ac:dyDescent="0.3">
      <c r="A41" t="s">
        <v>283</v>
      </c>
      <c r="B41" t="s">
        <v>34</v>
      </c>
      <c r="C41" t="s">
        <v>284</v>
      </c>
      <c r="D41" t="s">
        <v>285</v>
      </c>
      <c r="E41" t="s">
        <v>286</v>
      </c>
      <c r="F41">
        <v>11633</v>
      </c>
      <c r="G41" t="s">
        <v>27</v>
      </c>
      <c r="H41" t="s">
        <v>47</v>
      </c>
      <c r="I41" t="s">
        <v>48</v>
      </c>
      <c r="J41" t="s">
        <v>287</v>
      </c>
      <c r="K41">
        <v>1980</v>
      </c>
      <c r="L41">
        <v>235000</v>
      </c>
      <c r="M41" t="s">
        <v>288</v>
      </c>
      <c r="N41">
        <v>102</v>
      </c>
      <c r="O41">
        <f t="shared" si="0"/>
        <v>2303.9215686274511</v>
      </c>
      <c r="P41">
        <v>3198.297776917942</v>
      </c>
      <c r="Q41">
        <v>3007.3529411764698</v>
      </c>
      <c r="R41">
        <v>30</v>
      </c>
      <c r="S41" t="s">
        <v>289</v>
      </c>
      <c r="T41">
        <v>100</v>
      </c>
      <c r="U41">
        <v>1147.7110188199049</v>
      </c>
      <c r="V41">
        <f t="shared" si="1"/>
        <v>-0.77926951438533987</v>
      </c>
    </row>
    <row r="42" spans="1:22" x14ac:dyDescent="0.3">
      <c r="A42" t="s">
        <v>290</v>
      </c>
      <c r="B42" t="s">
        <v>34</v>
      </c>
      <c r="C42" t="s">
        <v>181</v>
      </c>
      <c r="D42" t="s">
        <v>291</v>
      </c>
      <c r="E42" t="s">
        <v>292</v>
      </c>
      <c r="F42">
        <v>11251</v>
      </c>
      <c r="G42" t="s">
        <v>27</v>
      </c>
      <c r="H42" t="s">
        <v>47</v>
      </c>
      <c r="I42" t="s">
        <v>48</v>
      </c>
      <c r="J42" t="s">
        <v>293</v>
      </c>
      <c r="K42">
        <v>2004</v>
      </c>
      <c r="L42">
        <v>160000</v>
      </c>
      <c r="M42" t="s">
        <v>294</v>
      </c>
      <c r="N42">
        <v>101</v>
      </c>
      <c r="O42">
        <f t="shared" si="0"/>
        <v>1584.1584158415842</v>
      </c>
      <c r="P42">
        <v>1862.0661480635031</v>
      </c>
      <c r="Q42">
        <v>1885.752688172043</v>
      </c>
      <c r="R42">
        <v>30</v>
      </c>
      <c r="S42" t="s">
        <v>295</v>
      </c>
      <c r="T42">
        <v>100</v>
      </c>
      <c r="U42">
        <v>439.36919982673732</v>
      </c>
      <c r="V42">
        <f t="shared" si="1"/>
        <v>-0.63251527947682762</v>
      </c>
    </row>
    <row r="43" spans="1:22" x14ac:dyDescent="0.3">
      <c r="A43" t="s">
        <v>296</v>
      </c>
      <c r="B43" t="s">
        <v>34</v>
      </c>
      <c r="C43" t="s">
        <v>297</v>
      </c>
      <c r="D43" t="s">
        <v>298</v>
      </c>
      <c r="E43" t="s">
        <v>299</v>
      </c>
      <c r="F43">
        <v>10445</v>
      </c>
      <c r="G43" t="s">
        <v>27</v>
      </c>
      <c r="H43" t="s">
        <v>47</v>
      </c>
      <c r="I43" t="s">
        <v>48</v>
      </c>
      <c r="J43" t="s">
        <v>300</v>
      </c>
      <c r="K43">
        <v>1965</v>
      </c>
      <c r="L43">
        <v>55000</v>
      </c>
      <c r="M43" t="s">
        <v>301</v>
      </c>
      <c r="N43">
        <v>43</v>
      </c>
      <c r="O43">
        <f t="shared" si="0"/>
        <v>1279.0697674418604</v>
      </c>
      <c r="P43">
        <v>1919.139617414434</v>
      </c>
      <c r="Q43">
        <v>1686.7469879518069</v>
      </c>
      <c r="R43">
        <v>30</v>
      </c>
      <c r="S43" t="s">
        <v>302</v>
      </c>
      <c r="T43">
        <v>100</v>
      </c>
      <c r="U43">
        <v>1154.227805632423</v>
      </c>
      <c r="V43">
        <f t="shared" si="1"/>
        <v>-0.55454377970202107</v>
      </c>
    </row>
    <row r="44" spans="1:22" x14ac:dyDescent="0.3">
      <c r="A44" t="s">
        <v>303</v>
      </c>
      <c r="B44" t="s">
        <v>34</v>
      </c>
      <c r="C44" t="s">
        <v>218</v>
      </c>
      <c r="D44" t="s">
        <v>304</v>
      </c>
      <c r="E44" t="s">
        <v>305</v>
      </c>
      <c r="F44">
        <v>11362</v>
      </c>
      <c r="G44" t="s">
        <v>27</v>
      </c>
      <c r="H44" t="s">
        <v>47</v>
      </c>
      <c r="I44" t="s">
        <v>48</v>
      </c>
      <c r="J44" t="s">
        <v>306</v>
      </c>
      <c r="K44">
        <v>1963</v>
      </c>
      <c r="L44">
        <v>105000</v>
      </c>
      <c r="M44" t="s">
        <v>307</v>
      </c>
      <c r="N44">
        <v>90</v>
      </c>
      <c r="O44">
        <f t="shared" si="0"/>
        <v>1166.6666666666667</v>
      </c>
      <c r="P44">
        <v>2025.470243593651</v>
      </c>
      <c r="Q44">
        <v>1948.0519480519481</v>
      </c>
      <c r="R44">
        <v>30</v>
      </c>
      <c r="S44" t="s">
        <v>308</v>
      </c>
      <c r="T44">
        <v>100</v>
      </c>
      <c r="U44">
        <v>576.27166844126816</v>
      </c>
      <c r="V44">
        <f t="shared" si="1"/>
        <v>-1.4902755487701214</v>
      </c>
    </row>
    <row r="45" spans="1:22" x14ac:dyDescent="0.3">
      <c r="A45" t="s">
        <v>309</v>
      </c>
      <c r="B45" t="s">
        <v>34</v>
      </c>
      <c r="C45" t="s">
        <v>310</v>
      </c>
      <c r="D45" t="s">
        <v>311</v>
      </c>
      <c r="E45" t="s">
        <v>312</v>
      </c>
      <c r="F45">
        <v>11524</v>
      </c>
      <c r="G45" t="s">
        <v>27</v>
      </c>
      <c r="H45" t="s">
        <v>47</v>
      </c>
      <c r="I45" t="s">
        <v>48</v>
      </c>
      <c r="J45" t="s">
        <v>313</v>
      </c>
      <c r="K45">
        <v>1971</v>
      </c>
      <c r="L45">
        <v>123000</v>
      </c>
      <c r="M45" t="s">
        <v>314</v>
      </c>
      <c r="N45">
        <v>66</v>
      </c>
      <c r="O45">
        <f t="shared" si="0"/>
        <v>1863.6363636363637</v>
      </c>
      <c r="P45">
        <v>2881.9769410364302</v>
      </c>
      <c r="Q45">
        <v>2803.4447821681861</v>
      </c>
      <c r="R45">
        <v>30</v>
      </c>
      <c r="S45" t="s">
        <v>315</v>
      </c>
      <c r="T45">
        <v>100</v>
      </c>
      <c r="U45">
        <v>1058.3661033090341</v>
      </c>
      <c r="V45">
        <f t="shared" si="1"/>
        <v>-0.96218177643461378</v>
      </c>
    </row>
    <row r="46" spans="1:22" x14ac:dyDescent="0.3">
      <c r="A46" t="s">
        <v>316</v>
      </c>
      <c r="B46" t="s">
        <v>34</v>
      </c>
      <c r="C46" t="s">
        <v>317</v>
      </c>
      <c r="D46" t="s">
        <v>318</v>
      </c>
      <c r="E46" t="s">
        <v>319</v>
      </c>
      <c r="F46">
        <v>11254</v>
      </c>
      <c r="G46" t="s">
        <v>27</v>
      </c>
      <c r="H46" t="s">
        <v>47</v>
      </c>
      <c r="I46" t="s">
        <v>48</v>
      </c>
      <c r="J46" t="s">
        <v>320</v>
      </c>
      <c r="K46">
        <v>1957</v>
      </c>
      <c r="L46">
        <v>113000</v>
      </c>
      <c r="M46" t="s">
        <v>321</v>
      </c>
      <c r="N46">
        <v>65</v>
      </c>
      <c r="O46">
        <f t="shared" si="0"/>
        <v>1738.4615384615386</v>
      </c>
      <c r="P46">
        <v>1857.7570882380901</v>
      </c>
      <c r="Q46">
        <v>1750.471401634192</v>
      </c>
      <c r="R46">
        <v>30</v>
      </c>
      <c r="S46" t="s">
        <v>322</v>
      </c>
      <c r="T46">
        <v>100</v>
      </c>
      <c r="U46">
        <v>454.70383948840379</v>
      </c>
      <c r="V46">
        <f t="shared" si="1"/>
        <v>-0.26235879140755286</v>
      </c>
    </row>
    <row r="47" spans="1:22" x14ac:dyDescent="0.3">
      <c r="A47" t="s">
        <v>323</v>
      </c>
      <c r="B47" t="s">
        <v>34</v>
      </c>
      <c r="C47" t="s">
        <v>324</v>
      </c>
      <c r="D47" t="s">
        <v>325</v>
      </c>
      <c r="E47" t="s">
        <v>326</v>
      </c>
      <c r="F47">
        <v>11257</v>
      </c>
      <c r="G47" t="s">
        <v>27</v>
      </c>
      <c r="H47" t="s">
        <v>47</v>
      </c>
      <c r="I47" t="s">
        <v>48</v>
      </c>
      <c r="J47" t="s">
        <v>327</v>
      </c>
      <c r="K47">
        <v>1954</v>
      </c>
      <c r="L47">
        <v>137000</v>
      </c>
      <c r="M47" t="s">
        <v>328</v>
      </c>
      <c r="N47">
        <v>122</v>
      </c>
      <c r="O47">
        <f t="shared" si="0"/>
        <v>1122.950819672131</v>
      </c>
      <c r="P47">
        <v>2425.5504970995189</v>
      </c>
      <c r="Q47">
        <v>2382.432432432433</v>
      </c>
      <c r="R47">
        <v>30</v>
      </c>
      <c r="S47" t="s">
        <v>329</v>
      </c>
      <c r="T47">
        <v>100</v>
      </c>
      <c r="U47">
        <v>796.89827549761355</v>
      </c>
      <c r="V47">
        <f t="shared" si="1"/>
        <v>-1.6345871455349745</v>
      </c>
    </row>
    <row r="48" spans="1:22" x14ac:dyDescent="0.3">
      <c r="A48" t="s">
        <v>330</v>
      </c>
      <c r="B48" t="s">
        <v>34</v>
      </c>
      <c r="C48" t="s">
        <v>254</v>
      </c>
      <c r="D48" t="s">
        <v>331</v>
      </c>
      <c r="E48" t="s">
        <v>332</v>
      </c>
      <c r="F48">
        <v>10440</v>
      </c>
      <c r="G48" t="s">
        <v>27</v>
      </c>
      <c r="H48" t="s">
        <v>47</v>
      </c>
      <c r="I48" t="s">
        <v>48</v>
      </c>
      <c r="J48" t="s">
        <v>333</v>
      </c>
      <c r="K48">
        <v>1971</v>
      </c>
      <c r="L48">
        <v>75000</v>
      </c>
      <c r="M48" t="s">
        <v>334</v>
      </c>
      <c r="N48">
        <v>80</v>
      </c>
      <c r="O48">
        <f t="shared" si="0"/>
        <v>937.5</v>
      </c>
      <c r="P48">
        <v>2096.9660422927209</v>
      </c>
      <c r="Q48">
        <v>1777.7777777777781</v>
      </c>
      <c r="R48">
        <v>11</v>
      </c>
      <c r="S48" t="s">
        <v>335</v>
      </c>
      <c r="T48">
        <v>100</v>
      </c>
      <c r="U48">
        <v>1158.0788917192299</v>
      </c>
      <c r="V48">
        <f t="shared" si="1"/>
        <v>-1.001197803175077</v>
      </c>
    </row>
    <row r="49" spans="1:22" x14ac:dyDescent="0.3">
      <c r="A49" t="s">
        <v>336</v>
      </c>
      <c r="B49" t="s">
        <v>34</v>
      </c>
      <c r="C49" t="s">
        <v>337</v>
      </c>
      <c r="D49" t="s">
        <v>338</v>
      </c>
      <c r="E49" t="s">
        <v>339</v>
      </c>
      <c r="F49">
        <v>12244</v>
      </c>
      <c r="G49" t="s">
        <v>27</v>
      </c>
      <c r="H49" t="s">
        <v>28</v>
      </c>
      <c r="I49" t="s">
        <v>340</v>
      </c>
      <c r="J49" t="s">
        <v>341</v>
      </c>
      <c r="K49">
        <v>1980</v>
      </c>
      <c r="L49">
        <v>145000</v>
      </c>
      <c r="M49" t="s">
        <v>342</v>
      </c>
      <c r="N49">
        <v>105</v>
      </c>
      <c r="O49">
        <f t="shared" si="0"/>
        <v>1380.952380952381</v>
      </c>
      <c r="P49">
        <v>1658.783096286397</v>
      </c>
      <c r="Q49">
        <v>1380.952380952381</v>
      </c>
      <c r="R49">
        <v>20</v>
      </c>
      <c r="S49" t="s">
        <v>343</v>
      </c>
      <c r="T49">
        <v>100</v>
      </c>
      <c r="U49">
        <v>548.09859512837022</v>
      </c>
      <c r="V49">
        <f t="shared" si="1"/>
        <v>-0.50689915610702363</v>
      </c>
    </row>
    <row r="50" spans="1:22" x14ac:dyDescent="0.3">
      <c r="A50" t="s">
        <v>344</v>
      </c>
      <c r="B50" t="s">
        <v>23</v>
      </c>
      <c r="C50" t="s">
        <v>345</v>
      </c>
      <c r="D50" t="s">
        <v>346</v>
      </c>
      <c r="E50" t="s">
        <v>347</v>
      </c>
      <c r="F50">
        <v>18010</v>
      </c>
      <c r="G50" t="s">
        <v>27</v>
      </c>
      <c r="H50" t="s">
        <v>257</v>
      </c>
      <c r="I50" t="s">
        <v>348</v>
      </c>
      <c r="J50" t="s">
        <v>349</v>
      </c>
      <c r="K50">
        <v>2007</v>
      </c>
      <c r="L50">
        <v>321000</v>
      </c>
      <c r="M50" t="s">
        <v>350</v>
      </c>
      <c r="N50">
        <v>283</v>
      </c>
      <c r="O50">
        <f t="shared" si="0"/>
        <v>1134.2756183745582</v>
      </c>
    </row>
    <row r="51" spans="1:22" x14ac:dyDescent="0.3">
      <c r="A51" t="s">
        <v>351</v>
      </c>
      <c r="B51" t="s">
        <v>23</v>
      </c>
      <c r="C51" t="s">
        <v>352</v>
      </c>
      <c r="D51" t="s">
        <v>353</v>
      </c>
      <c r="E51" t="s">
        <v>354</v>
      </c>
      <c r="F51">
        <v>18010</v>
      </c>
      <c r="G51" t="s">
        <v>27</v>
      </c>
      <c r="H51" t="s">
        <v>257</v>
      </c>
      <c r="I51" t="s">
        <v>348</v>
      </c>
      <c r="J51" t="s">
        <v>355</v>
      </c>
      <c r="K51">
        <v>1995</v>
      </c>
      <c r="L51">
        <v>200000</v>
      </c>
      <c r="M51" t="s">
        <v>356</v>
      </c>
      <c r="N51">
        <v>224</v>
      </c>
      <c r="O51">
        <f t="shared" si="0"/>
        <v>892.85714285714289</v>
      </c>
    </row>
    <row r="52" spans="1:22" x14ac:dyDescent="0.3">
      <c r="A52" t="s">
        <v>357</v>
      </c>
      <c r="B52" t="s">
        <v>23</v>
      </c>
      <c r="C52" t="s">
        <v>358</v>
      </c>
      <c r="D52" t="s">
        <v>359</v>
      </c>
      <c r="E52" t="s">
        <v>360</v>
      </c>
      <c r="F52">
        <v>20011</v>
      </c>
      <c r="G52" t="s">
        <v>27</v>
      </c>
      <c r="H52" t="s">
        <v>257</v>
      </c>
      <c r="I52" t="s">
        <v>348</v>
      </c>
      <c r="J52" t="s">
        <v>361</v>
      </c>
      <c r="K52">
        <v>2004</v>
      </c>
      <c r="L52">
        <v>290000</v>
      </c>
      <c r="M52" t="s">
        <v>362</v>
      </c>
      <c r="N52">
        <v>160</v>
      </c>
      <c r="O52">
        <f t="shared" si="0"/>
        <v>1812.5</v>
      </c>
      <c r="P52">
        <v>3310.606060606061</v>
      </c>
      <c r="Q52">
        <v>3310.606060606061</v>
      </c>
      <c r="R52">
        <v>2</v>
      </c>
      <c r="S52" t="s">
        <v>363</v>
      </c>
      <c r="T52">
        <v>100</v>
      </c>
      <c r="U52">
        <v>1682.057040095272</v>
      </c>
      <c r="V52">
        <f t="shared" ref="V52:V55" si="2">(O52-P52)/U52</f>
        <v>-0.89063927375566765</v>
      </c>
    </row>
    <row r="53" spans="1:22" x14ac:dyDescent="0.3">
      <c r="A53" t="s">
        <v>364</v>
      </c>
      <c r="B53" t="s">
        <v>34</v>
      </c>
      <c r="C53" t="s">
        <v>365</v>
      </c>
      <c r="D53" t="s">
        <v>366</v>
      </c>
      <c r="E53" t="s">
        <v>367</v>
      </c>
      <c r="F53">
        <v>17456</v>
      </c>
      <c r="G53" t="s">
        <v>27</v>
      </c>
      <c r="H53" t="s">
        <v>368</v>
      </c>
      <c r="I53" t="s">
        <v>369</v>
      </c>
      <c r="J53" t="s">
        <v>370</v>
      </c>
      <c r="K53">
        <v>1958</v>
      </c>
      <c r="L53">
        <v>208000</v>
      </c>
      <c r="M53" t="s">
        <v>371</v>
      </c>
      <c r="N53">
        <v>108</v>
      </c>
      <c r="O53">
        <f t="shared" si="0"/>
        <v>1925.9259259259259</v>
      </c>
      <c r="P53">
        <v>4689.3017768927912</v>
      </c>
      <c r="Q53">
        <v>4649.7975708502017</v>
      </c>
      <c r="R53">
        <v>30</v>
      </c>
      <c r="S53" t="s">
        <v>372</v>
      </c>
      <c r="T53">
        <v>100</v>
      </c>
      <c r="U53">
        <v>1201.1255839087589</v>
      </c>
      <c r="V53">
        <f t="shared" si="2"/>
        <v>-2.3006552253879717</v>
      </c>
    </row>
    <row r="54" spans="1:22" x14ac:dyDescent="0.3">
      <c r="A54" t="s">
        <v>373</v>
      </c>
      <c r="B54" t="s">
        <v>23</v>
      </c>
      <c r="C54" t="s">
        <v>374</v>
      </c>
      <c r="D54" t="s">
        <v>375</v>
      </c>
      <c r="E54" t="s">
        <v>376</v>
      </c>
      <c r="F54">
        <v>17455</v>
      </c>
      <c r="G54" t="s">
        <v>27</v>
      </c>
      <c r="H54" t="s">
        <v>368</v>
      </c>
      <c r="I54" t="s">
        <v>369</v>
      </c>
      <c r="J54" t="s">
        <v>377</v>
      </c>
      <c r="K54">
        <v>1997</v>
      </c>
      <c r="L54">
        <v>480000</v>
      </c>
      <c r="M54" t="s">
        <v>378</v>
      </c>
      <c r="N54">
        <v>337</v>
      </c>
      <c r="O54">
        <f t="shared" si="0"/>
        <v>1424.3323442136498</v>
      </c>
      <c r="P54">
        <v>5797.2538631204206</v>
      </c>
      <c r="Q54">
        <v>6617.47009148487</v>
      </c>
      <c r="R54">
        <v>30</v>
      </c>
      <c r="S54" t="s">
        <v>379</v>
      </c>
      <c r="T54">
        <v>100</v>
      </c>
      <c r="U54">
        <v>2024.0686207746339</v>
      </c>
      <c r="V54">
        <f t="shared" si="2"/>
        <v>-2.1604610999963056</v>
      </c>
    </row>
    <row r="55" spans="1:22" x14ac:dyDescent="0.3">
      <c r="A55" t="s">
        <v>380</v>
      </c>
      <c r="B55" t="s">
        <v>34</v>
      </c>
      <c r="C55" t="s">
        <v>381</v>
      </c>
      <c r="D55" t="s">
        <v>382</v>
      </c>
      <c r="E55" t="s">
        <v>383</v>
      </c>
      <c r="F55">
        <v>15126</v>
      </c>
      <c r="G55" t="s">
        <v>27</v>
      </c>
      <c r="H55" t="s">
        <v>38</v>
      </c>
      <c r="I55" t="s">
        <v>384</v>
      </c>
      <c r="J55" t="s">
        <v>385</v>
      </c>
      <c r="K55">
        <v>1987</v>
      </c>
      <c r="L55">
        <v>395000</v>
      </c>
      <c r="M55" t="s">
        <v>386</v>
      </c>
      <c r="N55">
        <v>282</v>
      </c>
      <c r="O55">
        <f t="shared" si="0"/>
        <v>1400.7092198581561</v>
      </c>
      <c r="P55">
        <v>4042.063492063492</v>
      </c>
      <c r="Q55">
        <v>4400</v>
      </c>
      <c r="R55">
        <v>3</v>
      </c>
      <c r="S55" t="s">
        <v>387</v>
      </c>
      <c r="T55">
        <v>100</v>
      </c>
      <c r="U55">
        <v>784.11212311603492</v>
      </c>
      <c r="V55">
        <f t="shared" si="2"/>
        <v>-3.3685925702929884</v>
      </c>
    </row>
    <row r="56" spans="1:22" x14ac:dyDescent="0.3">
      <c r="A56" t="s">
        <v>388</v>
      </c>
      <c r="B56" t="s">
        <v>23</v>
      </c>
      <c r="C56" t="s">
        <v>389</v>
      </c>
      <c r="D56" t="s">
        <v>390</v>
      </c>
      <c r="E56" t="s">
        <v>391</v>
      </c>
      <c r="F56">
        <v>13676</v>
      </c>
      <c r="G56" t="s">
        <v>27</v>
      </c>
      <c r="H56" t="s">
        <v>392</v>
      </c>
      <c r="I56" t="s">
        <v>393</v>
      </c>
      <c r="J56" t="s">
        <v>394</v>
      </c>
      <c r="K56">
        <v>1973</v>
      </c>
      <c r="L56">
        <v>320000</v>
      </c>
      <c r="M56" t="s">
        <v>395</v>
      </c>
      <c r="N56">
        <v>320</v>
      </c>
      <c r="O56">
        <f t="shared" si="0"/>
        <v>1000</v>
      </c>
    </row>
    <row r="57" spans="1:22" x14ac:dyDescent="0.3">
      <c r="A57" t="s">
        <v>396</v>
      </c>
      <c r="B57" t="s">
        <v>34</v>
      </c>
      <c r="C57" t="s">
        <v>397</v>
      </c>
      <c r="D57" t="s">
        <v>398</v>
      </c>
      <c r="E57" t="s">
        <v>399</v>
      </c>
      <c r="F57">
        <v>13674</v>
      </c>
      <c r="G57" t="s">
        <v>27</v>
      </c>
      <c r="H57" t="s">
        <v>392</v>
      </c>
      <c r="I57" t="s">
        <v>393</v>
      </c>
      <c r="J57" t="s">
        <v>400</v>
      </c>
      <c r="K57">
        <v>2003</v>
      </c>
      <c r="L57">
        <v>109000</v>
      </c>
      <c r="M57" t="s">
        <v>401</v>
      </c>
      <c r="N57">
        <v>78</v>
      </c>
      <c r="O57">
        <f t="shared" si="0"/>
        <v>1397.4358974358975</v>
      </c>
      <c r="P57">
        <v>1526.077295761708</v>
      </c>
      <c r="Q57">
        <v>1388.5913664394679</v>
      </c>
      <c r="R57">
        <v>10</v>
      </c>
      <c r="S57" t="s">
        <v>402</v>
      </c>
      <c r="T57">
        <v>100</v>
      </c>
      <c r="U57">
        <v>531.95916873134888</v>
      </c>
      <c r="V57">
        <f t="shared" ref="V57:V60" si="3">(O57-P57)/U57</f>
        <v>-0.24182569995475967</v>
      </c>
    </row>
    <row r="58" spans="1:22" x14ac:dyDescent="0.3">
      <c r="A58" t="s">
        <v>403</v>
      </c>
      <c r="B58" t="s">
        <v>34</v>
      </c>
      <c r="C58" t="s">
        <v>404</v>
      </c>
      <c r="D58" t="s">
        <v>405</v>
      </c>
      <c r="E58" t="s">
        <v>406</v>
      </c>
      <c r="F58">
        <v>13674</v>
      </c>
      <c r="G58" t="s">
        <v>27</v>
      </c>
      <c r="H58" t="s">
        <v>392</v>
      </c>
      <c r="I58" t="s">
        <v>393</v>
      </c>
      <c r="J58" t="s">
        <v>407</v>
      </c>
      <c r="K58">
        <v>2003</v>
      </c>
      <c r="L58">
        <v>135000</v>
      </c>
      <c r="M58" t="s">
        <v>408</v>
      </c>
      <c r="N58">
        <v>102</v>
      </c>
      <c r="O58">
        <f t="shared" si="0"/>
        <v>1323.5294117647059</v>
      </c>
      <c r="P58">
        <v>1526.077295761708</v>
      </c>
      <c r="Q58">
        <v>1388.5913664394679</v>
      </c>
      <c r="R58">
        <v>10</v>
      </c>
      <c r="S58" t="s">
        <v>409</v>
      </c>
      <c r="T58">
        <v>100</v>
      </c>
      <c r="U58">
        <v>531.95916873134888</v>
      </c>
      <c r="V58">
        <f t="shared" si="3"/>
        <v>-0.38075832865152343</v>
      </c>
    </row>
    <row r="59" spans="1:22" x14ac:dyDescent="0.3">
      <c r="A59" t="s">
        <v>410</v>
      </c>
      <c r="B59" t="s">
        <v>34</v>
      </c>
      <c r="C59" t="s">
        <v>404</v>
      </c>
      <c r="D59" t="s">
        <v>411</v>
      </c>
      <c r="E59" t="s">
        <v>412</v>
      </c>
      <c r="F59">
        <v>13674</v>
      </c>
      <c r="G59" t="s">
        <v>27</v>
      </c>
      <c r="H59" t="s">
        <v>392</v>
      </c>
      <c r="I59" t="s">
        <v>393</v>
      </c>
      <c r="J59" t="s">
        <v>413</v>
      </c>
      <c r="K59">
        <v>2005</v>
      </c>
      <c r="L59">
        <v>179000</v>
      </c>
      <c r="M59" t="s">
        <v>414</v>
      </c>
      <c r="N59">
        <v>116</v>
      </c>
      <c r="O59">
        <f t="shared" si="0"/>
        <v>1543.1034482758621</v>
      </c>
      <c r="P59">
        <v>1612.7502085777419</v>
      </c>
      <c r="Q59">
        <v>1543.1034482758621</v>
      </c>
      <c r="R59">
        <v>11</v>
      </c>
      <c r="S59" t="s">
        <v>415</v>
      </c>
      <c r="T59">
        <v>100</v>
      </c>
      <c r="U59">
        <v>389.79565892358909</v>
      </c>
      <c r="V59">
        <f t="shared" si="3"/>
        <v>-0.17867505372996603</v>
      </c>
    </row>
    <row r="60" spans="1:22" x14ac:dyDescent="0.3">
      <c r="A60" t="s">
        <v>416</v>
      </c>
      <c r="B60" t="s">
        <v>34</v>
      </c>
      <c r="C60" t="s">
        <v>404</v>
      </c>
      <c r="D60" t="s">
        <v>417</v>
      </c>
      <c r="E60" t="s">
        <v>418</v>
      </c>
      <c r="F60">
        <v>13671</v>
      </c>
      <c r="G60" t="s">
        <v>27</v>
      </c>
      <c r="H60" t="s">
        <v>392</v>
      </c>
      <c r="I60" t="s">
        <v>393</v>
      </c>
      <c r="J60" t="s">
        <v>419</v>
      </c>
      <c r="K60">
        <v>1972</v>
      </c>
      <c r="L60">
        <v>90000</v>
      </c>
      <c r="M60" t="s">
        <v>420</v>
      </c>
      <c r="N60">
        <v>109</v>
      </c>
      <c r="O60">
        <f t="shared" si="0"/>
        <v>825.6880733944954</v>
      </c>
      <c r="P60">
        <v>1135.7157689869441</v>
      </c>
      <c r="Q60">
        <v>818.18181818181813</v>
      </c>
      <c r="R60">
        <v>13</v>
      </c>
      <c r="S60" t="s">
        <v>421</v>
      </c>
      <c r="T60">
        <v>100</v>
      </c>
      <c r="U60">
        <v>681.59926109410253</v>
      </c>
      <c r="V60">
        <f>(O60-P60)/U60</f>
        <v>-0.45485333287303237</v>
      </c>
    </row>
    <row r="61" spans="1:22" x14ac:dyDescent="0.3">
      <c r="A61" t="s">
        <v>422</v>
      </c>
      <c r="B61" t="s">
        <v>23</v>
      </c>
      <c r="C61" t="s">
        <v>423</v>
      </c>
      <c r="D61" t="s">
        <v>424</v>
      </c>
      <c r="E61" t="s">
        <v>425</v>
      </c>
      <c r="F61">
        <v>16673</v>
      </c>
      <c r="G61" t="s">
        <v>27</v>
      </c>
      <c r="H61" t="s">
        <v>392</v>
      </c>
      <c r="I61" t="s">
        <v>426</v>
      </c>
      <c r="J61" t="s">
        <v>427</v>
      </c>
      <c r="K61">
        <v>2010</v>
      </c>
      <c r="L61">
        <v>503000</v>
      </c>
      <c r="M61" t="s">
        <v>428</v>
      </c>
      <c r="N61">
        <v>217</v>
      </c>
      <c r="O61">
        <f t="shared" si="0"/>
        <v>2317.9723502304146</v>
      </c>
      <c r="P61">
        <v>6401.0433855908186</v>
      </c>
      <c r="Q61">
        <v>6375</v>
      </c>
      <c r="R61">
        <v>7</v>
      </c>
      <c r="S61" t="s">
        <v>429</v>
      </c>
      <c r="T61">
        <v>100</v>
      </c>
      <c r="U61">
        <v>938.29464444222333</v>
      </c>
      <c r="V61">
        <f t="shared" ref="V61" si="4">(O61-P61)/U61</f>
        <v>-4.3515872754316076</v>
      </c>
    </row>
    <row r="62" spans="1:22" x14ac:dyDescent="0.3">
      <c r="A62" t="s">
        <v>430</v>
      </c>
      <c r="B62" t="s">
        <v>23</v>
      </c>
      <c r="C62" t="s">
        <v>423</v>
      </c>
      <c r="D62" t="s">
        <v>431</v>
      </c>
      <c r="E62" t="s">
        <v>425</v>
      </c>
      <c r="F62">
        <v>16673</v>
      </c>
      <c r="G62" t="s">
        <v>27</v>
      </c>
      <c r="H62" t="s">
        <v>392</v>
      </c>
      <c r="I62" t="s">
        <v>426</v>
      </c>
      <c r="J62" t="s">
        <v>427</v>
      </c>
      <c r="K62">
        <v>2010</v>
      </c>
      <c r="L62">
        <v>1097000</v>
      </c>
      <c r="M62" t="s">
        <v>428</v>
      </c>
      <c r="N62">
        <v>324</v>
      </c>
      <c r="O62">
        <f t="shared" si="0"/>
        <v>3385.8024691358023</v>
      </c>
      <c r="P62">
        <v>6401.0433855908186</v>
      </c>
      <c r="Q62">
        <v>6375</v>
      </c>
      <c r="R62">
        <v>7</v>
      </c>
      <c r="S62" t="s">
        <v>429</v>
      </c>
      <c r="T62">
        <v>100</v>
      </c>
      <c r="U62">
        <v>938.29464444222333</v>
      </c>
      <c r="V62">
        <f t="shared" ref="V62:V71" si="5">(O62-P62)/U62</f>
        <v>-3.2135331202358617</v>
      </c>
    </row>
    <row r="63" spans="1:22" x14ac:dyDescent="0.3">
      <c r="A63" t="s">
        <v>432</v>
      </c>
      <c r="B63" t="s">
        <v>23</v>
      </c>
      <c r="C63" t="s">
        <v>433</v>
      </c>
      <c r="D63" t="s">
        <v>434</v>
      </c>
      <c r="E63" t="s">
        <v>435</v>
      </c>
      <c r="F63">
        <v>16673</v>
      </c>
      <c r="G63" t="s">
        <v>27</v>
      </c>
      <c r="H63" t="s">
        <v>392</v>
      </c>
      <c r="I63" t="s">
        <v>426</v>
      </c>
      <c r="J63" t="s">
        <v>436</v>
      </c>
      <c r="K63">
        <v>1986</v>
      </c>
      <c r="L63">
        <v>765000</v>
      </c>
      <c r="M63" t="s">
        <v>437</v>
      </c>
      <c r="N63">
        <v>308</v>
      </c>
      <c r="O63">
        <f t="shared" si="0"/>
        <v>2483.7662337662337</v>
      </c>
      <c r="P63">
        <v>981.59509202453989</v>
      </c>
      <c r="Q63">
        <v>981.59509202453989</v>
      </c>
      <c r="R63">
        <v>1</v>
      </c>
      <c r="S63" t="s">
        <v>438</v>
      </c>
      <c r="T63">
        <v>100</v>
      </c>
    </row>
    <row r="64" spans="1:22" x14ac:dyDescent="0.3">
      <c r="A64" t="s">
        <v>439</v>
      </c>
      <c r="B64" t="s">
        <v>34</v>
      </c>
      <c r="C64" t="s">
        <v>440</v>
      </c>
      <c r="D64" t="s">
        <v>441</v>
      </c>
      <c r="E64" t="s">
        <v>442</v>
      </c>
      <c r="F64">
        <v>16231</v>
      </c>
      <c r="G64" t="s">
        <v>27</v>
      </c>
      <c r="H64" t="s">
        <v>47</v>
      </c>
      <c r="I64" t="s">
        <v>443</v>
      </c>
      <c r="J64" t="s">
        <v>444</v>
      </c>
      <c r="K64">
        <v>1960</v>
      </c>
      <c r="L64">
        <v>129000</v>
      </c>
      <c r="M64" t="s">
        <v>445</v>
      </c>
      <c r="N64">
        <v>69</v>
      </c>
      <c r="O64">
        <f t="shared" si="0"/>
        <v>1869.5652173913043</v>
      </c>
      <c r="P64">
        <v>2714.187613845384</v>
      </c>
      <c r="Q64">
        <v>2739.6044624746451</v>
      </c>
      <c r="R64">
        <v>30</v>
      </c>
      <c r="S64" t="s">
        <v>446</v>
      </c>
      <c r="T64">
        <v>100</v>
      </c>
      <c r="U64">
        <v>853.5861524394013</v>
      </c>
      <c r="V64">
        <f t="shared" si="5"/>
        <v>-0.98949870969707665</v>
      </c>
    </row>
    <row r="65" spans="1:22" x14ac:dyDescent="0.3">
      <c r="A65" t="s">
        <v>447</v>
      </c>
      <c r="B65" t="s">
        <v>34</v>
      </c>
      <c r="C65" t="s">
        <v>448</v>
      </c>
      <c r="D65" t="s">
        <v>449</v>
      </c>
      <c r="E65" t="s">
        <v>450</v>
      </c>
      <c r="F65">
        <v>16231</v>
      </c>
      <c r="G65" t="s">
        <v>27</v>
      </c>
      <c r="H65" t="s">
        <v>47</v>
      </c>
      <c r="I65" t="s">
        <v>443</v>
      </c>
      <c r="J65" t="s">
        <v>451</v>
      </c>
      <c r="K65" t="s">
        <v>452</v>
      </c>
      <c r="L65">
        <v>52000</v>
      </c>
      <c r="M65" t="s">
        <v>453</v>
      </c>
      <c r="N65">
        <v>58</v>
      </c>
      <c r="O65">
        <f t="shared" si="0"/>
        <v>896.55172413793105</v>
      </c>
      <c r="P65">
        <v>2166.743693567063</v>
      </c>
      <c r="Q65">
        <v>1911.8414188836721</v>
      </c>
      <c r="R65">
        <v>30</v>
      </c>
      <c r="S65" t="s">
        <v>454</v>
      </c>
      <c r="T65">
        <v>100</v>
      </c>
      <c r="U65">
        <v>977.48718795052901</v>
      </c>
      <c r="V65">
        <f t="shared" si="5"/>
        <v>-1.2994461565192574</v>
      </c>
    </row>
    <row r="66" spans="1:22" x14ac:dyDescent="0.3">
      <c r="A66" t="s">
        <v>455</v>
      </c>
      <c r="B66" t="s">
        <v>34</v>
      </c>
      <c r="C66" t="s">
        <v>456</v>
      </c>
      <c r="D66" t="s">
        <v>457</v>
      </c>
      <c r="E66" t="s">
        <v>458</v>
      </c>
      <c r="F66">
        <v>16232</v>
      </c>
      <c r="G66" t="s">
        <v>27</v>
      </c>
      <c r="H66" t="s">
        <v>47</v>
      </c>
      <c r="I66" t="s">
        <v>443</v>
      </c>
      <c r="J66" t="s">
        <v>459</v>
      </c>
      <c r="K66">
        <v>1974</v>
      </c>
      <c r="L66">
        <v>102000</v>
      </c>
      <c r="M66" t="s">
        <v>460</v>
      </c>
      <c r="N66">
        <v>61</v>
      </c>
      <c r="O66">
        <f t="shared" si="0"/>
        <v>1672.1311475409836</v>
      </c>
      <c r="P66">
        <v>2591.534390572584</v>
      </c>
      <c r="Q66">
        <v>2181.818181818182</v>
      </c>
      <c r="R66">
        <v>30</v>
      </c>
      <c r="S66" t="s">
        <v>461</v>
      </c>
      <c r="T66">
        <v>100</v>
      </c>
      <c r="U66">
        <v>1231.6215430190359</v>
      </c>
      <c r="V66">
        <f t="shared" si="5"/>
        <v>-0.74649818220773856</v>
      </c>
    </row>
    <row r="67" spans="1:22" x14ac:dyDescent="0.3">
      <c r="A67" t="s">
        <v>462</v>
      </c>
      <c r="B67" t="s">
        <v>34</v>
      </c>
      <c r="C67" t="s">
        <v>463</v>
      </c>
      <c r="D67" t="s">
        <v>464</v>
      </c>
      <c r="E67" t="s">
        <v>465</v>
      </c>
      <c r="F67">
        <v>16674</v>
      </c>
      <c r="G67" t="s">
        <v>27</v>
      </c>
      <c r="H67" t="s">
        <v>368</v>
      </c>
      <c r="I67" t="s">
        <v>466</v>
      </c>
      <c r="J67" t="s">
        <v>467</v>
      </c>
      <c r="K67">
        <v>1992</v>
      </c>
      <c r="L67">
        <v>242000</v>
      </c>
      <c r="M67" t="s">
        <v>468</v>
      </c>
      <c r="N67">
        <v>107</v>
      </c>
      <c r="O67">
        <f t="shared" ref="O67:O130" si="6">L67/N67</f>
        <v>2261.6822429906542</v>
      </c>
      <c r="P67">
        <v>5899.1060670892484</v>
      </c>
      <c r="Q67">
        <v>5778.5714285714284</v>
      </c>
      <c r="R67">
        <v>30</v>
      </c>
      <c r="S67" t="s">
        <v>469</v>
      </c>
      <c r="T67">
        <v>100</v>
      </c>
      <c r="U67">
        <v>1853.5031773189301</v>
      </c>
      <c r="V67">
        <f t="shared" si="5"/>
        <v>-1.9624589094905593</v>
      </c>
    </row>
    <row r="68" spans="1:22" x14ac:dyDescent="0.3">
      <c r="A68" t="s">
        <v>470</v>
      </c>
      <c r="B68" t="s">
        <v>34</v>
      </c>
      <c r="C68" t="s">
        <v>471</v>
      </c>
      <c r="D68" t="s">
        <v>472</v>
      </c>
      <c r="E68" t="s">
        <v>473</v>
      </c>
      <c r="F68">
        <v>16674</v>
      </c>
      <c r="G68" t="s">
        <v>27</v>
      </c>
      <c r="H68" t="s">
        <v>368</v>
      </c>
      <c r="I68" t="s">
        <v>466</v>
      </c>
      <c r="J68" t="s">
        <v>474</v>
      </c>
      <c r="K68">
        <v>1978</v>
      </c>
      <c r="L68">
        <v>295000</v>
      </c>
      <c r="M68" t="s">
        <v>475</v>
      </c>
      <c r="N68">
        <v>88</v>
      </c>
      <c r="O68">
        <f t="shared" si="6"/>
        <v>3352.2727272727275</v>
      </c>
      <c r="P68">
        <v>6020.8529312034334</v>
      </c>
      <c r="Q68">
        <v>5441.666666666667</v>
      </c>
      <c r="R68">
        <v>30</v>
      </c>
      <c r="S68" t="s">
        <v>476</v>
      </c>
      <c r="T68">
        <v>100</v>
      </c>
      <c r="U68">
        <v>2783.1016890533751</v>
      </c>
      <c r="V68">
        <f t="shared" si="5"/>
        <v>-0.95885113160862556</v>
      </c>
    </row>
    <row r="69" spans="1:22" x14ac:dyDescent="0.3">
      <c r="A69" t="s">
        <v>477</v>
      </c>
      <c r="B69" t="s">
        <v>23</v>
      </c>
      <c r="C69" t="s">
        <v>478</v>
      </c>
      <c r="D69" t="s">
        <v>479</v>
      </c>
      <c r="E69" t="s">
        <v>480</v>
      </c>
      <c r="F69">
        <v>16675</v>
      </c>
      <c r="G69" t="s">
        <v>27</v>
      </c>
      <c r="H69" t="s">
        <v>368</v>
      </c>
      <c r="I69" t="s">
        <v>466</v>
      </c>
      <c r="J69" t="s">
        <v>481</v>
      </c>
      <c r="K69">
        <v>2000</v>
      </c>
      <c r="L69">
        <v>950000</v>
      </c>
      <c r="M69" t="s">
        <v>482</v>
      </c>
      <c r="N69">
        <v>281</v>
      </c>
      <c r="O69">
        <f t="shared" si="6"/>
        <v>3380.7829181494662</v>
      </c>
      <c r="P69">
        <v>6133.9282529248276</v>
      </c>
      <c r="Q69">
        <v>5927.3840769903763</v>
      </c>
      <c r="R69">
        <v>30</v>
      </c>
      <c r="S69" t="s">
        <v>483</v>
      </c>
      <c r="T69">
        <v>100</v>
      </c>
      <c r="U69">
        <v>3008.8374826268491</v>
      </c>
      <c r="V69">
        <f t="shared" si="5"/>
        <v>-0.91501962158878147</v>
      </c>
    </row>
    <row r="70" spans="1:22" x14ac:dyDescent="0.3">
      <c r="A70" t="s">
        <v>484</v>
      </c>
      <c r="B70" t="s">
        <v>34</v>
      </c>
      <c r="C70" t="s">
        <v>485</v>
      </c>
      <c r="D70" t="s">
        <v>486</v>
      </c>
      <c r="E70" t="s">
        <v>487</v>
      </c>
      <c r="F70">
        <v>17236</v>
      </c>
      <c r="G70" t="s">
        <v>27</v>
      </c>
      <c r="H70" t="s">
        <v>47</v>
      </c>
      <c r="I70" t="s">
        <v>48</v>
      </c>
      <c r="J70" t="s">
        <v>488</v>
      </c>
      <c r="K70">
        <v>2002</v>
      </c>
      <c r="L70">
        <v>240000</v>
      </c>
      <c r="M70" t="s">
        <v>489</v>
      </c>
      <c r="N70">
        <v>103</v>
      </c>
      <c r="O70">
        <f t="shared" si="6"/>
        <v>2330.0970873786409</v>
      </c>
    </row>
    <row r="71" spans="1:22" x14ac:dyDescent="0.3">
      <c r="A71" t="s">
        <v>490</v>
      </c>
      <c r="B71" t="s">
        <v>34</v>
      </c>
      <c r="C71" t="s">
        <v>491</v>
      </c>
      <c r="D71" t="s">
        <v>492</v>
      </c>
      <c r="E71" t="s">
        <v>493</v>
      </c>
      <c r="F71">
        <v>57008</v>
      </c>
      <c r="G71" t="s">
        <v>494</v>
      </c>
      <c r="H71" t="s">
        <v>495</v>
      </c>
      <c r="I71" t="s">
        <v>496</v>
      </c>
      <c r="J71" t="s">
        <v>497</v>
      </c>
      <c r="K71">
        <v>2005</v>
      </c>
      <c r="L71">
        <v>100000</v>
      </c>
      <c r="M71" t="s">
        <v>498</v>
      </c>
      <c r="N71">
        <v>64</v>
      </c>
      <c r="O71">
        <f t="shared" si="6"/>
        <v>1562.5</v>
      </c>
      <c r="P71">
        <v>1351.0576923076919</v>
      </c>
      <c r="Q71">
        <v>1550.4807692307691</v>
      </c>
      <c r="R71">
        <v>8</v>
      </c>
      <c r="S71" t="s">
        <v>499</v>
      </c>
      <c r="T71">
        <v>100</v>
      </c>
      <c r="U71">
        <v>338.49114818034712</v>
      </c>
      <c r="V71">
        <f t="shared" si="5"/>
        <v>0.62466126168726932</v>
      </c>
    </row>
    <row r="72" spans="1:22" x14ac:dyDescent="0.3">
      <c r="A72" t="s">
        <v>500</v>
      </c>
      <c r="B72" t="s">
        <v>23</v>
      </c>
      <c r="C72" t="s">
        <v>501</v>
      </c>
      <c r="D72" t="s">
        <v>502</v>
      </c>
      <c r="E72" t="s">
        <v>503</v>
      </c>
      <c r="F72">
        <v>14569</v>
      </c>
      <c r="G72" t="s">
        <v>27</v>
      </c>
      <c r="H72" t="s">
        <v>392</v>
      </c>
      <c r="I72" t="s">
        <v>504</v>
      </c>
      <c r="J72" t="s">
        <v>505</v>
      </c>
      <c r="K72">
        <v>1986</v>
      </c>
      <c r="L72">
        <v>295000</v>
      </c>
      <c r="M72" t="s">
        <v>506</v>
      </c>
      <c r="N72">
        <v>234</v>
      </c>
      <c r="O72">
        <f t="shared" si="6"/>
        <v>1260.6837606837607</v>
      </c>
      <c r="P72">
        <v>1750</v>
      </c>
      <c r="Q72">
        <v>1750</v>
      </c>
      <c r="R72">
        <v>2</v>
      </c>
      <c r="S72" t="s">
        <v>507</v>
      </c>
      <c r="T72">
        <v>100</v>
      </c>
      <c r="U72">
        <v>0</v>
      </c>
    </row>
    <row r="73" spans="1:22" x14ac:dyDescent="0.3">
      <c r="A73" t="s">
        <v>508</v>
      </c>
      <c r="B73" t="s">
        <v>23</v>
      </c>
      <c r="C73" t="s">
        <v>509</v>
      </c>
      <c r="D73" t="s">
        <v>510</v>
      </c>
      <c r="E73" t="s">
        <v>511</v>
      </c>
      <c r="F73">
        <v>14575</v>
      </c>
      <c r="G73" t="s">
        <v>27</v>
      </c>
      <c r="H73" t="s">
        <v>392</v>
      </c>
      <c r="I73" t="s">
        <v>504</v>
      </c>
      <c r="J73" t="s">
        <v>512</v>
      </c>
      <c r="K73">
        <v>1982</v>
      </c>
      <c r="L73">
        <v>640000</v>
      </c>
      <c r="M73" t="s">
        <v>513</v>
      </c>
      <c r="N73">
        <v>531</v>
      </c>
      <c r="O73">
        <f t="shared" si="6"/>
        <v>1205.2730696798494</v>
      </c>
    </row>
    <row r="74" spans="1:22" x14ac:dyDescent="0.3">
      <c r="A74" t="s">
        <v>514</v>
      </c>
      <c r="B74" t="s">
        <v>23</v>
      </c>
      <c r="C74" t="s">
        <v>515</v>
      </c>
      <c r="D74" t="s">
        <v>516</v>
      </c>
      <c r="E74" t="s">
        <v>517</v>
      </c>
      <c r="F74">
        <v>14574</v>
      </c>
      <c r="G74" t="s">
        <v>27</v>
      </c>
      <c r="H74" t="s">
        <v>47</v>
      </c>
      <c r="I74" t="s">
        <v>48</v>
      </c>
      <c r="J74" t="s">
        <v>518</v>
      </c>
      <c r="K74">
        <v>2002</v>
      </c>
      <c r="L74">
        <v>265000</v>
      </c>
      <c r="M74" t="s">
        <v>519</v>
      </c>
      <c r="N74">
        <v>619</v>
      </c>
      <c r="O74">
        <f t="shared" si="6"/>
        <v>428.10985460420034</v>
      </c>
      <c r="P74">
        <v>3590.211312230475</v>
      </c>
      <c r="Q74">
        <v>3505.7773109243699</v>
      </c>
      <c r="R74">
        <v>30</v>
      </c>
      <c r="S74" t="s">
        <v>520</v>
      </c>
      <c r="T74">
        <v>100</v>
      </c>
      <c r="U74">
        <v>1244.315476839223</v>
      </c>
      <c r="V74">
        <f t="shared" ref="V74:V94" si="7">(O74-P74)/U74</f>
        <v>-2.5412377459601809</v>
      </c>
    </row>
    <row r="75" spans="1:22" x14ac:dyDescent="0.3">
      <c r="A75" t="s">
        <v>521</v>
      </c>
      <c r="B75" t="s">
        <v>23</v>
      </c>
      <c r="C75" t="s">
        <v>522</v>
      </c>
      <c r="D75" t="s">
        <v>523</v>
      </c>
      <c r="E75" t="s">
        <v>524</v>
      </c>
      <c r="F75">
        <v>14568</v>
      </c>
      <c r="G75" t="s">
        <v>27</v>
      </c>
      <c r="H75" t="s">
        <v>392</v>
      </c>
      <c r="I75" t="s">
        <v>504</v>
      </c>
      <c r="J75" t="s">
        <v>525</v>
      </c>
      <c r="K75">
        <v>2007</v>
      </c>
      <c r="L75">
        <v>144000</v>
      </c>
      <c r="M75" t="s">
        <v>526</v>
      </c>
      <c r="N75">
        <v>80</v>
      </c>
      <c r="O75">
        <f t="shared" si="6"/>
        <v>1800</v>
      </c>
      <c r="P75">
        <v>2084.256628787879</v>
      </c>
      <c r="Q75">
        <v>1800</v>
      </c>
      <c r="R75">
        <v>16</v>
      </c>
      <c r="S75" t="s">
        <v>527</v>
      </c>
      <c r="T75">
        <v>100</v>
      </c>
      <c r="U75">
        <v>807.3447441006972</v>
      </c>
      <c r="V75">
        <f t="shared" si="7"/>
        <v>-0.35208828801445036</v>
      </c>
    </row>
    <row r="76" spans="1:22" x14ac:dyDescent="0.3">
      <c r="A76" t="s">
        <v>528</v>
      </c>
      <c r="B76" t="s">
        <v>23</v>
      </c>
      <c r="C76" t="s">
        <v>522</v>
      </c>
      <c r="D76" t="s">
        <v>529</v>
      </c>
      <c r="E76" t="s">
        <v>524</v>
      </c>
      <c r="F76">
        <v>14568</v>
      </c>
      <c r="G76" t="s">
        <v>27</v>
      </c>
      <c r="H76" t="s">
        <v>392</v>
      </c>
      <c r="I76" t="s">
        <v>504</v>
      </c>
      <c r="J76" t="s">
        <v>530</v>
      </c>
      <c r="K76">
        <v>2007</v>
      </c>
      <c r="L76">
        <v>158000</v>
      </c>
      <c r="M76" t="s">
        <v>531</v>
      </c>
      <c r="N76">
        <v>88</v>
      </c>
      <c r="O76">
        <f t="shared" si="6"/>
        <v>1795.4545454545455</v>
      </c>
      <c r="P76">
        <v>1897.890750692475</v>
      </c>
      <c r="Q76">
        <v>1800</v>
      </c>
      <c r="R76">
        <v>18</v>
      </c>
      <c r="S76" t="s">
        <v>532</v>
      </c>
      <c r="T76">
        <v>100</v>
      </c>
      <c r="U76">
        <v>219.57386446622601</v>
      </c>
      <c r="V76">
        <f t="shared" si="7"/>
        <v>-0.46652275983276598</v>
      </c>
    </row>
    <row r="77" spans="1:22" x14ac:dyDescent="0.3">
      <c r="A77" t="s">
        <v>533</v>
      </c>
      <c r="B77" t="s">
        <v>34</v>
      </c>
      <c r="C77" t="s">
        <v>534</v>
      </c>
      <c r="D77" t="s">
        <v>535</v>
      </c>
      <c r="E77" t="s">
        <v>536</v>
      </c>
      <c r="F77">
        <v>19200</v>
      </c>
      <c r="G77" t="s">
        <v>27</v>
      </c>
      <c r="H77" t="s">
        <v>537</v>
      </c>
      <c r="I77" t="s">
        <v>538</v>
      </c>
      <c r="J77" t="s">
        <v>539</v>
      </c>
      <c r="K77">
        <v>1997</v>
      </c>
      <c r="L77">
        <v>123000</v>
      </c>
      <c r="M77" t="s">
        <v>540</v>
      </c>
      <c r="N77">
        <v>105</v>
      </c>
      <c r="O77">
        <f t="shared" si="6"/>
        <v>1171.4285714285713</v>
      </c>
      <c r="P77">
        <v>1645.496894409938</v>
      </c>
      <c r="Q77">
        <v>1645.496894409938</v>
      </c>
      <c r="R77">
        <v>2</v>
      </c>
      <c r="S77" t="s">
        <v>541</v>
      </c>
      <c r="T77">
        <v>100</v>
      </c>
      <c r="U77">
        <v>670.43385185171746</v>
      </c>
      <c r="V77">
        <f t="shared" si="7"/>
        <v>-0.70710678118654768</v>
      </c>
    </row>
    <row r="78" spans="1:22" x14ac:dyDescent="0.3">
      <c r="A78" t="s">
        <v>542</v>
      </c>
      <c r="B78" t="s">
        <v>34</v>
      </c>
      <c r="C78" t="s">
        <v>543</v>
      </c>
      <c r="D78" t="s">
        <v>544</v>
      </c>
      <c r="E78" t="s">
        <v>545</v>
      </c>
      <c r="F78">
        <v>19200</v>
      </c>
      <c r="G78" t="s">
        <v>27</v>
      </c>
      <c r="H78" t="s">
        <v>537</v>
      </c>
      <c r="I78" t="s">
        <v>538</v>
      </c>
      <c r="J78" t="s">
        <v>546</v>
      </c>
      <c r="K78">
        <v>1973</v>
      </c>
      <c r="L78">
        <v>77000</v>
      </c>
      <c r="M78" t="s">
        <v>547</v>
      </c>
      <c r="N78">
        <v>84</v>
      </c>
      <c r="O78">
        <f t="shared" si="6"/>
        <v>916.66666666666663</v>
      </c>
      <c r="P78">
        <v>919.82214572576015</v>
      </c>
      <c r="Q78">
        <v>916.66666666666663</v>
      </c>
      <c r="R78">
        <v>7</v>
      </c>
      <c r="S78" t="s">
        <v>548</v>
      </c>
      <c r="T78">
        <v>100</v>
      </c>
      <c r="U78">
        <v>5.3890064269246407</v>
      </c>
      <c r="V78">
        <f t="shared" si="7"/>
        <v>-0.58554004376911994</v>
      </c>
    </row>
    <row r="79" spans="1:22" x14ac:dyDescent="0.3">
      <c r="A79" t="s">
        <v>549</v>
      </c>
      <c r="B79" t="s">
        <v>34</v>
      </c>
      <c r="C79" t="s">
        <v>550</v>
      </c>
      <c r="D79" t="s">
        <v>551</v>
      </c>
      <c r="E79" t="s">
        <v>552</v>
      </c>
      <c r="F79">
        <v>16344</v>
      </c>
      <c r="G79" t="s">
        <v>27</v>
      </c>
      <c r="H79" t="s">
        <v>47</v>
      </c>
      <c r="I79" t="s">
        <v>553</v>
      </c>
      <c r="J79" t="s">
        <v>554</v>
      </c>
      <c r="K79">
        <v>1975</v>
      </c>
      <c r="L79">
        <v>122000</v>
      </c>
      <c r="M79" t="s">
        <v>555</v>
      </c>
      <c r="N79">
        <v>93</v>
      </c>
      <c r="O79">
        <f t="shared" si="6"/>
        <v>1311.8279569892472</v>
      </c>
      <c r="P79">
        <v>1831.96617158749</v>
      </c>
      <c r="Q79">
        <v>1854.838709677419</v>
      </c>
      <c r="R79">
        <v>15</v>
      </c>
      <c r="S79" t="s">
        <v>556</v>
      </c>
      <c r="T79">
        <v>100</v>
      </c>
      <c r="U79">
        <v>705.92070280673647</v>
      </c>
      <c r="V79">
        <f t="shared" si="7"/>
        <v>-0.73682243987203699</v>
      </c>
    </row>
    <row r="80" spans="1:22" x14ac:dyDescent="0.3">
      <c r="A80" t="s">
        <v>557</v>
      </c>
      <c r="B80" t="s">
        <v>34</v>
      </c>
      <c r="C80" t="s">
        <v>558</v>
      </c>
      <c r="D80" t="s">
        <v>559</v>
      </c>
      <c r="E80" t="s">
        <v>560</v>
      </c>
      <c r="F80">
        <v>14122</v>
      </c>
      <c r="G80" t="s">
        <v>27</v>
      </c>
      <c r="H80" t="s">
        <v>38</v>
      </c>
      <c r="I80" t="s">
        <v>561</v>
      </c>
      <c r="J80" t="s">
        <v>562</v>
      </c>
      <c r="K80">
        <v>2007</v>
      </c>
      <c r="L80">
        <v>154000</v>
      </c>
      <c r="M80" t="s">
        <v>563</v>
      </c>
      <c r="N80">
        <v>63</v>
      </c>
      <c r="O80">
        <f t="shared" si="6"/>
        <v>2444.4444444444443</v>
      </c>
      <c r="P80">
        <v>2410.0244798774211</v>
      </c>
      <c r="Q80">
        <v>2444.4444444444439</v>
      </c>
      <c r="R80">
        <v>30</v>
      </c>
      <c r="S80" t="s">
        <v>564</v>
      </c>
      <c r="T80">
        <v>100</v>
      </c>
      <c r="U80">
        <v>337.77993834688971</v>
      </c>
      <c r="V80">
        <f t="shared" si="7"/>
        <v>0.10190055909026491</v>
      </c>
    </row>
    <row r="81" spans="1:22" x14ac:dyDescent="0.3">
      <c r="A81" t="s">
        <v>565</v>
      </c>
      <c r="B81" t="s">
        <v>34</v>
      </c>
      <c r="C81" t="s">
        <v>558</v>
      </c>
      <c r="D81" t="s">
        <v>566</v>
      </c>
      <c r="E81" t="s">
        <v>567</v>
      </c>
      <c r="F81">
        <v>14122</v>
      </c>
      <c r="G81" t="s">
        <v>27</v>
      </c>
      <c r="H81" t="s">
        <v>38</v>
      </c>
      <c r="I81" t="s">
        <v>561</v>
      </c>
      <c r="J81" t="s">
        <v>562</v>
      </c>
      <c r="K81">
        <v>2007</v>
      </c>
      <c r="L81">
        <v>245500</v>
      </c>
      <c r="M81" t="s">
        <v>568</v>
      </c>
      <c r="N81">
        <v>85</v>
      </c>
      <c r="O81">
        <f t="shared" si="6"/>
        <v>2888.2352941176468</v>
      </c>
      <c r="P81">
        <v>2410.0244798774211</v>
      </c>
      <c r="Q81">
        <v>2444.4444444444439</v>
      </c>
      <c r="R81">
        <v>30</v>
      </c>
      <c r="S81" t="s">
        <v>564</v>
      </c>
      <c r="T81">
        <v>100</v>
      </c>
      <c r="U81">
        <v>337.77993834688971</v>
      </c>
      <c r="V81">
        <f t="shared" si="7"/>
        <v>1.4157466443407241</v>
      </c>
    </row>
    <row r="82" spans="1:22" x14ac:dyDescent="0.3">
      <c r="A82" t="s">
        <v>569</v>
      </c>
      <c r="B82" t="s">
        <v>34</v>
      </c>
      <c r="C82" t="s">
        <v>570</v>
      </c>
      <c r="D82" t="s">
        <v>571</v>
      </c>
      <c r="E82" t="s">
        <v>572</v>
      </c>
      <c r="F82">
        <v>14122</v>
      </c>
      <c r="G82" t="s">
        <v>27</v>
      </c>
      <c r="H82" t="s">
        <v>38</v>
      </c>
      <c r="I82" t="s">
        <v>561</v>
      </c>
      <c r="J82" t="s">
        <v>573</v>
      </c>
      <c r="K82">
        <v>2007</v>
      </c>
      <c r="L82">
        <v>110000</v>
      </c>
      <c r="M82" t="s">
        <v>574</v>
      </c>
      <c r="N82">
        <v>52</v>
      </c>
      <c r="O82">
        <f t="shared" si="6"/>
        <v>2115.3846153846152</v>
      </c>
      <c r="P82">
        <v>2529.411764705882</v>
      </c>
      <c r="Q82">
        <v>2500</v>
      </c>
      <c r="R82">
        <v>3</v>
      </c>
      <c r="S82" t="s">
        <v>575</v>
      </c>
      <c r="T82">
        <v>100</v>
      </c>
      <c r="U82">
        <v>345.05904414264609</v>
      </c>
      <c r="V82">
        <f t="shared" si="7"/>
        <v>-1.1998733444300318</v>
      </c>
    </row>
    <row r="83" spans="1:22" x14ac:dyDescent="0.3">
      <c r="A83" t="s">
        <v>576</v>
      </c>
      <c r="B83" t="s">
        <v>23</v>
      </c>
      <c r="C83" t="s">
        <v>577</v>
      </c>
      <c r="D83" t="s">
        <v>578</v>
      </c>
      <c r="E83" t="s">
        <v>579</v>
      </c>
      <c r="F83">
        <v>14121</v>
      </c>
      <c r="G83" t="s">
        <v>27</v>
      </c>
      <c r="H83" t="s">
        <v>38</v>
      </c>
      <c r="I83" t="s">
        <v>561</v>
      </c>
      <c r="J83" t="s">
        <v>580</v>
      </c>
      <c r="K83">
        <v>2004</v>
      </c>
      <c r="L83">
        <v>240000</v>
      </c>
      <c r="M83" t="s">
        <v>581</v>
      </c>
      <c r="N83">
        <v>82</v>
      </c>
      <c r="O83">
        <f t="shared" si="6"/>
        <v>2926.8292682926831</v>
      </c>
      <c r="P83">
        <v>3756.801120603398</v>
      </c>
      <c r="Q83">
        <v>3950</v>
      </c>
      <c r="R83">
        <v>8</v>
      </c>
      <c r="S83" t="s">
        <v>582</v>
      </c>
      <c r="T83">
        <v>100</v>
      </c>
      <c r="U83">
        <v>788.65731375851624</v>
      </c>
      <c r="V83">
        <f t="shared" si="7"/>
        <v>-1.0523859195007086</v>
      </c>
    </row>
    <row r="84" spans="1:22" x14ac:dyDescent="0.3">
      <c r="A84" t="s">
        <v>583</v>
      </c>
      <c r="B84" t="s">
        <v>34</v>
      </c>
      <c r="C84" t="s">
        <v>584</v>
      </c>
      <c r="D84" t="s">
        <v>585</v>
      </c>
      <c r="E84" t="s">
        <v>586</v>
      </c>
      <c r="F84">
        <v>57019</v>
      </c>
      <c r="G84" t="s">
        <v>494</v>
      </c>
      <c r="H84" t="s">
        <v>495</v>
      </c>
      <c r="I84" t="s">
        <v>587</v>
      </c>
      <c r="J84" t="s">
        <v>588</v>
      </c>
      <c r="K84">
        <v>2005</v>
      </c>
      <c r="L84">
        <v>160000</v>
      </c>
      <c r="M84" t="s">
        <v>589</v>
      </c>
      <c r="N84">
        <v>108</v>
      </c>
      <c r="O84">
        <f t="shared" si="6"/>
        <v>1481.4814814814815</v>
      </c>
      <c r="P84">
        <v>2478.3713827074262</v>
      </c>
      <c r="Q84">
        <v>2464.2857142857142</v>
      </c>
      <c r="R84">
        <v>20</v>
      </c>
      <c r="S84" t="s">
        <v>590</v>
      </c>
      <c r="T84">
        <v>100</v>
      </c>
      <c r="U84">
        <v>697.82040318393615</v>
      </c>
      <c r="V84">
        <f t="shared" si="7"/>
        <v>-1.4285766032025546</v>
      </c>
    </row>
    <row r="85" spans="1:22" x14ac:dyDescent="0.3">
      <c r="A85" t="s">
        <v>591</v>
      </c>
      <c r="B85" t="s">
        <v>23</v>
      </c>
      <c r="C85" t="s">
        <v>592</v>
      </c>
      <c r="D85" t="s">
        <v>593</v>
      </c>
      <c r="E85" t="s">
        <v>594</v>
      </c>
      <c r="F85">
        <v>57006</v>
      </c>
      <c r="G85" t="s">
        <v>494</v>
      </c>
      <c r="H85" t="s">
        <v>495</v>
      </c>
      <c r="I85" t="s">
        <v>595</v>
      </c>
      <c r="J85" t="s">
        <v>596</v>
      </c>
      <c r="K85">
        <v>2005</v>
      </c>
      <c r="L85">
        <v>49000</v>
      </c>
      <c r="M85" t="s">
        <v>597</v>
      </c>
      <c r="N85">
        <v>64</v>
      </c>
      <c r="O85">
        <f t="shared" si="6"/>
        <v>765.625</v>
      </c>
      <c r="P85">
        <v>307.01478905789168</v>
      </c>
      <c r="Q85">
        <v>262.03208556149741</v>
      </c>
      <c r="R85">
        <v>3</v>
      </c>
      <c r="S85" t="s">
        <v>598</v>
      </c>
      <c r="T85">
        <v>100</v>
      </c>
      <c r="U85">
        <v>79.122452570246125</v>
      </c>
      <c r="V85">
        <f t="shared" si="7"/>
        <v>5.7962082322327806</v>
      </c>
    </row>
    <row r="86" spans="1:22" x14ac:dyDescent="0.3">
      <c r="A86" t="s">
        <v>599</v>
      </c>
      <c r="B86" t="s">
        <v>23</v>
      </c>
      <c r="C86" t="s">
        <v>600</v>
      </c>
      <c r="D86" t="s">
        <v>601</v>
      </c>
      <c r="E86" t="s">
        <v>602</v>
      </c>
      <c r="F86">
        <v>57500</v>
      </c>
      <c r="G86" t="s">
        <v>494</v>
      </c>
      <c r="H86" t="s">
        <v>495</v>
      </c>
      <c r="I86" t="s">
        <v>595</v>
      </c>
      <c r="J86" t="s">
        <v>603</v>
      </c>
      <c r="K86">
        <v>2000</v>
      </c>
      <c r="L86">
        <v>187000</v>
      </c>
      <c r="M86" t="s">
        <v>604</v>
      </c>
      <c r="N86">
        <v>215</v>
      </c>
      <c r="O86">
        <f t="shared" si="6"/>
        <v>869.76744186046517</v>
      </c>
      <c r="P86">
        <v>1330.819507290096</v>
      </c>
      <c r="Q86">
        <v>1284.615384615385</v>
      </c>
      <c r="R86">
        <v>3</v>
      </c>
      <c r="S86" t="s">
        <v>605</v>
      </c>
      <c r="T86">
        <v>100</v>
      </c>
      <c r="U86">
        <v>95.992362353944031</v>
      </c>
      <c r="V86">
        <f t="shared" si="7"/>
        <v>-4.8030078031587022</v>
      </c>
    </row>
    <row r="87" spans="1:22" x14ac:dyDescent="0.3">
      <c r="A87" t="s">
        <v>606</v>
      </c>
      <c r="B87" t="s">
        <v>34</v>
      </c>
      <c r="C87" t="s">
        <v>607</v>
      </c>
      <c r="D87" t="s">
        <v>608</v>
      </c>
      <c r="E87" t="s">
        <v>609</v>
      </c>
      <c r="F87">
        <v>57500</v>
      </c>
      <c r="G87" t="s">
        <v>494</v>
      </c>
      <c r="H87" t="s">
        <v>495</v>
      </c>
      <c r="I87" t="s">
        <v>595</v>
      </c>
      <c r="J87" t="s">
        <v>610</v>
      </c>
      <c r="K87">
        <v>2008</v>
      </c>
      <c r="L87">
        <v>153000</v>
      </c>
      <c r="M87" t="s">
        <v>611</v>
      </c>
      <c r="N87">
        <v>125</v>
      </c>
      <c r="O87">
        <f t="shared" si="6"/>
        <v>1224</v>
      </c>
      <c r="P87">
        <v>1362.0646173368009</v>
      </c>
      <c r="Q87">
        <v>1224</v>
      </c>
      <c r="R87">
        <v>11</v>
      </c>
      <c r="S87" t="s">
        <v>612</v>
      </c>
      <c r="T87">
        <v>100</v>
      </c>
      <c r="U87">
        <v>187.3026317354088</v>
      </c>
      <c r="V87">
        <f t="shared" si="7"/>
        <v>-0.73712054154068962</v>
      </c>
    </row>
    <row r="88" spans="1:22" x14ac:dyDescent="0.3">
      <c r="A88" t="s">
        <v>613</v>
      </c>
      <c r="B88" t="s">
        <v>34</v>
      </c>
      <c r="C88" t="s">
        <v>614</v>
      </c>
      <c r="D88" t="s">
        <v>615</v>
      </c>
      <c r="E88" t="s">
        <v>616</v>
      </c>
      <c r="F88">
        <v>54632</v>
      </c>
      <c r="G88" t="s">
        <v>494</v>
      </c>
      <c r="H88" t="s">
        <v>495</v>
      </c>
      <c r="I88" t="s">
        <v>495</v>
      </c>
      <c r="J88" t="s">
        <v>617</v>
      </c>
      <c r="K88">
        <v>1966</v>
      </c>
      <c r="L88">
        <v>24800</v>
      </c>
      <c r="M88" t="s">
        <v>618</v>
      </c>
      <c r="N88">
        <v>27</v>
      </c>
      <c r="O88">
        <f t="shared" si="6"/>
        <v>918.51851851851848</v>
      </c>
      <c r="P88">
        <v>1444.720044009732</v>
      </c>
      <c r="Q88">
        <v>1304.7222222222219</v>
      </c>
      <c r="R88">
        <v>30</v>
      </c>
      <c r="S88" t="s">
        <v>619</v>
      </c>
      <c r="T88">
        <v>100</v>
      </c>
      <c r="U88">
        <v>516.18867532657396</v>
      </c>
      <c r="V88">
        <f t="shared" si="7"/>
        <v>-1.0193976556310631</v>
      </c>
    </row>
    <row r="89" spans="1:22" x14ac:dyDescent="0.3">
      <c r="A89" t="s">
        <v>620</v>
      </c>
      <c r="B89" t="s">
        <v>34</v>
      </c>
      <c r="C89" t="s">
        <v>621</v>
      </c>
      <c r="D89" t="s">
        <v>622</v>
      </c>
      <c r="E89" t="s">
        <v>623</v>
      </c>
      <c r="F89">
        <v>54643</v>
      </c>
      <c r="G89" t="s">
        <v>494</v>
      </c>
      <c r="H89" t="s">
        <v>495</v>
      </c>
      <c r="I89" t="s">
        <v>495</v>
      </c>
      <c r="J89" t="s">
        <v>624</v>
      </c>
      <c r="K89">
        <v>1999</v>
      </c>
      <c r="L89">
        <v>335000</v>
      </c>
      <c r="M89" t="s">
        <v>625</v>
      </c>
      <c r="N89">
        <v>127</v>
      </c>
      <c r="O89">
        <f t="shared" si="6"/>
        <v>2637.7952755905512</v>
      </c>
      <c r="P89">
        <v>2571.2900981847511</v>
      </c>
      <c r="Q89">
        <v>2625.5102040816332</v>
      </c>
      <c r="R89">
        <v>30</v>
      </c>
      <c r="S89" t="s">
        <v>626</v>
      </c>
      <c r="T89">
        <v>100</v>
      </c>
      <c r="U89">
        <v>560.77568093221669</v>
      </c>
      <c r="V89">
        <f t="shared" si="7"/>
        <v>0.11859497418868799</v>
      </c>
    </row>
    <row r="90" spans="1:22" x14ac:dyDescent="0.3">
      <c r="A90" t="s">
        <v>627</v>
      </c>
      <c r="B90" t="s">
        <v>34</v>
      </c>
      <c r="C90" t="s">
        <v>628</v>
      </c>
      <c r="D90" t="s">
        <v>629</v>
      </c>
      <c r="E90" t="s">
        <v>630</v>
      </c>
      <c r="F90">
        <v>54453</v>
      </c>
      <c r="G90" t="s">
        <v>494</v>
      </c>
      <c r="H90" t="s">
        <v>495</v>
      </c>
      <c r="I90" t="s">
        <v>495</v>
      </c>
      <c r="J90" t="s">
        <v>631</v>
      </c>
      <c r="K90">
        <v>1969</v>
      </c>
      <c r="L90">
        <v>86000</v>
      </c>
      <c r="M90" t="s">
        <v>632</v>
      </c>
      <c r="N90">
        <v>64</v>
      </c>
      <c r="O90">
        <f t="shared" si="6"/>
        <v>1343.75</v>
      </c>
      <c r="P90">
        <v>2568.3155273766201</v>
      </c>
      <c r="Q90">
        <v>2955.3501180173089</v>
      </c>
      <c r="R90">
        <v>30</v>
      </c>
      <c r="S90" t="s">
        <v>633</v>
      </c>
      <c r="T90">
        <v>100</v>
      </c>
      <c r="U90">
        <v>752.7437680028238</v>
      </c>
      <c r="V90">
        <f t="shared" si="7"/>
        <v>-1.6268026112333438</v>
      </c>
    </row>
    <row r="91" spans="1:22" x14ac:dyDescent="0.3">
      <c r="A91" t="s">
        <v>634</v>
      </c>
      <c r="B91" t="s">
        <v>34</v>
      </c>
      <c r="C91" t="s">
        <v>635</v>
      </c>
      <c r="D91" t="s">
        <v>636</v>
      </c>
      <c r="E91" t="s">
        <v>637</v>
      </c>
      <c r="F91">
        <v>16121</v>
      </c>
      <c r="G91" t="s">
        <v>27</v>
      </c>
      <c r="H91" t="s">
        <v>47</v>
      </c>
      <c r="I91" t="s">
        <v>638</v>
      </c>
      <c r="J91" t="s">
        <v>639</v>
      </c>
      <c r="K91">
        <v>1969</v>
      </c>
      <c r="L91">
        <v>175000</v>
      </c>
      <c r="M91" t="s">
        <v>640</v>
      </c>
      <c r="N91">
        <v>106</v>
      </c>
      <c r="O91">
        <f t="shared" si="6"/>
        <v>1650.9433962264152</v>
      </c>
      <c r="P91">
        <v>2690.4882556105181</v>
      </c>
      <c r="Q91">
        <v>2594.0860215053758</v>
      </c>
      <c r="R91">
        <v>26</v>
      </c>
      <c r="S91" t="s">
        <v>641</v>
      </c>
      <c r="T91">
        <v>100</v>
      </c>
      <c r="U91">
        <v>869.73661094820773</v>
      </c>
      <c r="V91">
        <f t="shared" si="7"/>
        <v>-1.1952410031937901</v>
      </c>
    </row>
    <row r="92" spans="1:22" x14ac:dyDescent="0.3">
      <c r="A92" t="s">
        <v>642</v>
      </c>
      <c r="B92" t="s">
        <v>34</v>
      </c>
      <c r="C92" t="s">
        <v>643</v>
      </c>
      <c r="D92" t="s">
        <v>644</v>
      </c>
      <c r="E92" t="s">
        <v>645</v>
      </c>
      <c r="F92">
        <v>55133</v>
      </c>
      <c r="G92" t="s">
        <v>494</v>
      </c>
      <c r="H92" t="s">
        <v>495</v>
      </c>
      <c r="I92" t="s">
        <v>646</v>
      </c>
      <c r="J92" t="s">
        <v>647</v>
      </c>
      <c r="K92">
        <v>2003</v>
      </c>
      <c r="L92">
        <v>230000</v>
      </c>
      <c r="M92" t="s">
        <v>648</v>
      </c>
      <c r="N92">
        <v>94</v>
      </c>
      <c r="O92">
        <f t="shared" si="6"/>
        <v>2446.8085106382978</v>
      </c>
      <c r="P92">
        <v>3142.7669974616219</v>
      </c>
      <c r="Q92">
        <v>3065.6934306569342</v>
      </c>
      <c r="R92">
        <v>30</v>
      </c>
      <c r="S92" t="s">
        <v>649</v>
      </c>
      <c r="T92">
        <v>100</v>
      </c>
      <c r="U92">
        <v>779.88094820844219</v>
      </c>
      <c r="V92">
        <f t="shared" si="7"/>
        <v>-0.89239067632321789</v>
      </c>
    </row>
    <row r="93" spans="1:22" x14ac:dyDescent="0.3">
      <c r="A93" t="s">
        <v>650</v>
      </c>
      <c r="B93" t="s">
        <v>34</v>
      </c>
      <c r="C93" t="s">
        <v>651</v>
      </c>
      <c r="D93" t="s">
        <v>652</v>
      </c>
      <c r="E93" t="s">
        <v>653</v>
      </c>
      <c r="F93">
        <v>18756</v>
      </c>
      <c r="G93" t="s">
        <v>27</v>
      </c>
      <c r="H93" t="s">
        <v>654</v>
      </c>
      <c r="I93" t="s">
        <v>655</v>
      </c>
      <c r="J93" t="s">
        <v>656</v>
      </c>
      <c r="K93">
        <v>1956</v>
      </c>
      <c r="L93">
        <v>60000</v>
      </c>
      <c r="M93" t="s">
        <v>657</v>
      </c>
      <c r="N93">
        <v>75</v>
      </c>
      <c r="O93">
        <f t="shared" si="6"/>
        <v>800</v>
      </c>
      <c r="P93">
        <v>1308.7952170518331</v>
      </c>
      <c r="Q93">
        <v>800</v>
      </c>
      <c r="R93">
        <v>18</v>
      </c>
      <c r="S93" t="s">
        <v>658</v>
      </c>
      <c r="T93">
        <v>100</v>
      </c>
      <c r="U93">
        <v>730.78670718905585</v>
      </c>
      <c r="V93">
        <f t="shared" si="7"/>
        <v>-0.69622943609482879</v>
      </c>
    </row>
    <row r="94" spans="1:22" x14ac:dyDescent="0.3">
      <c r="A94" t="s">
        <v>659</v>
      </c>
      <c r="B94" t="s">
        <v>34</v>
      </c>
      <c r="C94" t="s">
        <v>660</v>
      </c>
      <c r="D94" t="s">
        <v>661</v>
      </c>
      <c r="E94" t="s">
        <v>662</v>
      </c>
      <c r="F94">
        <v>14578</v>
      </c>
      <c r="G94" t="s">
        <v>27</v>
      </c>
      <c r="H94" t="s">
        <v>38</v>
      </c>
      <c r="I94" t="s">
        <v>663</v>
      </c>
      <c r="J94" t="s">
        <v>664</v>
      </c>
      <c r="K94">
        <v>1998</v>
      </c>
      <c r="L94">
        <v>400000</v>
      </c>
      <c r="M94" t="s">
        <v>665</v>
      </c>
      <c r="N94">
        <v>163</v>
      </c>
      <c r="O94">
        <f t="shared" si="6"/>
        <v>2453.9877300613498</v>
      </c>
      <c r="P94">
        <v>2653.1258884744102</v>
      </c>
      <c r="Q94">
        <v>2453.9877300613498</v>
      </c>
      <c r="R94">
        <v>9</v>
      </c>
      <c r="S94" t="s">
        <v>666</v>
      </c>
      <c r="T94">
        <v>100</v>
      </c>
      <c r="U94">
        <v>597.41447523918157</v>
      </c>
      <c r="V94">
        <f t="shared" si="7"/>
        <v>-0.33333333333333315</v>
      </c>
    </row>
    <row r="95" spans="1:22" x14ac:dyDescent="0.3">
      <c r="A95" t="s">
        <v>667</v>
      </c>
      <c r="B95" t="s">
        <v>23</v>
      </c>
      <c r="C95" t="s">
        <v>668</v>
      </c>
      <c r="D95" t="s">
        <v>669</v>
      </c>
      <c r="E95" t="s">
        <v>670</v>
      </c>
      <c r="F95">
        <v>14564</v>
      </c>
      <c r="G95" t="s">
        <v>27</v>
      </c>
      <c r="H95" t="s">
        <v>38</v>
      </c>
      <c r="I95" t="s">
        <v>663</v>
      </c>
      <c r="J95" t="s">
        <v>671</v>
      </c>
      <c r="K95">
        <v>2004</v>
      </c>
      <c r="L95">
        <v>485000</v>
      </c>
      <c r="M95" t="s">
        <v>672</v>
      </c>
      <c r="N95">
        <v>298</v>
      </c>
      <c r="O95">
        <f t="shared" si="6"/>
        <v>1627.5167785234898</v>
      </c>
    </row>
    <row r="96" spans="1:22" x14ac:dyDescent="0.3">
      <c r="A96" t="s">
        <v>673</v>
      </c>
      <c r="B96" t="s">
        <v>23</v>
      </c>
      <c r="C96" t="s">
        <v>668</v>
      </c>
      <c r="D96" t="s">
        <v>674</v>
      </c>
      <c r="E96" t="s">
        <v>670</v>
      </c>
      <c r="F96">
        <v>14564</v>
      </c>
      <c r="G96" t="s">
        <v>27</v>
      </c>
      <c r="H96" t="s">
        <v>38</v>
      </c>
      <c r="I96" t="s">
        <v>663</v>
      </c>
      <c r="J96" t="s">
        <v>671</v>
      </c>
      <c r="K96">
        <v>2004</v>
      </c>
      <c r="L96">
        <v>460000</v>
      </c>
      <c r="M96" t="s">
        <v>675</v>
      </c>
      <c r="N96">
        <v>292</v>
      </c>
      <c r="O96">
        <f t="shared" si="6"/>
        <v>1575.3424657534247</v>
      </c>
    </row>
    <row r="97" spans="1:22" x14ac:dyDescent="0.3">
      <c r="A97" t="s">
        <v>676</v>
      </c>
      <c r="B97" t="s">
        <v>34</v>
      </c>
      <c r="C97" t="s">
        <v>677</v>
      </c>
      <c r="D97" t="s">
        <v>678</v>
      </c>
      <c r="E97" t="s">
        <v>679</v>
      </c>
      <c r="F97">
        <v>14561</v>
      </c>
      <c r="G97" t="s">
        <v>27</v>
      </c>
      <c r="H97" t="s">
        <v>38</v>
      </c>
      <c r="I97" t="s">
        <v>663</v>
      </c>
      <c r="J97" t="s">
        <v>680</v>
      </c>
      <c r="K97">
        <v>1972</v>
      </c>
      <c r="L97">
        <v>470000</v>
      </c>
      <c r="M97" t="s">
        <v>681</v>
      </c>
      <c r="N97">
        <v>223</v>
      </c>
      <c r="O97">
        <f t="shared" si="6"/>
        <v>2107.6233183856502</v>
      </c>
      <c r="P97">
        <v>4527.9049403076706</v>
      </c>
      <c r="Q97">
        <v>3907.894736842105</v>
      </c>
      <c r="R97">
        <v>28</v>
      </c>
      <c r="S97" t="s">
        <v>682</v>
      </c>
      <c r="T97">
        <v>100</v>
      </c>
      <c r="U97">
        <v>1594.476003255962</v>
      </c>
      <c r="V97">
        <f t="shared" ref="V97:V106" si="8">(O97-P97)/U97</f>
        <v>-1.5179166177350687</v>
      </c>
    </row>
    <row r="98" spans="1:22" x14ac:dyDescent="0.3">
      <c r="A98" t="s">
        <v>683</v>
      </c>
      <c r="B98" t="s">
        <v>23</v>
      </c>
      <c r="C98" t="s">
        <v>684</v>
      </c>
      <c r="D98" t="s">
        <v>685</v>
      </c>
      <c r="E98" t="s">
        <v>686</v>
      </c>
      <c r="F98">
        <v>14578</v>
      </c>
      <c r="G98" t="s">
        <v>27</v>
      </c>
      <c r="H98" t="s">
        <v>38</v>
      </c>
      <c r="I98" t="s">
        <v>663</v>
      </c>
      <c r="J98" t="s">
        <v>687</v>
      </c>
      <c r="K98">
        <v>1980</v>
      </c>
      <c r="L98">
        <v>845000</v>
      </c>
      <c r="M98" t="s">
        <v>688</v>
      </c>
      <c r="N98">
        <v>200</v>
      </c>
      <c r="O98">
        <f t="shared" si="6"/>
        <v>4225</v>
      </c>
      <c r="P98">
        <v>4020.1005025125628</v>
      </c>
      <c r="Q98">
        <v>4020.1005025125628</v>
      </c>
      <c r="R98">
        <v>1</v>
      </c>
      <c r="S98" t="s">
        <v>689</v>
      </c>
      <c r="T98">
        <v>100</v>
      </c>
    </row>
    <row r="99" spans="1:22" x14ac:dyDescent="0.3">
      <c r="A99" t="s">
        <v>690</v>
      </c>
      <c r="B99" t="s">
        <v>34</v>
      </c>
      <c r="C99" t="s">
        <v>691</v>
      </c>
      <c r="D99" t="s">
        <v>692</v>
      </c>
      <c r="E99" t="s">
        <v>693</v>
      </c>
      <c r="F99">
        <v>56224</v>
      </c>
      <c r="G99" t="s">
        <v>494</v>
      </c>
      <c r="H99" t="s">
        <v>495</v>
      </c>
      <c r="I99" t="s">
        <v>694</v>
      </c>
      <c r="J99" t="s">
        <v>695</v>
      </c>
      <c r="K99">
        <v>2006</v>
      </c>
      <c r="L99">
        <v>120000</v>
      </c>
      <c r="M99" t="s">
        <v>696</v>
      </c>
      <c r="N99">
        <v>76</v>
      </c>
      <c r="O99">
        <f t="shared" si="6"/>
        <v>1578.9473684210527</v>
      </c>
      <c r="P99">
        <v>1674.833307637615</v>
      </c>
      <c r="Q99">
        <v>1600</v>
      </c>
      <c r="R99">
        <v>15</v>
      </c>
      <c r="S99" t="s">
        <v>697</v>
      </c>
      <c r="T99">
        <v>100</v>
      </c>
      <c r="U99">
        <v>271.23185259498109</v>
      </c>
      <c r="V99">
        <f t="shared" si="8"/>
        <v>-0.35352020162522968</v>
      </c>
    </row>
    <row r="100" spans="1:22" x14ac:dyDescent="0.3">
      <c r="A100" t="s">
        <v>698</v>
      </c>
      <c r="B100" t="s">
        <v>34</v>
      </c>
      <c r="C100" t="s">
        <v>699</v>
      </c>
      <c r="D100" t="s">
        <v>700</v>
      </c>
      <c r="E100" t="s">
        <v>701</v>
      </c>
      <c r="F100">
        <v>56334</v>
      </c>
      <c r="G100" t="s">
        <v>494</v>
      </c>
      <c r="H100" t="s">
        <v>495</v>
      </c>
      <c r="I100" t="s">
        <v>694</v>
      </c>
      <c r="J100" t="s">
        <v>702</v>
      </c>
      <c r="K100">
        <v>1988</v>
      </c>
      <c r="L100">
        <v>111000</v>
      </c>
      <c r="M100" t="s">
        <v>703</v>
      </c>
      <c r="N100">
        <v>103</v>
      </c>
      <c r="O100">
        <f t="shared" si="6"/>
        <v>1077.6699029126214</v>
      </c>
      <c r="P100">
        <v>1289.68253968254</v>
      </c>
      <c r="Q100">
        <v>1289.68253968254</v>
      </c>
      <c r="R100">
        <v>2</v>
      </c>
      <c r="S100" t="s">
        <v>704</v>
      </c>
      <c r="T100">
        <v>100</v>
      </c>
      <c r="U100">
        <v>701.49482260570198</v>
      </c>
      <c r="V100">
        <f t="shared" si="8"/>
        <v>-0.30222979548501555</v>
      </c>
    </row>
    <row r="101" spans="1:22" x14ac:dyDescent="0.3">
      <c r="A101" t="s">
        <v>705</v>
      </c>
      <c r="B101" t="s">
        <v>34</v>
      </c>
      <c r="C101" t="s">
        <v>691</v>
      </c>
      <c r="D101" t="s">
        <v>706</v>
      </c>
      <c r="E101" t="s">
        <v>707</v>
      </c>
      <c r="F101">
        <v>56224</v>
      </c>
      <c r="G101" t="s">
        <v>494</v>
      </c>
      <c r="H101" t="s">
        <v>495</v>
      </c>
      <c r="I101" t="s">
        <v>694</v>
      </c>
      <c r="J101" t="s">
        <v>708</v>
      </c>
      <c r="K101">
        <v>2003</v>
      </c>
      <c r="L101">
        <v>75000</v>
      </c>
      <c r="M101" t="s">
        <v>709</v>
      </c>
      <c r="N101">
        <v>76</v>
      </c>
      <c r="O101">
        <f t="shared" si="6"/>
        <v>986.84210526315792</v>
      </c>
      <c r="P101">
        <v>1113.5122245990531</v>
      </c>
      <c r="Q101">
        <v>1054.9450549450551</v>
      </c>
      <c r="R101">
        <v>14</v>
      </c>
      <c r="S101" t="s">
        <v>710</v>
      </c>
      <c r="T101">
        <v>100</v>
      </c>
      <c r="U101">
        <v>426.5545965425963</v>
      </c>
      <c r="V101">
        <f t="shared" si="8"/>
        <v>-0.29696109328702475</v>
      </c>
    </row>
    <row r="102" spans="1:22" x14ac:dyDescent="0.3">
      <c r="A102" t="s">
        <v>711</v>
      </c>
      <c r="B102" t="s">
        <v>34</v>
      </c>
      <c r="C102" t="s">
        <v>712</v>
      </c>
      <c r="D102" t="s">
        <v>713</v>
      </c>
      <c r="E102" t="s">
        <v>714</v>
      </c>
      <c r="F102">
        <v>56334</v>
      </c>
      <c r="G102" t="s">
        <v>494</v>
      </c>
      <c r="H102" t="s">
        <v>495</v>
      </c>
      <c r="I102" t="s">
        <v>694</v>
      </c>
      <c r="J102" t="s">
        <v>715</v>
      </c>
      <c r="K102">
        <v>1982</v>
      </c>
      <c r="L102">
        <v>120000</v>
      </c>
      <c r="M102" t="s">
        <v>716</v>
      </c>
      <c r="N102">
        <v>93</v>
      </c>
      <c r="O102">
        <f t="shared" si="6"/>
        <v>1290.3225806451612</v>
      </c>
      <c r="P102">
        <v>1620.66464203092</v>
      </c>
      <c r="Q102">
        <v>1311.2280701754389</v>
      </c>
      <c r="R102">
        <v>18</v>
      </c>
      <c r="S102" t="s">
        <v>717</v>
      </c>
      <c r="T102">
        <v>100</v>
      </c>
      <c r="U102">
        <v>519.7238297416427</v>
      </c>
      <c r="V102">
        <f t="shared" si="8"/>
        <v>-0.63561076572142849</v>
      </c>
    </row>
    <row r="103" spans="1:22" x14ac:dyDescent="0.3">
      <c r="A103" t="s">
        <v>718</v>
      </c>
      <c r="B103" t="s">
        <v>34</v>
      </c>
      <c r="C103" t="s">
        <v>719</v>
      </c>
      <c r="D103" t="s">
        <v>720</v>
      </c>
      <c r="E103" t="s">
        <v>721</v>
      </c>
      <c r="F103">
        <v>18121</v>
      </c>
      <c r="G103" t="s">
        <v>27</v>
      </c>
      <c r="H103" t="s">
        <v>654</v>
      </c>
      <c r="I103" t="s">
        <v>722</v>
      </c>
      <c r="J103" t="s">
        <v>723</v>
      </c>
      <c r="K103">
        <v>1967</v>
      </c>
      <c r="L103">
        <v>75000</v>
      </c>
      <c r="M103" t="s">
        <v>724</v>
      </c>
      <c r="N103">
        <v>73</v>
      </c>
      <c r="O103">
        <f t="shared" si="6"/>
        <v>1027.3972602739725</v>
      </c>
      <c r="P103">
        <v>1431.904831164841</v>
      </c>
      <c r="Q103">
        <v>1027.397260273973</v>
      </c>
      <c r="R103">
        <v>17</v>
      </c>
      <c r="S103" t="s">
        <v>725</v>
      </c>
      <c r="T103">
        <v>100</v>
      </c>
      <c r="U103">
        <v>531.02300099893682</v>
      </c>
      <c r="V103">
        <f t="shared" si="8"/>
        <v>-0.76175150629996602</v>
      </c>
    </row>
    <row r="104" spans="1:22" x14ac:dyDescent="0.3">
      <c r="A104" t="s">
        <v>726</v>
      </c>
      <c r="B104" t="s">
        <v>23</v>
      </c>
      <c r="C104" t="s">
        <v>727</v>
      </c>
      <c r="D104" t="s">
        <v>728</v>
      </c>
      <c r="E104" t="s">
        <v>729</v>
      </c>
      <c r="F104">
        <v>57200</v>
      </c>
      <c r="G104" t="s">
        <v>494</v>
      </c>
      <c r="H104" t="s">
        <v>495</v>
      </c>
      <c r="I104" t="s">
        <v>730</v>
      </c>
      <c r="J104" t="s">
        <v>731</v>
      </c>
      <c r="K104">
        <v>2006</v>
      </c>
      <c r="L104">
        <v>85000</v>
      </c>
      <c r="M104" t="s">
        <v>732</v>
      </c>
      <c r="N104">
        <v>51</v>
      </c>
      <c r="O104">
        <f t="shared" si="6"/>
        <v>1666.6666666666667</v>
      </c>
      <c r="P104">
        <v>551.36539264828741</v>
      </c>
      <c r="Q104">
        <v>498.53801169590639</v>
      </c>
      <c r="R104">
        <v>8</v>
      </c>
      <c r="S104" t="s">
        <v>733</v>
      </c>
      <c r="T104">
        <v>100</v>
      </c>
      <c r="U104">
        <v>98.740724834744867</v>
      </c>
      <c r="V104">
        <f t="shared" si="8"/>
        <v>11.29525103127385</v>
      </c>
    </row>
    <row r="105" spans="1:22" x14ac:dyDescent="0.3">
      <c r="A105" t="s">
        <v>734</v>
      </c>
      <c r="B105" t="s">
        <v>34</v>
      </c>
      <c r="C105" t="s">
        <v>735</v>
      </c>
      <c r="D105" t="s">
        <v>736</v>
      </c>
      <c r="E105" t="s">
        <v>737</v>
      </c>
      <c r="F105">
        <v>57200</v>
      </c>
      <c r="G105" t="s">
        <v>494</v>
      </c>
      <c r="H105" t="s">
        <v>495</v>
      </c>
      <c r="I105" t="s">
        <v>730</v>
      </c>
      <c r="J105" t="s">
        <v>738</v>
      </c>
      <c r="K105">
        <v>2007</v>
      </c>
      <c r="L105">
        <v>163000</v>
      </c>
      <c r="M105" t="s">
        <v>739</v>
      </c>
      <c r="N105">
        <v>192</v>
      </c>
      <c r="O105">
        <f t="shared" si="6"/>
        <v>848.95833333333337</v>
      </c>
      <c r="P105">
        <v>1021.23566928714</v>
      </c>
      <c r="Q105">
        <v>1000</v>
      </c>
      <c r="R105">
        <v>10</v>
      </c>
      <c r="S105" t="s">
        <v>740</v>
      </c>
      <c r="T105">
        <v>100</v>
      </c>
      <c r="U105">
        <v>216.3745581411543</v>
      </c>
      <c r="V105">
        <f t="shared" si="8"/>
        <v>-0.79619959681867791</v>
      </c>
    </row>
    <row r="106" spans="1:22" x14ac:dyDescent="0.3">
      <c r="A106" t="s">
        <v>741</v>
      </c>
      <c r="B106" t="s">
        <v>34</v>
      </c>
      <c r="C106" t="s">
        <v>742</v>
      </c>
      <c r="D106" t="s">
        <v>743</v>
      </c>
      <c r="E106" t="s">
        <v>744</v>
      </c>
      <c r="F106">
        <v>14122</v>
      </c>
      <c r="G106" t="s">
        <v>27</v>
      </c>
      <c r="H106" t="s">
        <v>38</v>
      </c>
      <c r="I106" t="s">
        <v>745</v>
      </c>
      <c r="J106" t="s">
        <v>746</v>
      </c>
      <c r="K106">
        <v>1981</v>
      </c>
      <c r="L106">
        <v>97000</v>
      </c>
      <c r="M106" t="s">
        <v>747</v>
      </c>
      <c r="N106">
        <v>65</v>
      </c>
      <c r="O106">
        <f t="shared" si="6"/>
        <v>1492.3076923076924</v>
      </c>
      <c r="P106">
        <v>1976.7577045047981</v>
      </c>
      <c r="Q106">
        <v>1515.625</v>
      </c>
      <c r="R106">
        <v>11</v>
      </c>
      <c r="S106" t="s">
        <v>748</v>
      </c>
      <c r="T106">
        <v>100</v>
      </c>
      <c r="U106">
        <v>879.219887548099</v>
      </c>
      <c r="V106">
        <f t="shared" si="8"/>
        <v>-0.55099983412352371</v>
      </c>
    </row>
    <row r="107" spans="1:22" x14ac:dyDescent="0.3">
      <c r="A107" t="s">
        <v>749</v>
      </c>
      <c r="B107" t="s">
        <v>34</v>
      </c>
      <c r="C107" t="s">
        <v>750</v>
      </c>
      <c r="D107" t="s">
        <v>751</v>
      </c>
      <c r="E107" t="s">
        <v>752</v>
      </c>
      <c r="F107">
        <v>19600</v>
      </c>
      <c r="G107" t="s">
        <v>27</v>
      </c>
      <c r="H107" t="s">
        <v>537</v>
      </c>
      <c r="I107" t="s">
        <v>753</v>
      </c>
      <c r="J107" t="s">
        <v>754</v>
      </c>
      <c r="K107">
        <v>1982</v>
      </c>
      <c r="L107">
        <v>55000</v>
      </c>
      <c r="M107" t="s">
        <v>755</v>
      </c>
      <c r="N107">
        <v>52</v>
      </c>
      <c r="O107">
        <f t="shared" si="6"/>
        <v>1057.6923076923076</v>
      </c>
    </row>
    <row r="108" spans="1:22" x14ac:dyDescent="0.3">
      <c r="A108" t="s">
        <v>756</v>
      </c>
      <c r="B108" t="s">
        <v>34</v>
      </c>
      <c r="C108" t="s">
        <v>757</v>
      </c>
      <c r="D108" t="s">
        <v>758</v>
      </c>
      <c r="E108" t="s">
        <v>752</v>
      </c>
      <c r="F108">
        <v>19600</v>
      </c>
      <c r="G108" t="s">
        <v>27</v>
      </c>
      <c r="H108" t="s">
        <v>537</v>
      </c>
      <c r="I108" t="s">
        <v>753</v>
      </c>
      <c r="J108" t="s">
        <v>754</v>
      </c>
      <c r="K108">
        <v>2007</v>
      </c>
      <c r="L108">
        <v>395000</v>
      </c>
      <c r="M108" t="s">
        <v>759</v>
      </c>
      <c r="N108">
        <v>301</v>
      </c>
      <c r="O108">
        <f t="shared" si="6"/>
        <v>1312.2923588039866</v>
      </c>
    </row>
    <row r="109" spans="1:22" x14ac:dyDescent="0.3">
      <c r="A109" t="s">
        <v>760</v>
      </c>
      <c r="B109" t="s">
        <v>23</v>
      </c>
      <c r="C109" t="s">
        <v>761</v>
      </c>
      <c r="D109" t="s">
        <v>762</v>
      </c>
      <c r="E109" t="s">
        <v>763</v>
      </c>
      <c r="F109">
        <v>19005</v>
      </c>
      <c r="G109" t="s">
        <v>27</v>
      </c>
      <c r="H109" t="s">
        <v>392</v>
      </c>
      <c r="I109" t="s">
        <v>764</v>
      </c>
      <c r="J109" t="s">
        <v>765</v>
      </c>
      <c r="K109">
        <v>2006</v>
      </c>
      <c r="L109">
        <v>330000</v>
      </c>
      <c r="M109" t="s">
        <v>766</v>
      </c>
      <c r="N109">
        <v>288</v>
      </c>
      <c r="O109">
        <f t="shared" si="6"/>
        <v>1145.8333333333333</v>
      </c>
    </row>
    <row r="110" spans="1:22" x14ac:dyDescent="0.3">
      <c r="A110" t="s">
        <v>767</v>
      </c>
      <c r="B110" t="s">
        <v>23</v>
      </c>
      <c r="C110" t="s">
        <v>768</v>
      </c>
      <c r="D110" t="s">
        <v>769</v>
      </c>
      <c r="E110" t="s">
        <v>770</v>
      </c>
      <c r="F110">
        <v>19003</v>
      </c>
      <c r="G110" t="s">
        <v>27</v>
      </c>
      <c r="H110" t="s">
        <v>392</v>
      </c>
      <c r="I110" t="s">
        <v>771</v>
      </c>
      <c r="J110" t="s">
        <v>772</v>
      </c>
      <c r="K110">
        <v>1986</v>
      </c>
      <c r="L110">
        <v>228000</v>
      </c>
      <c r="M110" t="s">
        <v>773</v>
      </c>
      <c r="N110">
        <v>247</v>
      </c>
      <c r="O110">
        <f t="shared" si="6"/>
        <v>923.07692307692309</v>
      </c>
    </row>
    <row r="111" spans="1:22" x14ac:dyDescent="0.3">
      <c r="A111" t="s">
        <v>774</v>
      </c>
      <c r="B111" t="s">
        <v>23</v>
      </c>
      <c r="C111" t="s">
        <v>775</v>
      </c>
      <c r="D111" t="s">
        <v>776</v>
      </c>
      <c r="E111" t="s">
        <v>777</v>
      </c>
      <c r="F111">
        <v>19003</v>
      </c>
      <c r="G111" t="s">
        <v>27</v>
      </c>
      <c r="H111" t="s">
        <v>392</v>
      </c>
      <c r="I111" t="s">
        <v>771</v>
      </c>
      <c r="J111" t="s">
        <v>778</v>
      </c>
      <c r="K111">
        <v>1992</v>
      </c>
      <c r="L111">
        <v>565000</v>
      </c>
      <c r="M111" t="s">
        <v>779</v>
      </c>
      <c r="N111">
        <v>492</v>
      </c>
      <c r="O111">
        <f t="shared" si="6"/>
        <v>1148.3739837398373</v>
      </c>
    </row>
    <row r="112" spans="1:22" x14ac:dyDescent="0.3">
      <c r="A112" t="s">
        <v>780</v>
      </c>
      <c r="B112" t="s">
        <v>34</v>
      </c>
      <c r="C112" t="s">
        <v>781</v>
      </c>
      <c r="D112" t="s">
        <v>782</v>
      </c>
      <c r="E112" t="s">
        <v>783</v>
      </c>
      <c r="F112">
        <v>19003</v>
      </c>
      <c r="G112" t="s">
        <v>27</v>
      </c>
      <c r="H112" t="s">
        <v>392</v>
      </c>
      <c r="I112" t="s">
        <v>771</v>
      </c>
      <c r="J112" t="s">
        <v>784</v>
      </c>
      <c r="K112">
        <v>2005</v>
      </c>
      <c r="L112">
        <v>93000</v>
      </c>
      <c r="M112" t="s">
        <v>785</v>
      </c>
      <c r="N112">
        <v>80</v>
      </c>
      <c r="O112">
        <f t="shared" si="6"/>
        <v>1162.5</v>
      </c>
      <c r="P112">
        <v>1376.0892519970951</v>
      </c>
      <c r="Q112">
        <v>1162.5</v>
      </c>
      <c r="R112">
        <v>9</v>
      </c>
      <c r="S112" t="s">
        <v>786</v>
      </c>
      <c r="T112">
        <v>100</v>
      </c>
      <c r="U112">
        <v>453.16355551774018</v>
      </c>
      <c r="V112">
        <f t="shared" ref="V112:V122" si="9">(O112-P112)/U112</f>
        <v>-0.47132927923356271</v>
      </c>
    </row>
    <row r="113" spans="1:22" x14ac:dyDescent="0.3">
      <c r="A113" t="s">
        <v>787</v>
      </c>
      <c r="B113" t="s">
        <v>23</v>
      </c>
      <c r="C113" t="s">
        <v>788</v>
      </c>
      <c r="D113" t="s">
        <v>789</v>
      </c>
      <c r="E113" t="s">
        <v>790</v>
      </c>
      <c r="F113">
        <v>19100</v>
      </c>
      <c r="G113" t="s">
        <v>27</v>
      </c>
      <c r="H113" t="s">
        <v>537</v>
      </c>
      <c r="I113" t="s">
        <v>791</v>
      </c>
      <c r="J113" t="s">
        <v>792</v>
      </c>
      <c r="K113">
        <v>1970</v>
      </c>
      <c r="L113">
        <v>30000</v>
      </c>
      <c r="M113" t="s">
        <v>793</v>
      </c>
      <c r="N113">
        <v>158</v>
      </c>
      <c r="O113">
        <f t="shared" si="6"/>
        <v>189.87341772151899</v>
      </c>
      <c r="P113">
        <v>213.9843279083785</v>
      </c>
      <c r="Q113">
        <v>213.9843279083785</v>
      </c>
      <c r="R113">
        <v>2</v>
      </c>
      <c r="S113" t="s">
        <v>794</v>
      </c>
      <c r="T113">
        <v>100</v>
      </c>
      <c r="U113">
        <v>34.0979761874164</v>
      </c>
      <c r="V113">
        <f t="shared" si="9"/>
        <v>-0.70710678118654624</v>
      </c>
    </row>
    <row r="114" spans="1:22" x14ac:dyDescent="0.3">
      <c r="A114" t="s">
        <v>795</v>
      </c>
      <c r="B114" t="s">
        <v>23</v>
      </c>
      <c r="C114" t="s">
        <v>796</v>
      </c>
      <c r="D114" t="s">
        <v>797</v>
      </c>
      <c r="E114" t="s">
        <v>798</v>
      </c>
      <c r="F114">
        <v>19100</v>
      </c>
      <c r="G114" t="s">
        <v>27</v>
      </c>
      <c r="H114" t="s">
        <v>537</v>
      </c>
      <c r="I114" t="s">
        <v>791</v>
      </c>
      <c r="J114" t="s">
        <v>799</v>
      </c>
      <c r="K114">
        <v>1950</v>
      </c>
      <c r="L114">
        <v>32000</v>
      </c>
      <c r="M114" t="s">
        <v>800</v>
      </c>
      <c r="N114">
        <v>76</v>
      </c>
      <c r="O114">
        <f t="shared" si="6"/>
        <v>421.05263157894734</v>
      </c>
      <c r="P114">
        <v>530.10101010101016</v>
      </c>
      <c r="Q114">
        <v>581.81818181818187</v>
      </c>
      <c r="R114">
        <v>3</v>
      </c>
      <c r="S114" t="s">
        <v>801</v>
      </c>
      <c r="T114">
        <v>100</v>
      </c>
      <c r="U114">
        <v>89.576769037905592</v>
      </c>
      <c r="V114">
        <f t="shared" si="9"/>
        <v>-1.2173734294425997</v>
      </c>
    </row>
    <row r="115" spans="1:22" x14ac:dyDescent="0.3">
      <c r="A115" t="s">
        <v>802</v>
      </c>
      <c r="B115" t="s">
        <v>34</v>
      </c>
      <c r="C115" t="s">
        <v>803</v>
      </c>
      <c r="D115" t="s">
        <v>804</v>
      </c>
      <c r="E115" t="s">
        <v>805</v>
      </c>
      <c r="F115">
        <v>19100</v>
      </c>
      <c r="G115" t="s">
        <v>27</v>
      </c>
      <c r="H115" t="s">
        <v>537</v>
      </c>
      <c r="I115" t="s">
        <v>791</v>
      </c>
      <c r="J115" t="s">
        <v>806</v>
      </c>
      <c r="K115">
        <v>1972</v>
      </c>
      <c r="L115">
        <v>71000</v>
      </c>
      <c r="M115" t="s">
        <v>807</v>
      </c>
      <c r="N115">
        <v>113</v>
      </c>
      <c r="O115">
        <f t="shared" si="6"/>
        <v>628.31858407079642</v>
      </c>
      <c r="P115">
        <v>751.2229702628465</v>
      </c>
      <c r="Q115">
        <v>628.31858407079642</v>
      </c>
      <c r="R115">
        <v>7</v>
      </c>
      <c r="S115" t="s">
        <v>808</v>
      </c>
      <c r="T115">
        <v>100</v>
      </c>
      <c r="U115">
        <v>260.36159237249751</v>
      </c>
      <c r="V115">
        <f t="shared" si="9"/>
        <v>-0.47205267517419247</v>
      </c>
    </row>
    <row r="116" spans="1:22" x14ac:dyDescent="0.3">
      <c r="A116" t="s">
        <v>809</v>
      </c>
      <c r="B116" t="s">
        <v>34</v>
      </c>
      <c r="C116" t="s">
        <v>810</v>
      </c>
      <c r="D116" t="s">
        <v>811</v>
      </c>
      <c r="E116" t="s">
        <v>812</v>
      </c>
      <c r="F116">
        <v>56626</v>
      </c>
      <c r="G116" t="s">
        <v>494</v>
      </c>
      <c r="H116" t="s">
        <v>495</v>
      </c>
      <c r="I116" t="s">
        <v>813</v>
      </c>
      <c r="J116" t="s">
        <v>814</v>
      </c>
      <c r="K116">
        <v>2005</v>
      </c>
      <c r="L116">
        <v>87000</v>
      </c>
      <c r="M116" t="s">
        <v>815</v>
      </c>
      <c r="N116">
        <v>41</v>
      </c>
      <c r="O116">
        <f t="shared" si="6"/>
        <v>2121.9512195121952</v>
      </c>
      <c r="P116">
        <v>1755.7478207465431</v>
      </c>
      <c r="Q116">
        <v>1795.8144796380091</v>
      </c>
      <c r="R116">
        <v>30</v>
      </c>
      <c r="S116" t="s">
        <v>816</v>
      </c>
      <c r="T116">
        <v>100</v>
      </c>
      <c r="U116">
        <v>476.03179788212628</v>
      </c>
      <c r="V116">
        <f t="shared" si="9"/>
        <v>0.76928348147098013</v>
      </c>
    </row>
    <row r="117" spans="1:22" x14ac:dyDescent="0.3">
      <c r="A117" t="s">
        <v>817</v>
      </c>
      <c r="B117" t="s">
        <v>23</v>
      </c>
      <c r="C117" t="s">
        <v>818</v>
      </c>
      <c r="D117" t="s">
        <v>819</v>
      </c>
      <c r="E117" t="s">
        <v>820</v>
      </c>
      <c r="F117">
        <v>14231</v>
      </c>
      <c r="G117" t="s">
        <v>27</v>
      </c>
      <c r="H117" t="s">
        <v>38</v>
      </c>
      <c r="I117" t="s">
        <v>821</v>
      </c>
      <c r="J117" t="s">
        <v>822</v>
      </c>
      <c r="K117">
        <v>1967</v>
      </c>
      <c r="L117">
        <v>195000</v>
      </c>
      <c r="M117" t="s">
        <v>823</v>
      </c>
      <c r="N117">
        <v>158</v>
      </c>
      <c r="O117">
        <f t="shared" si="6"/>
        <v>1234.1772151898733</v>
      </c>
      <c r="P117">
        <v>2009.997450091764</v>
      </c>
      <c r="Q117">
        <v>1609.821798590965</v>
      </c>
      <c r="R117">
        <v>26</v>
      </c>
      <c r="S117" t="s">
        <v>824</v>
      </c>
      <c r="T117">
        <v>100</v>
      </c>
      <c r="U117">
        <v>979.89367171633216</v>
      </c>
      <c r="V117">
        <f t="shared" si="9"/>
        <v>-0.79173920323722802</v>
      </c>
    </row>
    <row r="118" spans="1:22" x14ac:dyDescent="0.3">
      <c r="A118" t="s">
        <v>825</v>
      </c>
      <c r="B118" t="s">
        <v>34</v>
      </c>
      <c r="C118" t="s">
        <v>826</v>
      </c>
      <c r="D118" t="s">
        <v>827</v>
      </c>
      <c r="E118" t="s">
        <v>828</v>
      </c>
      <c r="F118">
        <v>18450</v>
      </c>
      <c r="G118" t="s">
        <v>27</v>
      </c>
      <c r="H118" t="s">
        <v>654</v>
      </c>
      <c r="I118" t="s">
        <v>829</v>
      </c>
      <c r="J118" t="s">
        <v>830</v>
      </c>
      <c r="K118">
        <v>1965</v>
      </c>
      <c r="L118">
        <v>86000</v>
      </c>
      <c r="M118" t="s">
        <v>831</v>
      </c>
      <c r="N118">
        <v>71</v>
      </c>
      <c r="O118">
        <f t="shared" si="6"/>
        <v>1211.2676056338028</v>
      </c>
      <c r="P118">
        <v>2076.763406991493</v>
      </c>
      <c r="Q118">
        <v>2357.1428571428569</v>
      </c>
      <c r="R118">
        <v>21</v>
      </c>
      <c r="S118" t="s">
        <v>832</v>
      </c>
      <c r="T118">
        <v>100</v>
      </c>
      <c r="U118">
        <v>803.75762780923503</v>
      </c>
      <c r="V118">
        <f t="shared" si="9"/>
        <v>-1.0768119286366613</v>
      </c>
    </row>
    <row r="119" spans="1:22" x14ac:dyDescent="0.3">
      <c r="A119" t="s">
        <v>833</v>
      </c>
      <c r="B119" t="s">
        <v>23</v>
      </c>
      <c r="C119" t="s">
        <v>834</v>
      </c>
      <c r="D119" t="s">
        <v>835</v>
      </c>
      <c r="E119" t="s">
        <v>836</v>
      </c>
      <c r="F119">
        <v>15354</v>
      </c>
      <c r="G119" t="s">
        <v>27</v>
      </c>
      <c r="H119" t="s">
        <v>392</v>
      </c>
      <c r="I119" t="s">
        <v>837</v>
      </c>
      <c r="J119" t="s">
        <v>838</v>
      </c>
      <c r="K119">
        <v>2007</v>
      </c>
      <c r="L119">
        <v>625900</v>
      </c>
      <c r="M119" t="s">
        <v>839</v>
      </c>
      <c r="N119">
        <v>460</v>
      </c>
      <c r="O119">
        <f t="shared" si="6"/>
        <v>1360.6521739130435</v>
      </c>
      <c r="P119">
        <v>2553.1092436974791</v>
      </c>
      <c r="Q119">
        <v>2560</v>
      </c>
      <c r="R119">
        <v>4</v>
      </c>
      <c r="S119" t="s">
        <v>840</v>
      </c>
      <c r="T119">
        <v>100</v>
      </c>
      <c r="U119">
        <v>370.59647977007859</v>
      </c>
      <c r="V119">
        <f t="shared" si="9"/>
        <v>-3.2176697159245733</v>
      </c>
    </row>
    <row r="120" spans="1:22" x14ac:dyDescent="0.3">
      <c r="A120" t="s">
        <v>841</v>
      </c>
      <c r="B120" t="s">
        <v>34</v>
      </c>
      <c r="C120" t="s">
        <v>842</v>
      </c>
      <c r="D120" t="s">
        <v>843</v>
      </c>
      <c r="E120" t="s">
        <v>844</v>
      </c>
      <c r="F120">
        <v>17562</v>
      </c>
      <c r="G120" t="s">
        <v>27</v>
      </c>
      <c r="H120" t="s">
        <v>368</v>
      </c>
      <c r="I120" t="s">
        <v>845</v>
      </c>
      <c r="J120" t="s">
        <v>846</v>
      </c>
      <c r="K120">
        <v>1967</v>
      </c>
      <c r="L120">
        <v>165000</v>
      </c>
      <c r="M120" t="s">
        <v>847</v>
      </c>
      <c r="N120">
        <v>84</v>
      </c>
      <c r="O120">
        <f t="shared" si="6"/>
        <v>1964.2857142857142</v>
      </c>
      <c r="P120">
        <v>4434.110835108374</v>
      </c>
      <c r="Q120">
        <v>4145.189003436426</v>
      </c>
      <c r="R120">
        <v>30</v>
      </c>
      <c r="S120" t="s">
        <v>848</v>
      </c>
      <c r="T120">
        <v>100</v>
      </c>
      <c r="U120">
        <v>1170.100008873562</v>
      </c>
      <c r="V120">
        <f t="shared" si="9"/>
        <v>-2.1107812170690639</v>
      </c>
    </row>
    <row r="121" spans="1:22" x14ac:dyDescent="0.3">
      <c r="A121" t="s">
        <v>849</v>
      </c>
      <c r="B121" t="s">
        <v>34</v>
      </c>
      <c r="C121" t="s">
        <v>850</v>
      </c>
      <c r="D121" t="s">
        <v>851</v>
      </c>
      <c r="E121" t="s">
        <v>852</v>
      </c>
      <c r="F121">
        <v>17563</v>
      </c>
      <c r="G121" t="s">
        <v>27</v>
      </c>
      <c r="H121" t="s">
        <v>368</v>
      </c>
      <c r="I121" t="s">
        <v>845</v>
      </c>
      <c r="J121" t="s">
        <v>853</v>
      </c>
      <c r="K121">
        <v>1992</v>
      </c>
      <c r="L121">
        <v>535000</v>
      </c>
      <c r="M121" t="s">
        <v>854</v>
      </c>
      <c r="N121">
        <v>175</v>
      </c>
      <c r="O121">
        <f t="shared" si="6"/>
        <v>3057.1428571428573</v>
      </c>
      <c r="P121">
        <v>3365.3682185237321</v>
      </c>
      <c r="Q121">
        <v>3074.7126436781609</v>
      </c>
      <c r="R121">
        <v>23</v>
      </c>
      <c r="S121" t="s">
        <v>855</v>
      </c>
      <c r="T121">
        <v>100</v>
      </c>
      <c r="U121">
        <v>788.31734625973013</v>
      </c>
      <c r="V121">
        <f t="shared" si="9"/>
        <v>-0.39099147423723257</v>
      </c>
    </row>
    <row r="122" spans="1:22" x14ac:dyDescent="0.3">
      <c r="A122" t="s">
        <v>856</v>
      </c>
      <c r="B122" t="s">
        <v>34</v>
      </c>
      <c r="C122" t="s">
        <v>857</v>
      </c>
      <c r="D122" t="s">
        <v>858</v>
      </c>
      <c r="E122" t="s">
        <v>859</v>
      </c>
      <c r="F122">
        <v>17562</v>
      </c>
      <c r="G122" t="s">
        <v>27</v>
      </c>
      <c r="H122" t="s">
        <v>368</v>
      </c>
      <c r="I122" t="s">
        <v>845</v>
      </c>
      <c r="J122" t="s">
        <v>860</v>
      </c>
      <c r="K122">
        <v>2005</v>
      </c>
      <c r="L122">
        <v>414000</v>
      </c>
      <c r="M122" t="s">
        <v>861</v>
      </c>
      <c r="N122">
        <v>120</v>
      </c>
      <c r="O122">
        <f t="shared" si="6"/>
        <v>3450</v>
      </c>
      <c r="P122">
        <v>4838.5555771127874</v>
      </c>
      <c r="Q122">
        <v>4703.767123287671</v>
      </c>
      <c r="R122">
        <v>30</v>
      </c>
      <c r="S122" t="s">
        <v>862</v>
      </c>
      <c r="T122">
        <v>100</v>
      </c>
      <c r="U122">
        <v>1470.631252523546</v>
      </c>
      <c r="V122">
        <f t="shared" si="9"/>
        <v>-0.94419017325388677</v>
      </c>
    </row>
    <row r="123" spans="1:22" x14ac:dyDescent="0.3">
      <c r="A123" t="s">
        <v>863</v>
      </c>
      <c r="B123" t="s">
        <v>23</v>
      </c>
      <c r="C123" t="s">
        <v>864</v>
      </c>
      <c r="D123" t="s">
        <v>865</v>
      </c>
      <c r="E123" t="s">
        <v>866</v>
      </c>
      <c r="F123">
        <v>15351</v>
      </c>
      <c r="G123" t="s">
        <v>27</v>
      </c>
      <c r="H123" t="s">
        <v>392</v>
      </c>
      <c r="I123" t="s">
        <v>867</v>
      </c>
      <c r="J123" t="s">
        <v>868</v>
      </c>
      <c r="K123">
        <v>2001</v>
      </c>
      <c r="L123">
        <v>788000</v>
      </c>
      <c r="M123" t="s">
        <v>869</v>
      </c>
      <c r="N123">
        <v>600</v>
      </c>
      <c r="O123">
        <f t="shared" si="6"/>
        <v>1313.3333333333333</v>
      </c>
    </row>
    <row r="124" spans="1:22" x14ac:dyDescent="0.3">
      <c r="A124" t="s">
        <v>870</v>
      </c>
      <c r="B124" t="s">
        <v>34</v>
      </c>
      <c r="C124" t="s">
        <v>871</v>
      </c>
      <c r="D124" t="s">
        <v>872</v>
      </c>
      <c r="E124" t="s">
        <v>873</v>
      </c>
      <c r="F124">
        <v>15351</v>
      </c>
      <c r="G124" t="s">
        <v>27</v>
      </c>
      <c r="H124" t="s">
        <v>392</v>
      </c>
      <c r="I124" t="s">
        <v>867</v>
      </c>
      <c r="J124" t="s">
        <v>874</v>
      </c>
      <c r="K124">
        <v>1999</v>
      </c>
      <c r="L124">
        <v>356000</v>
      </c>
      <c r="M124" t="s">
        <v>875</v>
      </c>
      <c r="N124">
        <v>112</v>
      </c>
      <c r="O124">
        <f t="shared" si="6"/>
        <v>3178.5714285714284</v>
      </c>
      <c r="P124">
        <v>2597.2756410256411</v>
      </c>
      <c r="Q124">
        <v>2562.5</v>
      </c>
      <c r="R124">
        <v>14</v>
      </c>
      <c r="S124" t="s">
        <v>876</v>
      </c>
      <c r="T124">
        <v>100</v>
      </c>
      <c r="U124">
        <v>299.61032041516319</v>
      </c>
      <c r="V124">
        <f t="shared" ref="V124:V133" si="10">(O124-P124)/U124</f>
        <v>1.940172777560863</v>
      </c>
    </row>
    <row r="125" spans="1:22" x14ac:dyDescent="0.3">
      <c r="A125" t="s">
        <v>877</v>
      </c>
      <c r="B125" t="s">
        <v>23</v>
      </c>
      <c r="C125" t="s">
        <v>878</v>
      </c>
      <c r="D125" t="s">
        <v>879</v>
      </c>
      <c r="E125" t="s">
        <v>880</v>
      </c>
      <c r="F125">
        <v>56533</v>
      </c>
      <c r="G125" t="s">
        <v>494</v>
      </c>
      <c r="H125" t="s">
        <v>495</v>
      </c>
      <c r="I125" t="s">
        <v>881</v>
      </c>
      <c r="J125" t="s">
        <v>882</v>
      </c>
      <c r="K125">
        <v>2007</v>
      </c>
      <c r="L125">
        <v>430000</v>
      </c>
      <c r="M125" t="s">
        <v>883</v>
      </c>
      <c r="N125">
        <v>561</v>
      </c>
      <c r="O125">
        <f t="shared" si="6"/>
        <v>766.48841354723709</v>
      </c>
      <c r="P125">
        <v>2276.1145025573342</v>
      </c>
      <c r="Q125">
        <v>2272.727272727273</v>
      </c>
      <c r="R125">
        <v>5</v>
      </c>
      <c r="S125" t="s">
        <v>884</v>
      </c>
      <c r="T125">
        <v>100</v>
      </c>
      <c r="U125">
        <v>75.782152039199175</v>
      </c>
      <c r="V125">
        <f t="shared" si="10"/>
        <v>-19.920601993847125</v>
      </c>
    </row>
    <row r="126" spans="1:22" x14ac:dyDescent="0.3">
      <c r="A126" t="s">
        <v>885</v>
      </c>
      <c r="B126" t="s">
        <v>34</v>
      </c>
      <c r="C126" t="s">
        <v>886</v>
      </c>
      <c r="D126" t="s">
        <v>887</v>
      </c>
      <c r="E126" t="s">
        <v>888</v>
      </c>
      <c r="F126">
        <v>56431</v>
      </c>
      <c r="G126" t="s">
        <v>494</v>
      </c>
      <c r="H126" t="s">
        <v>495</v>
      </c>
      <c r="I126" t="s">
        <v>881</v>
      </c>
      <c r="J126" t="s">
        <v>889</v>
      </c>
      <c r="K126">
        <v>1976</v>
      </c>
      <c r="L126">
        <v>115000</v>
      </c>
      <c r="M126" t="s">
        <v>890</v>
      </c>
      <c r="N126">
        <v>123</v>
      </c>
      <c r="O126">
        <f t="shared" si="6"/>
        <v>934.95934959349597</v>
      </c>
      <c r="P126">
        <v>1167.2330199350499</v>
      </c>
      <c r="Q126">
        <v>934.95934959349597</v>
      </c>
      <c r="R126">
        <v>21</v>
      </c>
      <c r="S126" t="s">
        <v>891</v>
      </c>
      <c r="T126">
        <v>100</v>
      </c>
      <c r="U126">
        <v>360.100922734314</v>
      </c>
      <c r="V126">
        <f t="shared" si="10"/>
        <v>-0.64502381326283842</v>
      </c>
    </row>
    <row r="127" spans="1:22" x14ac:dyDescent="0.3">
      <c r="A127" t="s">
        <v>892</v>
      </c>
      <c r="B127" t="s">
        <v>34</v>
      </c>
      <c r="C127" t="s">
        <v>893</v>
      </c>
      <c r="D127" t="s">
        <v>894</v>
      </c>
      <c r="E127" t="s">
        <v>895</v>
      </c>
      <c r="F127">
        <v>18542</v>
      </c>
      <c r="G127" t="s">
        <v>27</v>
      </c>
      <c r="H127" t="s">
        <v>654</v>
      </c>
      <c r="I127" t="s">
        <v>654</v>
      </c>
      <c r="J127" t="s">
        <v>896</v>
      </c>
      <c r="K127">
        <v>2005</v>
      </c>
      <c r="L127">
        <v>170000</v>
      </c>
      <c r="M127" t="s">
        <v>897</v>
      </c>
      <c r="N127">
        <v>88</v>
      </c>
      <c r="O127">
        <f t="shared" si="6"/>
        <v>1931.8181818181818</v>
      </c>
      <c r="P127">
        <v>2662.574094630224</v>
      </c>
      <c r="Q127">
        <v>2928.8856304985338</v>
      </c>
      <c r="R127">
        <v>30</v>
      </c>
      <c r="S127" t="s">
        <v>898</v>
      </c>
      <c r="T127">
        <v>100</v>
      </c>
      <c r="U127">
        <v>547.58710720242982</v>
      </c>
      <c r="V127">
        <f t="shared" si="10"/>
        <v>-1.3345016769028846</v>
      </c>
    </row>
    <row r="128" spans="1:22" x14ac:dyDescent="0.3">
      <c r="A128" t="s">
        <v>899</v>
      </c>
      <c r="B128" t="s">
        <v>34</v>
      </c>
      <c r="C128" t="s">
        <v>900</v>
      </c>
      <c r="D128" t="s">
        <v>901</v>
      </c>
      <c r="E128" t="s">
        <v>902</v>
      </c>
      <c r="F128">
        <v>18538</v>
      </c>
      <c r="G128" t="s">
        <v>27</v>
      </c>
      <c r="H128" t="s">
        <v>654</v>
      </c>
      <c r="I128" t="s">
        <v>654</v>
      </c>
      <c r="J128" t="s">
        <v>903</v>
      </c>
      <c r="K128">
        <v>2001</v>
      </c>
      <c r="L128">
        <v>260000</v>
      </c>
      <c r="M128" t="s">
        <v>904</v>
      </c>
      <c r="N128">
        <v>159</v>
      </c>
      <c r="O128">
        <f t="shared" si="6"/>
        <v>1635.2201257861636</v>
      </c>
      <c r="P128">
        <v>3038.4051469453138</v>
      </c>
      <c r="Q128">
        <v>2727.272727272727</v>
      </c>
      <c r="R128">
        <v>30</v>
      </c>
      <c r="S128" t="s">
        <v>905</v>
      </c>
      <c r="T128">
        <v>100</v>
      </c>
      <c r="U128">
        <v>1105.2096537557579</v>
      </c>
      <c r="V128">
        <f t="shared" si="10"/>
        <v>-1.26960981239243</v>
      </c>
    </row>
    <row r="129" spans="1:22" x14ac:dyDescent="0.3">
      <c r="A129" t="s">
        <v>906</v>
      </c>
      <c r="B129" t="s">
        <v>34</v>
      </c>
      <c r="C129" t="s">
        <v>907</v>
      </c>
      <c r="D129" t="s">
        <v>908</v>
      </c>
      <c r="E129" t="s">
        <v>909</v>
      </c>
      <c r="F129">
        <v>18546</v>
      </c>
      <c r="G129" t="s">
        <v>27</v>
      </c>
      <c r="H129" t="s">
        <v>654</v>
      </c>
      <c r="I129" t="s">
        <v>654</v>
      </c>
      <c r="J129" t="s">
        <v>910</v>
      </c>
      <c r="K129">
        <v>2004</v>
      </c>
      <c r="L129">
        <v>167000</v>
      </c>
      <c r="M129" t="s">
        <v>911</v>
      </c>
      <c r="N129">
        <v>95</v>
      </c>
      <c r="O129">
        <f t="shared" si="6"/>
        <v>1757.8947368421052</v>
      </c>
      <c r="P129">
        <v>2306.8397478925299</v>
      </c>
      <c r="Q129">
        <v>2805.5555555555561</v>
      </c>
      <c r="R129">
        <v>11</v>
      </c>
      <c r="S129" t="s">
        <v>912</v>
      </c>
      <c r="T129">
        <v>100</v>
      </c>
      <c r="U129">
        <v>1114.2689839223101</v>
      </c>
      <c r="V129">
        <f t="shared" si="10"/>
        <v>-0.49265035549863123</v>
      </c>
    </row>
    <row r="130" spans="1:22" x14ac:dyDescent="0.3">
      <c r="A130" t="s">
        <v>913</v>
      </c>
      <c r="B130" t="s">
        <v>23</v>
      </c>
      <c r="C130" t="s">
        <v>914</v>
      </c>
      <c r="D130" t="s">
        <v>915</v>
      </c>
      <c r="E130" t="s">
        <v>916</v>
      </c>
      <c r="F130">
        <v>18544</v>
      </c>
      <c r="G130" t="s">
        <v>27</v>
      </c>
      <c r="H130" t="s">
        <v>654</v>
      </c>
      <c r="I130" t="s">
        <v>654</v>
      </c>
      <c r="J130" t="s">
        <v>917</v>
      </c>
      <c r="K130">
        <v>1955</v>
      </c>
      <c r="L130">
        <v>100000</v>
      </c>
      <c r="M130" t="s">
        <v>918</v>
      </c>
      <c r="N130">
        <v>82</v>
      </c>
      <c r="O130">
        <f t="shared" si="6"/>
        <v>1219.5121951219512</v>
      </c>
      <c r="P130">
        <v>2228.9358039358581</v>
      </c>
      <c r="Q130">
        <v>2238.8059701492539</v>
      </c>
      <c r="R130">
        <v>30</v>
      </c>
      <c r="S130" t="s">
        <v>919</v>
      </c>
      <c r="T130">
        <v>100</v>
      </c>
      <c r="U130">
        <v>580.5565059722403</v>
      </c>
      <c r="V130">
        <f t="shared" si="10"/>
        <v>-1.7387172453152615</v>
      </c>
    </row>
    <row r="131" spans="1:22" x14ac:dyDescent="0.3">
      <c r="A131" t="s">
        <v>920</v>
      </c>
      <c r="B131" t="s">
        <v>34</v>
      </c>
      <c r="C131" t="s">
        <v>907</v>
      </c>
      <c r="D131" t="s">
        <v>921</v>
      </c>
      <c r="E131" t="s">
        <v>922</v>
      </c>
      <c r="F131">
        <v>18546</v>
      </c>
      <c r="G131" t="s">
        <v>27</v>
      </c>
      <c r="H131" t="s">
        <v>654</v>
      </c>
      <c r="I131" t="s">
        <v>654</v>
      </c>
      <c r="J131" t="s">
        <v>923</v>
      </c>
      <c r="K131">
        <v>1966</v>
      </c>
      <c r="L131">
        <v>80000</v>
      </c>
      <c r="M131" t="s">
        <v>924</v>
      </c>
      <c r="N131">
        <v>91</v>
      </c>
      <c r="O131">
        <f t="shared" ref="O131:O153" si="11">L131/N131</f>
        <v>879.12087912087907</v>
      </c>
      <c r="P131">
        <v>2047.694783414453</v>
      </c>
      <c r="Q131">
        <v>2000</v>
      </c>
      <c r="R131">
        <v>23</v>
      </c>
      <c r="S131" t="s">
        <v>925</v>
      </c>
      <c r="T131">
        <v>100</v>
      </c>
      <c r="U131">
        <v>869.60038202553324</v>
      </c>
      <c r="V131">
        <f t="shared" si="10"/>
        <v>-1.343805647338437</v>
      </c>
    </row>
    <row r="132" spans="1:22" x14ac:dyDescent="0.3">
      <c r="A132" t="s">
        <v>926</v>
      </c>
      <c r="B132" t="s">
        <v>34</v>
      </c>
      <c r="C132" t="s">
        <v>907</v>
      </c>
      <c r="D132" t="s">
        <v>927</v>
      </c>
      <c r="E132" t="s">
        <v>928</v>
      </c>
      <c r="F132">
        <v>18541</v>
      </c>
      <c r="G132" t="s">
        <v>27</v>
      </c>
      <c r="H132" t="s">
        <v>654</v>
      </c>
      <c r="I132" t="s">
        <v>654</v>
      </c>
      <c r="J132" t="s">
        <v>929</v>
      </c>
      <c r="K132">
        <v>1965</v>
      </c>
      <c r="L132">
        <v>70000</v>
      </c>
      <c r="M132" t="s">
        <v>930</v>
      </c>
      <c r="N132">
        <v>65</v>
      </c>
      <c r="O132">
        <f t="shared" si="11"/>
        <v>1076.9230769230769</v>
      </c>
      <c r="P132">
        <v>1870.603588040321</v>
      </c>
      <c r="Q132">
        <v>1445.4513148543001</v>
      </c>
      <c r="R132">
        <v>30</v>
      </c>
      <c r="S132" t="s">
        <v>931</v>
      </c>
      <c r="T132">
        <v>100</v>
      </c>
      <c r="U132">
        <v>932.93854967029949</v>
      </c>
      <c r="V132">
        <f t="shared" si="10"/>
        <v>-0.85073182086615551</v>
      </c>
    </row>
    <row r="133" spans="1:22" x14ac:dyDescent="0.3">
      <c r="A133" t="s">
        <v>932</v>
      </c>
      <c r="B133" t="s">
        <v>34</v>
      </c>
      <c r="C133" t="s">
        <v>933</v>
      </c>
      <c r="D133" t="s">
        <v>934</v>
      </c>
      <c r="E133" t="s">
        <v>935</v>
      </c>
      <c r="F133">
        <v>18537</v>
      </c>
      <c r="G133" t="s">
        <v>27</v>
      </c>
      <c r="H133" t="s">
        <v>654</v>
      </c>
      <c r="I133" t="s">
        <v>654</v>
      </c>
      <c r="J133" t="s">
        <v>936</v>
      </c>
      <c r="K133">
        <v>1958</v>
      </c>
      <c r="L133">
        <v>88000</v>
      </c>
      <c r="M133" t="s">
        <v>937</v>
      </c>
      <c r="N133">
        <v>110</v>
      </c>
      <c r="O133">
        <f t="shared" si="11"/>
        <v>800</v>
      </c>
      <c r="P133">
        <v>3516.9191684278521</v>
      </c>
      <c r="Q133">
        <v>3323.2931726907632</v>
      </c>
      <c r="R133">
        <v>30</v>
      </c>
      <c r="S133" t="s">
        <v>938</v>
      </c>
      <c r="T133">
        <v>100</v>
      </c>
      <c r="U133">
        <v>1311.788178297948</v>
      </c>
      <c r="V133">
        <f t="shared" si="10"/>
        <v>-2.0711569240950691</v>
      </c>
    </row>
    <row r="134" spans="1:22" x14ac:dyDescent="0.3">
      <c r="A134" t="s">
        <v>939</v>
      </c>
      <c r="B134" t="s">
        <v>23</v>
      </c>
      <c r="C134" t="s">
        <v>940</v>
      </c>
      <c r="D134" t="s">
        <v>941</v>
      </c>
      <c r="E134" t="s">
        <v>942</v>
      </c>
      <c r="F134">
        <v>15236</v>
      </c>
      <c r="G134" t="s">
        <v>27</v>
      </c>
      <c r="H134" t="s">
        <v>38</v>
      </c>
      <c r="I134" t="s">
        <v>943</v>
      </c>
      <c r="J134" t="s">
        <v>944</v>
      </c>
      <c r="K134">
        <v>1977</v>
      </c>
      <c r="L134">
        <v>740000</v>
      </c>
      <c r="M134" t="s">
        <v>945</v>
      </c>
      <c r="N134">
        <v>541</v>
      </c>
      <c r="O134">
        <f t="shared" si="11"/>
        <v>1367.8373382624768</v>
      </c>
      <c r="P134">
        <v>2750</v>
      </c>
      <c r="Q134">
        <v>2750</v>
      </c>
      <c r="R134">
        <v>1</v>
      </c>
      <c r="S134" t="s">
        <v>946</v>
      </c>
      <c r="T134">
        <v>100</v>
      </c>
    </row>
    <row r="135" spans="1:22" x14ac:dyDescent="0.3">
      <c r="A135" t="s">
        <v>947</v>
      </c>
      <c r="B135" t="s">
        <v>34</v>
      </c>
      <c r="C135" t="s">
        <v>948</v>
      </c>
      <c r="D135" t="s">
        <v>949</v>
      </c>
      <c r="E135" t="s">
        <v>950</v>
      </c>
      <c r="F135">
        <v>18863</v>
      </c>
      <c r="G135" t="s">
        <v>27</v>
      </c>
      <c r="H135" t="s">
        <v>654</v>
      </c>
      <c r="I135" t="s">
        <v>951</v>
      </c>
      <c r="J135" t="s">
        <v>952</v>
      </c>
      <c r="K135">
        <v>1975</v>
      </c>
      <c r="L135">
        <v>98000</v>
      </c>
      <c r="M135" t="s">
        <v>953</v>
      </c>
      <c r="N135">
        <v>122</v>
      </c>
      <c r="O135">
        <f t="shared" si="11"/>
        <v>803.27868852459017</v>
      </c>
      <c r="P135">
        <v>1187.486694577804</v>
      </c>
      <c r="Q135">
        <v>803.27868852459017</v>
      </c>
      <c r="R135">
        <v>19</v>
      </c>
      <c r="S135" t="s">
        <v>954</v>
      </c>
      <c r="T135">
        <v>100</v>
      </c>
      <c r="U135">
        <v>604.4694839270511</v>
      </c>
      <c r="V135">
        <f t="shared" ref="V135:V137" si="12">(O135-P135)/U135</f>
        <v>-0.63561191469440825</v>
      </c>
    </row>
    <row r="136" spans="1:22" x14ac:dyDescent="0.3">
      <c r="A136" t="s">
        <v>955</v>
      </c>
      <c r="B136" t="s">
        <v>34</v>
      </c>
      <c r="C136" t="s">
        <v>956</v>
      </c>
      <c r="D136" t="s">
        <v>957</v>
      </c>
      <c r="E136" t="s">
        <v>958</v>
      </c>
      <c r="F136">
        <v>12136</v>
      </c>
      <c r="G136" t="s">
        <v>27</v>
      </c>
      <c r="H136" t="s">
        <v>28</v>
      </c>
      <c r="I136" t="s">
        <v>959</v>
      </c>
      <c r="J136" t="s">
        <v>960</v>
      </c>
      <c r="K136">
        <v>1966</v>
      </c>
      <c r="L136">
        <v>120000</v>
      </c>
      <c r="M136" t="s">
        <v>961</v>
      </c>
      <c r="N136">
        <v>87</v>
      </c>
      <c r="O136">
        <f t="shared" si="11"/>
        <v>1379.3103448275863</v>
      </c>
      <c r="P136">
        <v>2404.8881811733158</v>
      </c>
      <c r="Q136">
        <v>2514.624505928854</v>
      </c>
      <c r="R136">
        <v>10</v>
      </c>
      <c r="S136" t="s">
        <v>962</v>
      </c>
      <c r="T136">
        <v>100</v>
      </c>
      <c r="U136">
        <v>923.39592255776222</v>
      </c>
      <c r="V136">
        <f t="shared" si="12"/>
        <v>-1.1106588314846879</v>
      </c>
    </row>
    <row r="137" spans="1:22" x14ac:dyDescent="0.3">
      <c r="A137" t="s">
        <v>963</v>
      </c>
      <c r="B137" t="s">
        <v>23</v>
      </c>
      <c r="C137" t="s">
        <v>964</v>
      </c>
      <c r="D137" t="s">
        <v>965</v>
      </c>
      <c r="E137" t="s">
        <v>966</v>
      </c>
      <c r="F137">
        <v>13231</v>
      </c>
      <c r="G137" t="s">
        <v>27</v>
      </c>
      <c r="H137" t="s">
        <v>28</v>
      </c>
      <c r="I137" t="s">
        <v>967</v>
      </c>
      <c r="J137" t="s">
        <v>968</v>
      </c>
      <c r="K137">
        <v>1992</v>
      </c>
      <c r="L137">
        <v>185000</v>
      </c>
      <c r="M137" t="s">
        <v>969</v>
      </c>
      <c r="N137">
        <v>117</v>
      </c>
      <c r="O137">
        <f t="shared" si="11"/>
        <v>1581.1965811965813</v>
      </c>
      <c r="P137">
        <v>2349.9887973650261</v>
      </c>
      <c r="Q137">
        <v>2180.2325581395348</v>
      </c>
      <c r="R137">
        <v>8</v>
      </c>
      <c r="S137" t="s">
        <v>970</v>
      </c>
      <c r="T137">
        <v>100</v>
      </c>
      <c r="U137">
        <v>886.29650151000635</v>
      </c>
      <c r="V137">
        <f t="shared" si="12"/>
        <v>-0.86742102090963191</v>
      </c>
    </row>
    <row r="138" spans="1:22" x14ac:dyDescent="0.3">
      <c r="A138" t="s">
        <v>971</v>
      </c>
      <c r="B138" t="s">
        <v>23</v>
      </c>
      <c r="C138" t="s">
        <v>972</v>
      </c>
      <c r="D138" t="s">
        <v>973</v>
      </c>
      <c r="E138" t="s">
        <v>974</v>
      </c>
      <c r="F138">
        <v>15351</v>
      </c>
      <c r="G138" t="s">
        <v>27</v>
      </c>
      <c r="H138" t="s">
        <v>392</v>
      </c>
      <c r="I138" t="s">
        <v>975</v>
      </c>
      <c r="J138" t="s">
        <v>976</v>
      </c>
      <c r="K138">
        <v>2007</v>
      </c>
      <c r="L138">
        <v>420000</v>
      </c>
      <c r="M138" t="s">
        <v>977</v>
      </c>
      <c r="N138">
        <v>275</v>
      </c>
      <c r="O138">
        <f t="shared" si="11"/>
        <v>1527.2727272727273</v>
      </c>
    </row>
    <row r="139" spans="1:22" x14ac:dyDescent="0.3">
      <c r="A139" t="s">
        <v>978</v>
      </c>
      <c r="B139" t="s">
        <v>23</v>
      </c>
      <c r="C139" t="s">
        <v>979</v>
      </c>
      <c r="D139" t="s">
        <v>980</v>
      </c>
      <c r="E139" t="s">
        <v>981</v>
      </c>
      <c r="F139">
        <v>19010</v>
      </c>
      <c r="G139" t="s">
        <v>27</v>
      </c>
      <c r="H139" t="s">
        <v>392</v>
      </c>
      <c r="I139" t="s">
        <v>982</v>
      </c>
      <c r="J139" t="s">
        <v>983</v>
      </c>
      <c r="K139">
        <v>2006</v>
      </c>
      <c r="L139">
        <v>605000</v>
      </c>
      <c r="M139" t="s">
        <v>984</v>
      </c>
      <c r="N139">
        <v>509</v>
      </c>
      <c r="O139">
        <f t="shared" si="11"/>
        <v>1188.6051080550099</v>
      </c>
    </row>
    <row r="140" spans="1:22" x14ac:dyDescent="0.3">
      <c r="A140" t="s">
        <v>985</v>
      </c>
      <c r="B140" t="s">
        <v>23</v>
      </c>
      <c r="C140" t="s">
        <v>986</v>
      </c>
      <c r="D140" t="s">
        <v>987</v>
      </c>
      <c r="E140" t="s">
        <v>988</v>
      </c>
      <c r="F140">
        <v>19001</v>
      </c>
      <c r="G140" t="s">
        <v>27</v>
      </c>
      <c r="H140" t="s">
        <v>392</v>
      </c>
      <c r="I140" t="s">
        <v>982</v>
      </c>
      <c r="J140" t="s">
        <v>989</v>
      </c>
      <c r="K140" t="s">
        <v>990</v>
      </c>
      <c r="L140">
        <v>530000</v>
      </c>
      <c r="M140" t="s">
        <v>991</v>
      </c>
      <c r="N140">
        <v>500</v>
      </c>
      <c r="O140">
        <f t="shared" si="11"/>
        <v>1060</v>
      </c>
      <c r="P140">
        <v>1150</v>
      </c>
      <c r="Q140">
        <v>1150</v>
      </c>
      <c r="R140">
        <v>1</v>
      </c>
      <c r="S140" t="s">
        <v>992</v>
      </c>
      <c r="T140">
        <v>100</v>
      </c>
    </row>
    <row r="141" spans="1:22" x14ac:dyDescent="0.3">
      <c r="A141" t="s">
        <v>993</v>
      </c>
      <c r="B141" t="s">
        <v>23</v>
      </c>
      <c r="C141" t="s">
        <v>994</v>
      </c>
      <c r="D141" t="s">
        <v>995</v>
      </c>
      <c r="E141" t="s">
        <v>996</v>
      </c>
      <c r="F141">
        <v>19016</v>
      </c>
      <c r="G141" t="s">
        <v>27</v>
      </c>
      <c r="H141" t="s">
        <v>392</v>
      </c>
      <c r="I141" t="s">
        <v>997</v>
      </c>
      <c r="J141" t="s">
        <v>998</v>
      </c>
      <c r="K141">
        <v>2002</v>
      </c>
      <c r="L141">
        <v>286000</v>
      </c>
      <c r="M141" t="s">
        <v>999</v>
      </c>
      <c r="N141">
        <v>254</v>
      </c>
      <c r="O141">
        <f t="shared" si="11"/>
        <v>1125.9842519685039</v>
      </c>
      <c r="P141">
        <v>3153.8461538461538</v>
      </c>
      <c r="Q141">
        <v>3153.8461538461538</v>
      </c>
      <c r="R141">
        <v>2</v>
      </c>
      <c r="S141" t="s">
        <v>1000</v>
      </c>
      <c r="T141">
        <v>100</v>
      </c>
      <c r="U141">
        <v>2610.8558074580219</v>
      </c>
      <c r="V141">
        <f t="shared" ref="V141:V151" si="13">(O141-P141)/U141</f>
        <v>-0.77670390531908162</v>
      </c>
    </row>
    <row r="142" spans="1:22" x14ac:dyDescent="0.3">
      <c r="A142" t="s">
        <v>1001</v>
      </c>
      <c r="B142" t="s">
        <v>23</v>
      </c>
      <c r="C142" t="s">
        <v>1002</v>
      </c>
      <c r="D142" t="s">
        <v>1003</v>
      </c>
      <c r="E142" t="s">
        <v>1004</v>
      </c>
      <c r="F142">
        <v>13672</v>
      </c>
      <c r="G142" t="s">
        <v>27</v>
      </c>
      <c r="H142" t="s">
        <v>537</v>
      </c>
      <c r="I142" t="s">
        <v>1005</v>
      </c>
      <c r="J142" t="s">
        <v>1006</v>
      </c>
      <c r="K142">
        <v>2006</v>
      </c>
      <c r="L142">
        <v>292000</v>
      </c>
      <c r="M142" t="s">
        <v>1007</v>
      </c>
      <c r="N142">
        <v>351</v>
      </c>
      <c r="O142">
        <f t="shared" si="11"/>
        <v>831.90883190883187</v>
      </c>
    </row>
    <row r="143" spans="1:22" x14ac:dyDescent="0.3">
      <c r="A143" t="s">
        <v>1008</v>
      </c>
      <c r="B143" t="s">
        <v>34</v>
      </c>
      <c r="C143" t="s">
        <v>1009</v>
      </c>
      <c r="D143" t="s">
        <v>1010</v>
      </c>
      <c r="E143" t="s">
        <v>1011</v>
      </c>
      <c r="F143">
        <v>13343</v>
      </c>
      <c r="G143" t="s">
        <v>27</v>
      </c>
      <c r="H143" t="s">
        <v>537</v>
      </c>
      <c r="I143" t="s">
        <v>1005</v>
      </c>
      <c r="J143" t="s">
        <v>1012</v>
      </c>
      <c r="K143">
        <v>1989</v>
      </c>
      <c r="L143">
        <v>94000</v>
      </c>
      <c r="M143" t="s">
        <v>1013</v>
      </c>
      <c r="N143">
        <v>93</v>
      </c>
      <c r="O143">
        <f t="shared" si="11"/>
        <v>1010.752688172043</v>
      </c>
      <c r="P143">
        <v>1562.5</v>
      </c>
      <c r="Q143">
        <v>1562.5</v>
      </c>
      <c r="R143">
        <v>1</v>
      </c>
      <c r="S143" t="s">
        <v>1014</v>
      </c>
      <c r="T143">
        <v>100</v>
      </c>
    </row>
    <row r="144" spans="1:22" x14ac:dyDescent="0.3">
      <c r="A144" t="s">
        <v>1015</v>
      </c>
      <c r="B144" t="s">
        <v>34</v>
      </c>
      <c r="C144" t="s">
        <v>1016</v>
      </c>
      <c r="D144" t="s">
        <v>1017</v>
      </c>
      <c r="E144" t="s">
        <v>1018</v>
      </c>
      <c r="F144">
        <v>13341</v>
      </c>
      <c r="G144" t="s">
        <v>27</v>
      </c>
      <c r="H144" t="s">
        <v>537</v>
      </c>
      <c r="I144" t="s">
        <v>1005</v>
      </c>
      <c r="J144" t="s">
        <v>1019</v>
      </c>
      <c r="K144">
        <v>1976</v>
      </c>
      <c r="L144">
        <v>50000</v>
      </c>
      <c r="M144" t="s">
        <v>1020</v>
      </c>
      <c r="N144">
        <v>86</v>
      </c>
      <c r="O144">
        <f t="shared" si="11"/>
        <v>581.39534883720933</v>
      </c>
      <c r="P144">
        <v>779.40199335548175</v>
      </c>
      <c r="Q144">
        <v>581.39534883720933</v>
      </c>
      <c r="R144">
        <v>5</v>
      </c>
      <c r="S144" t="s">
        <v>1021</v>
      </c>
      <c r="T144">
        <v>100</v>
      </c>
      <c r="U144">
        <v>442.75631713949321</v>
      </c>
      <c r="V144">
        <f t="shared" si="13"/>
        <v>-0.44721359549995798</v>
      </c>
    </row>
    <row r="145" spans="1:22" x14ac:dyDescent="0.3">
      <c r="A145" t="s">
        <v>1022</v>
      </c>
      <c r="B145" t="s">
        <v>23</v>
      </c>
      <c r="C145" t="s">
        <v>1023</v>
      </c>
      <c r="D145" t="s">
        <v>1024</v>
      </c>
      <c r="E145" t="s">
        <v>1025</v>
      </c>
      <c r="F145">
        <v>13341</v>
      </c>
      <c r="G145" t="s">
        <v>27</v>
      </c>
      <c r="H145" t="s">
        <v>537</v>
      </c>
      <c r="I145" t="s">
        <v>1005</v>
      </c>
      <c r="J145" t="s">
        <v>1026</v>
      </c>
      <c r="K145">
        <v>1990</v>
      </c>
      <c r="L145">
        <v>210000</v>
      </c>
      <c r="M145" t="s">
        <v>1027</v>
      </c>
      <c r="N145">
        <v>235</v>
      </c>
      <c r="O145">
        <f t="shared" si="11"/>
        <v>893.61702127659578</v>
      </c>
      <c r="P145">
        <v>1842.5678397480499</v>
      </c>
      <c r="Q145">
        <v>1785.714285714286</v>
      </c>
      <c r="R145">
        <v>3</v>
      </c>
      <c r="S145" t="s">
        <v>1028</v>
      </c>
      <c r="T145">
        <v>100</v>
      </c>
      <c r="U145">
        <v>577.9151194875509</v>
      </c>
      <c r="V145">
        <f t="shared" si="13"/>
        <v>-1.6420245577117072</v>
      </c>
    </row>
    <row r="146" spans="1:22" x14ac:dyDescent="0.3">
      <c r="A146" t="s">
        <v>1029</v>
      </c>
      <c r="B146" t="s">
        <v>34</v>
      </c>
      <c r="C146" t="s">
        <v>1030</v>
      </c>
      <c r="D146" t="s">
        <v>1031</v>
      </c>
      <c r="E146" t="s">
        <v>1032</v>
      </c>
      <c r="F146">
        <v>12461</v>
      </c>
      <c r="G146" t="s">
        <v>27</v>
      </c>
      <c r="H146" t="s">
        <v>28</v>
      </c>
      <c r="I146" t="s">
        <v>1033</v>
      </c>
      <c r="J146" t="s">
        <v>1034</v>
      </c>
      <c r="K146">
        <v>1946</v>
      </c>
      <c r="L146">
        <v>55000</v>
      </c>
      <c r="M146" t="s">
        <v>1035</v>
      </c>
      <c r="N146">
        <v>62</v>
      </c>
      <c r="O146">
        <f t="shared" si="11"/>
        <v>887.09677419354841</v>
      </c>
      <c r="P146">
        <v>1376.8817204301081</v>
      </c>
      <c r="Q146">
        <v>1376.8817204301081</v>
      </c>
      <c r="R146">
        <v>2</v>
      </c>
      <c r="S146" t="s">
        <v>1036</v>
      </c>
      <c r="T146">
        <v>100</v>
      </c>
      <c r="U146">
        <v>692.66051361391919</v>
      </c>
      <c r="V146">
        <f t="shared" si="13"/>
        <v>-0.70710678118654824</v>
      </c>
    </row>
    <row r="147" spans="1:22" x14ac:dyDescent="0.3">
      <c r="A147" t="s">
        <v>1037</v>
      </c>
      <c r="B147" t="s">
        <v>23</v>
      </c>
      <c r="C147" t="s">
        <v>1038</v>
      </c>
      <c r="D147" t="s">
        <v>1039</v>
      </c>
      <c r="E147" t="s">
        <v>1040</v>
      </c>
      <c r="F147">
        <v>57100</v>
      </c>
      <c r="G147" t="s">
        <v>494</v>
      </c>
      <c r="H147" t="s">
        <v>495</v>
      </c>
      <c r="I147" t="s">
        <v>1041</v>
      </c>
      <c r="J147" t="s">
        <v>1042</v>
      </c>
      <c r="K147">
        <v>2005</v>
      </c>
      <c r="L147">
        <v>110000</v>
      </c>
      <c r="M147" t="s">
        <v>1043</v>
      </c>
      <c r="N147">
        <v>192</v>
      </c>
      <c r="O147">
        <f t="shared" si="11"/>
        <v>572.91666666666663</v>
      </c>
      <c r="P147">
        <v>571.1355785837651</v>
      </c>
      <c r="Q147">
        <v>569.94818652849744</v>
      </c>
      <c r="R147">
        <v>5</v>
      </c>
      <c r="S147" t="s">
        <v>1044</v>
      </c>
      <c r="T147">
        <v>100</v>
      </c>
      <c r="U147">
        <v>1.6259035331813141</v>
      </c>
      <c r="V147">
        <f t="shared" si="13"/>
        <v>1.0954451150103464</v>
      </c>
    </row>
    <row r="148" spans="1:22" x14ac:dyDescent="0.3">
      <c r="A148" t="s">
        <v>1045</v>
      </c>
      <c r="B148" t="s">
        <v>23</v>
      </c>
      <c r="C148" t="s">
        <v>1046</v>
      </c>
      <c r="D148" t="s">
        <v>1047</v>
      </c>
      <c r="E148" t="s">
        <v>1048</v>
      </c>
      <c r="F148">
        <v>57007</v>
      </c>
      <c r="G148" t="s">
        <v>494</v>
      </c>
      <c r="H148" t="s">
        <v>495</v>
      </c>
      <c r="I148" t="s">
        <v>1041</v>
      </c>
      <c r="J148" t="s">
        <v>1049</v>
      </c>
      <c r="K148">
        <v>1991</v>
      </c>
      <c r="L148">
        <v>69000</v>
      </c>
      <c r="M148" t="s">
        <v>1050</v>
      </c>
      <c r="N148">
        <v>243</v>
      </c>
      <c r="O148">
        <f t="shared" si="11"/>
        <v>283.95061728395063</v>
      </c>
    </row>
    <row r="149" spans="1:22" x14ac:dyDescent="0.3">
      <c r="A149" t="s">
        <v>1051</v>
      </c>
      <c r="B149" t="s">
        <v>23</v>
      </c>
      <c r="C149" t="s">
        <v>1052</v>
      </c>
      <c r="D149" t="s">
        <v>1053</v>
      </c>
      <c r="E149" t="s">
        <v>1054</v>
      </c>
      <c r="F149">
        <v>54500</v>
      </c>
      <c r="G149" t="s">
        <v>494</v>
      </c>
      <c r="H149" t="s">
        <v>495</v>
      </c>
      <c r="I149" t="s">
        <v>1055</v>
      </c>
      <c r="J149" t="s">
        <v>1056</v>
      </c>
      <c r="K149">
        <v>1999</v>
      </c>
      <c r="L149">
        <v>290000</v>
      </c>
      <c r="M149" t="s">
        <v>1057</v>
      </c>
      <c r="N149">
        <v>525</v>
      </c>
      <c r="O149">
        <f t="shared" si="11"/>
        <v>552.38095238095241</v>
      </c>
      <c r="P149">
        <v>1150.257678829108</v>
      </c>
      <c r="Q149">
        <v>1166.666666666667</v>
      </c>
      <c r="R149">
        <v>3</v>
      </c>
      <c r="S149" t="s">
        <v>1058</v>
      </c>
      <c r="T149">
        <v>100</v>
      </c>
      <c r="U149">
        <v>185.023950766844</v>
      </c>
      <c r="V149">
        <f t="shared" si="13"/>
        <v>-3.2313477469820313</v>
      </c>
    </row>
    <row r="150" spans="1:22" x14ac:dyDescent="0.3">
      <c r="A150" t="s">
        <v>1059</v>
      </c>
      <c r="B150" t="s">
        <v>23</v>
      </c>
      <c r="C150" t="s">
        <v>1060</v>
      </c>
      <c r="D150" t="s">
        <v>1061</v>
      </c>
      <c r="E150" t="s">
        <v>1062</v>
      </c>
      <c r="F150">
        <v>57018</v>
      </c>
      <c r="G150" t="s">
        <v>494</v>
      </c>
      <c r="H150" t="s">
        <v>495</v>
      </c>
      <c r="I150" t="s">
        <v>1055</v>
      </c>
      <c r="J150" t="s">
        <v>1063</v>
      </c>
      <c r="K150">
        <v>1979</v>
      </c>
      <c r="L150">
        <v>140000</v>
      </c>
      <c r="M150" t="s">
        <v>1064</v>
      </c>
      <c r="N150">
        <v>208</v>
      </c>
      <c r="O150">
        <f t="shared" si="11"/>
        <v>673.07692307692309</v>
      </c>
      <c r="P150">
        <v>911.60401124314524</v>
      </c>
      <c r="Q150">
        <v>898.98989898989907</v>
      </c>
      <c r="R150">
        <v>4</v>
      </c>
      <c r="S150" t="s">
        <v>1065</v>
      </c>
      <c r="T150">
        <v>100</v>
      </c>
      <c r="U150">
        <v>91.573474398176941</v>
      </c>
      <c r="V150">
        <f t="shared" si="13"/>
        <v>-2.6047618017534866</v>
      </c>
    </row>
    <row r="151" spans="1:22" x14ac:dyDescent="0.3">
      <c r="A151" t="s">
        <v>1066</v>
      </c>
      <c r="B151" t="s">
        <v>23</v>
      </c>
      <c r="C151" t="s">
        <v>1067</v>
      </c>
      <c r="D151" t="s">
        <v>1068</v>
      </c>
      <c r="E151" t="s">
        <v>1069</v>
      </c>
      <c r="F151">
        <v>19014</v>
      </c>
      <c r="G151" t="s">
        <v>27</v>
      </c>
      <c r="H151" t="s">
        <v>392</v>
      </c>
      <c r="I151" t="s">
        <v>1070</v>
      </c>
      <c r="J151" t="s">
        <v>1071</v>
      </c>
      <c r="K151">
        <v>1986</v>
      </c>
      <c r="L151">
        <v>155000</v>
      </c>
      <c r="M151" t="s">
        <v>1072</v>
      </c>
      <c r="N151">
        <v>126</v>
      </c>
      <c r="O151">
        <f t="shared" si="11"/>
        <v>1230.1587301587301</v>
      </c>
      <c r="P151">
        <v>1208.958382689726</v>
      </c>
      <c r="Q151">
        <v>1230.1587301587299</v>
      </c>
      <c r="R151">
        <v>3</v>
      </c>
      <c r="S151" t="s">
        <v>1073</v>
      </c>
      <c r="T151">
        <v>100</v>
      </c>
      <c r="U151">
        <v>45.509667226004659</v>
      </c>
      <c r="V151">
        <f t="shared" si="13"/>
        <v>0.46584272663918797</v>
      </c>
    </row>
    <row r="152" spans="1:22" x14ac:dyDescent="0.3">
      <c r="A152" t="s">
        <v>1074</v>
      </c>
      <c r="B152" t="s">
        <v>23</v>
      </c>
      <c r="C152" t="s">
        <v>1075</v>
      </c>
      <c r="D152" t="s">
        <v>1076</v>
      </c>
      <c r="E152" t="s">
        <v>1077</v>
      </c>
      <c r="F152">
        <v>16233</v>
      </c>
      <c r="G152" t="s">
        <v>27</v>
      </c>
      <c r="H152" t="s">
        <v>47</v>
      </c>
      <c r="I152" t="s">
        <v>443</v>
      </c>
      <c r="K152">
        <v>1978</v>
      </c>
      <c r="L152">
        <v>305000</v>
      </c>
      <c r="N152">
        <v>155</v>
      </c>
      <c r="O152">
        <f t="shared" si="11"/>
        <v>1967.741935483871</v>
      </c>
    </row>
    <row r="153" spans="1:22" x14ac:dyDescent="0.3">
      <c r="A153" t="s">
        <v>1078</v>
      </c>
      <c r="B153" t="s">
        <v>23</v>
      </c>
      <c r="C153" t="s">
        <v>1079</v>
      </c>
      <c r="D153" t="s">
        <v>1080</v>
      </c>
      <c r="E153" t="s">
        <v>1081</v>
      </c>
      <c r="F153">
        <v>54645</v>
      </c>
      <c r="G153" t="s">
        <v>494</v>
      </c>
      <c r="H153" t="s">
        <v>495</v>
      </c>
      <c r="I153" t="s">
        <v>495</v>
      </c>
      <c r="L153">
        <v>1450000</v>
      </c>
      <c r="M153" t="s">
        <v>1082</v>
      </c>
      <c r="N153">
        <v>713</v>
      </c>
      <c r="O153">
        <f t="shared" si="11"/>
        <v>2033.6605890603087</v>
      </c>
    </row>
  </sheetData>
  <pageMargins left="0.75" right="0.75" top="1" bottom="1" header="0.5" footer="0.5"/>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מיכאל כפיר</cp:lastModifiedBy>
  <dcterms:created xsi:type="dcterms:W3CDTF">2025-10-09T11:01:44Z</dcterms:created>
  <dcterms:modified xsi:type="dcterms:W3CDTF">2025-10-12T14:44:26Z</dcterms:modified>
</cp:coreProperties>
</file>